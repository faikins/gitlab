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woa\Downloads\"/>
    </mc:Choice>
  </mc:AlternateContent>
  <xr:revisionPtr revIDLastSave="0" documentId="8_{F6EED115-5180-4FA0-81B3-1234B74BED33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Acct1_Raw" sheetId="1" r:id="rId1"/>
    <sheet name="Acct2_Raw" sheetId="2" r:id="rId2"/>
    <sheet name="Months_Ref" sheetId="3" state="hidden" r:id="rId3"/>
    <sheet name="Service_List" sheetId="4" state="hidden" r:id="rId4"/>
    <sheet name="Chart_Engine" sheetId="5" state="hidden" r:id="rId5"/>
    <sheet name="Dashboard" sheetId="6" r:id="rId6"/>
    <sheet name="How_It_Works" sheetId="7" r:id="rId7"/>
  </sheets>
  <calcPr calcId="181029"/>
</workbook>
</file>

<file path=xl/calcChain.xml><?xml version="1.0" encoding="utf-8"?>
<calcChain xmlns="http://schemas.openxmlformats.org/spreadsheetml/2006/main">
  <c r="C65" i="6" l="1"/>
  <c r="AB54" i="6"/>
  <c r="G10" i="6"/>
  <c r="B10" i="6"/>
  <c r="V9" i="6"/>
  <c r="G9" i="6"/>
  <c r="B9" i="6"/>
  <c r="L9" i="6" s="1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B30" i="5"/>
  <c r="F58" i="4"/>
  <c r="L56" i="4"/>
  <c r="K56" i="4"/>
  <c r="L54" i="4"/>
  <c r="K52" i="4"/>
  <c r="B51" i="4"/>
  <c r="F47" i="4"/>
  <c r="F45" i="4"/>
  <c r="L43" i="4"/>
  <c r="J43" i="4"/>
  <c r="E42" i="4"/>
  <c r="J40" i="4"/>
  <c r="I40" i="4"/>
  <c r="C39" i="4"/>
  <c r="B38" i="4"/>
  <c r="K35" i="4"/>
  <c r="I35" i="4"/>
  <c r="J34" i="4"/>
  <c r="E34" i="4"/>
  <c r="E33" i="4"/>
  <c r="D33" i="4"/>
  <c r="M30" i="4"/>
  <c r="M29" i="4"/>
  <c r="L29" i="4"/>
  <c r="I28" i="4"/>
  <c r="H27" i="4"/>
  <c r="C27" i="4"/>
  <c r="C26" i="4"/>
  <c r="B26" i="4"/>
  <c r="D25" i="4"/>
  <c r="I24" i="4"/>
  <c r="H24" i="4"/>
  <c r="E23" i="4"/>
  <c r="D23" i="4"/>
  <c r="M22" i="4"/>
  <c r="L22" i="4"/>
  <c r="C22" i="4"/>
  <c r="B22" i="4"/>
  <c r="I21" i="4"/>
  <c r="H21" i="4"/>
  <c r="G20" i="4"/>
  <c r="F20" i="4"/>
  <c r="L19" i="4"/>
  <c r="D19" i="4"/>
  <c r="C19" i="4"/>
  <c r="M18" i="4"/>
  <c r="F18" i="4"/>
  <c r="E18" i="4"/>
  <c r="H17" i="4"/>
  <c r="G17" i="4"/>
  <c r="J16" i="4"/>
  <c r="I16" i="4"/>
  <c r="B16" i="4"/>
  <c r="L15" i="4"/>
  <c r="K15" i="4"/>
  <c r="D15" i="4"/>
  <c r="C15" i="4"/>
  <c r="F14" i="4"/>
  <c r="E14" i="4"/>
  <c r="H13" i="4"/>
  <c r="G13" i="4"/>
  <c r="J12" i="4"/>
  <c r="I12" i="4"/>
  <c r="B12" i="4"/>
  <c r="L11" i="4"/>
  <c r="K11" i="4"/>
  <c r="D11" i="4"/>
  <c r="C11" i="4"/>
  <c r="F10" i="4"/>
  <c r="E10" i="4"/>
  <c r="H9" i="4"/>
  <c r="J8" i="4"/>
  <c r="I8" i="4"/>
  <c r="B8" i="4"/>
  <c r="L7" i="4"/>
  <c r="K7" i="4"/>
  <c r="D7" i="4"/>
  <c r="C7" i="4"/>
  <c r="M6" i="4"/>
  <c r="F6" i="4"/>
  <c r="E6" i="4"/>
  <c r="K5" i="4"/>
  <c r="H5" i="4"/>
  <c r="G5" i="4"/>
  <c r="L4" i="4"/>
  <c r="J4" i="4"/>
  <c r="I4" i="4"/>
  <c r="E4" i="4"/>
  <c r="D4" i="4"/>
  <c r="B4" i="4"/>
  <c r="L3" i="4"/>
  <c r="K3" i="4"/>
  <c r="F3" i="4"/>
  <c r="R3" i="4" s="1"/>
  <c r="D3" i="4"/>
  <c r="C3" i="4"/>
  <c r="M2" i="4"/>
  <c r="H2" i="4"/>
  <c r="F2" i="4"/>
  <c r="E2" i="4"/>
  <c r="R1" i="4"/>
  <c r="P1" i="4"/>
  <c r="O1" i="4"/>
  <c r="K1" i="4"/>
  <c r="J1" i="4"/>
  <c r="H1" i="4"/>
  <c r="B1" i="4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G28" i="4" s="1"/>
  <c r="A6" i="3"/>
  <c r="F50" i="4" s="1"/>
  <c r="A5" i="3"/>
  <c r="E50" i="4" s="1"/>
  <c r="A4" i="3"/>
  <c r="J55" i="4" s="1"/>
  <c r="A3" i="3"/>
  <c r="I64" i="4" s="1"/>
  <c r="C2" i="3"/>
  <c r="A2" i="3"/>
  <c r="G1" i="4" l="1"/>
  <c r="O27" i="4"/>
  <c r="P4" i="4"/>
  <c r="M10" i="4"/>
  <c r="P33" i="4"/>
  <c r="AD35" i="5"/>
  <c r="A7" i="5"/>
  <c r="M65" i="4"/>
  <c r="G64" i="4"/>
  <c r="M61" i="4"/>
  <c r="G60" i="4"/>
  <c r="M57" i="4"/>
  <c r="G56" i="4"/>
  <c r="S56" i="4" s="1"/>
  <c r="M53" i="4"/>
  <c r="G52" i="4"/>
  <c r="M49" i="4"/>
  <c r="G48" i="4"/>
  <c r="M45" i="4"/>
  <c r="G44" i="4"/>
  <c r="M41" i="4"/>
  <c r="G40" i="4"/>
  <c r="S40" i="4" s="1"/>
  <c r="AC35" i="5"/>
  <c r="G67" i="4"/>
  <c r="M64" i="4"/>
  <c r="G63" i="4"/>
  <c r="M60" i="4"/>
  <c r="G59" i="4"/>
  <c r="M56" i="4"/>
  <c r="G55" i="4"/>
  <c r="M52" i="4"/>
  <c r="G51" i="4"/>
  <c r="M48" i="4"/>
  <c r="G47" i="4"/>
  <c r="M44" i="4"/>
  <c r="G43" i="4"/>
  <c r="M40" i="4"/>
  <c r="AB35" i="5"/>
  <c r="M67" i="4"/>
  <c r="G66" i="4"/>
  <c r="M63" i="4"/>
  <c r="G62" i="4"/>
  <c r="M59" i="4"/>
  <c r="M58" i="4"/>
  <c r="G54" i="4"/>
  <c r="G39" i="4"/>
  <c r="M36" i="4"/>
  <c r="G35" i="4"/>
  <c r="M32" i="4"/>
  <c r="G31" i="4"/>
  <c r="M28" i="4"/>
  <c r="S28" i="4" s="1"/>
  <c r="G27" i="4"/>
  <c r="S27" i="4" s="1"/>
  <c r="M24" i="4"/>
  <c r="G23" i="4"/>
  <c r="S23" i="4" s="1"/>
  <c r="M20" i="4"/>
  <c r="G19" i="4"/>
  <c r="M55" i="4"/>
  <c r="G49" i="4"/>
  <c r="M42" i="4"/>
  <c r="M66" i="4"/>
  <c r="M50" i="4"/>
  <c r="G46" i="4"/>
  <c r="M39" i="4"/>
  <c r="G38" i="4"/>
  <c r="S38" i="4" s="1"/>
  <c r="M35" i="4"/>
  <c r="G34" i="4"/>
  <c r="M31" i="4"/>
  <c r="G30" i="4"/>
  <c r="S30" i="4" s="1"/>
  <c r="M27" i="4"/>
  <c r="G26" i="4"/>
  <c r="S26" i="4" s="1"/>
  <c r="G58" i="4"/>
  <c r="S58" i="4" s="1"/>
  <c r="M47" i="4"/>
  <c r="M43" i="4"/>
  <c r="G41" i="4"/>
  <c r="S41" i="4" s="1"/>
  <c r="G65" i="4"/>
  <c r="M54" i="4"/>
  <c r="G50" i="4"/>
  <c r="S50" i="4" s="1"/>
  <c r="G42" i="4"/>
  <c r="M37" i="4"/>
  <c r="G29" i="4"/>
  <c r="S29" i="4" s="1"/>
  <c r="G24" i="4"/>
  <c r="S24" i="4" s="1"/>
  <c r="M23" i="4"/>
  <c r="G21" i="4"/>
  <c r="S21" i="4" s="1"/>
  <c r="M46" i="4"/>
  <c r="M38" i="4"/>
  <c r="G36" i="4"/>
  <c r="M25" i="4"/>
  <c r="M17" i="4"/>
  <c r="S17" i="4" s="1"/>
  <c r="G16" i="4"/>
  <c r="M13" i="4"/>
  <c r="S13" i="4" s="1"/>
  <c r="G12" i="4"/>
  <c r="M9" i="4"/>
  <c r="G8" i="4"/>
  <c r="M5" i="4"/>
  <c r="G4" i="4"/>
  <c r="M1" i="4"/>
  <c r="M4" i="4"/>
  <c r="G3" i="4"/>
  <c r="S1" i="4"/>
  <c r="G37" i="4"/>
  <c r="S37" i="4" s="1"/>
  <c r="M26" i="4"/>
  <c r="G22" i="4"/>
  <c r="S22" i="4" s="1"/>
  <c r="M51" i="4"/>
  <c r="M33" i="4"/>
  <c r="M16" i="4"/>
  <c r="G15" i="4"/>
  <c r="M12" i="4"/>
  <c r="G11" i="4"/>
  <c r="S11" i="4" s="1"/>
  <c r="M8" i="4"/>
  <c r="G7" i="4"/>
  <c r="M62" i="4"/>
  <c r="G57" i="4"/>
  <c r="S57" i="4" s="1"/>
  <c r="G53" i="4"/>
  <c r="S53" i="4" s="1"/>
  <c r="M34" i="4"/>
  <c r="G32" i="4"/>
  <c r="G25" i="4"/>
  <c r="S25" i="4" s="1"/>
  <c r="M21" i="4"/>
  <c r="G33" i="4"/>
  <c r="S33" i="4" s="1"/>
  <c r="G18" i="4"/>
  <c r="S18" i="4" s="1"/>
  <c r="M15" i="4"/>
  <c r="G14" i="4"/>
  <c r="S14" i="4" s="1"/>
  <c r="M11" i="4"/>
  <c r="G10" i="4"/>
  <c r="S10" i="4" s="1"/>
  <c r="M7" i="4"/>
  <c r="G6" i="4"/>
  <c r="S6" i="4" s="1"/>
  <c r="M3" i="4"/>
  <c r="G2" i="4"/>
  <c r="S2" i="4" s="1"/>
  <c r="G61" i="4"/>
  <c r="O3" i="4"/>
  <c r="M19" i="4"/>
  <c r="R45" i="4"/>
  <c r="S5" i="4"/>
  <c r="G9" i="4"/>
  <c r="M14" i="4"/>
  <c r="G45" i="4"/>
  <c r="S45" i="4" s="1"/>
  <c r="S20" i="4"/>
  <c r="O39" i="4"/>
  <c r="AD30" i="5"/>
  <c r="AC30" i="5"/>
  <c r="H67" i="4"/>
  <c r="B66" i="4"/>
  <c r="H63" i="4"/>
  <c r="B62" i="4"/>
  <c r="N62" i="4" s="1"/>
  <c r="H59" i="4"/>
  <c r="B58" i="4"/>
  <c r="N58" i="4" s="1"/>
  <c r="H55" i="4"/>
  <c r="B54" i="4"/>
  <c r="H51" i="4"/>
  <c r="N51" i="4" s="1"/>
  <c r="B50" i="4"/>
  <c r="H47" i="4"/>
  <c r="B46" i="4"/>
  <c r="N46" i="4" s="1"/>
  <c r="AB30" i="5"/>
  <c r="H66" i="4"/>
  <c r="B65" i="4"/>
  <c r="N65" i="4" s="1"/>
  <c r="A2" i="5"/>
  <c r="H65" i="4"/>
  <c r="B64" i="4"/>
  <c r="N64" i="4" s="1"/>
  <c r="H61" i="4"/>
  <c r="B67" i="4"/>
  <c r="N67" i="4" s="1"/>
  <c r="H64" i="4"/>
  <c r="B63" i="4"/>
  <c r="N63" i="4" s="1"/>
  <c r="H60" i="4"/>
  <c r="H49" i="4"/>
  <c r="B45" i="4"/>
  <c r="H40" i="4"/>
  <c r="B57" i="4"/>
  <c r="B55" i="4"/>
  <c r="N55" i="4" s="1"/>
  <c r="H46" i="4"/>
  <c r="B42" i="4"/>
  <c r="H38" i="4"/>
  <c r="N38" i="4" s="1"/>
  <c r="B37" i="4"/>
  <c r="N37" i="4" s="1"/>
  <c r="H34" i="4"/>
  <c r="B33" i="4"/>
  <c r="N33" i="4" s="1"/>
  <c r="H30" i="4"/>
  <c r="B29" i="4"/>
  <c r="N29" i="4" s="1"/>
  <c r="H26" i="4"/>
  <c r="N26" i="4" s="1"/>
  <c r="B25" i="4"/>
  <c r="H22" i="4"/>
  <c r="N22" i="4" s="1"/>
  <c r="B21" i="4"/>
  <c r="N21" i="4" s="1"/>
  <c r="H58" i="4"/>
  <c r="H56" i="4"/>
  <c r="B52" i="4"/>
  <c r="H44" i="4"/>
  <c r="H41" i="4"/>
  <c r="H53" i="4"/>
  <c r="B49" i="4"/>
  <c r="N49" i="4" s="1"/>
  <c r="B47" i="4"/>
  <c r="N47" i="4" s="1"/>
  <c r="H37" i="4"/>
  <c r="B36" i="4"/>
  <c r="N36" i="4" s="1"/>
  <c r="H33" i="4"/>
  <c r="B32" i="4"/>
  <c r="N32" i="4" s="1"/>
  <c r="H29" i="4"/>
  <c r="B28" i="4"/>
  <c r="B61" i="4"/>
  <c r="N61" i="4" s="1"/>
  <c r="B56" i="4"/>
  <c r="H45" i="4"/>
  <c r="B39" i="4"/>
  <c r="H36" i="4"/>
  <c r="B35" i="4"/>
  <c r="H32" i="4"/>
  <c r="B31" i="4"/>
  <c r="H28" i="4"/>
  <c r="B27" i="4"/>
  <c r="N27" i="4" s="1"/>
  <c r="I1" i="4"/>
  <c r="Q1" i="4"/>
  <c r="E3" i="4"/>
  <c r="Q3" i="4" s="1"/>
  <c r="C4" i="4"/>
  <c r="O4" i="4" s="1"/>
  <c r="K4" i="4"/>
  <c r="Q4" i="4" s="1"/>
  <c r="I5" i="4"/>
  <c r="E7" i="4"/>
  <c r="Q7" i="4" s="1"/>
  <c r="C8" i="4"/>
  <c r="O8" i="4" s="1"/>
  <c r="K8" i="4"/>
  <c r="I9" i="4"/>
  <c r="E11" i="4"/>
  <c r="Q11" i="4" s="1"/>
  <c r="C12" i="4"/>
  <c r="O12" i="4" s="1"/>
  <c r="K12" i="4"/>
  <c r="I13" i="4"/>
  <c r="E15" i="4"/>
  <c r="Q15" i="4" s="1"/>
  <c r="C16" i="4"/>
  <c r="O16" i="4" s="1"/>
  <c r="K16" i="4"/>
  <c r="I17" i="4"/>
  <c r="E19" i="4"/>
  <c r="H20" i="4"/>
  <c r="L21" i="4"/>
  <c r="D22" i="4"/>
  <c r="H23" i="4"/>
  <c r="J24" i="4"/>
  <c r="E25" i="4"/>
  <c r="E26" i="4"/>
  <c r="I27" i="4"/>
  <c r="F32" i="4"/>
  <c r="R32" i="4" s="1"/>
  <c r="K34" i="4"/>
  <c r="Q34" i="4" s="1"/>
  <c r="C38" i="4"/>
  <c r="H39" i="4"/>
  <c r="L40" i="4"/>
  <c r="F42" i="4"/>
  <c r="I45" i="4"/>
  <c r="J47" i="4"/>
  <c r="I49" i="4"/>
  <c r="D51" i="4"/>
  <c r="B53" i="4"/>
  <c r="N53" i="4" s="1"/>
  <c r="D55" i="4"/>
  <c r="P55" i="4" s="1"/>
  <c r="H62" i="4"/>
  <c r="AD33" i="5"/>
  <c r="B5" i="4"/>
  <c r="N5" i="4" s="1"/>
  <c r="J5" i="4"/>
  <c r="H6" i="4"/>
  <c r="F7" i="4"/>
  <c r="R7" i="4" s="1"/>
  <c r="D8" i="4"/>
  <c r="P8" i="4" s="1"/>
  <c r="L8" i="4"/>
  <c r="B9" i="4"/>
  <c r="N9" i="4" s="1"/>
  <c r="J9" i="4"/>
  <c r="H10" i="4"/>
  <c r="F11" i="4"/>
  <c r="R11" i="4" s="1"/>
  <c r="D12" i="4"/>
  <c r="P12" i="4" s="1"/>
  <c r="L12" i="4"/>
  <c r="B13" i="4"/>
  <c r="N13" i="4" s="1"/>
  <c r="J13" i="4"/>
  <c r="H14" i="4"/>
  <c r="F15" i="4"/>
  <c r="R15" i="4" s="1"/>
  <c r="D16" i="4"/>
  <c r="P16" i="4" s="1"/>
  <c r="L16" i="4"/>
  <c r="B17" i="4"/>
  <c r="N17" i="4" s="1"/>
  <c r="J17" i="4"/>
  <c r="H18" i="4"/>
  <c r="F19" i="4"/>
  <c r="R19" i="4" s="1"/>
  <c r="I20" i="4"/>
  <c r="E22" i="4"/>
  <c r="I23" i="4"/>
  <c r="K24" i="4"/>
  <c r="J26" i="4"/>
  <c r="K27" i="4"/>
  <c r="B30" i="4"/>
  <c r="N30" i="4" s="1"/>
  <c r="C31" i="4"/>
  <c r="L33" i="4"/>
  <c r="D37" i="4"/>
  <c r="E38" i="4"/>
  <c r="I39" i="4"/>
  <c r="H42" i="4"/>
  <c r="B44" i="4"/>
  <c r="L47" i="4"/>
  <c r="R47" i="4" s="1"/>
  <c r="J49" i="4"/>
  <c r="L51" i="4"/>
  <c r="E55" i="4"/>
  <c r="Q55" i="4" s="1"/>
  <c r="B59" i="4"/>
  <c r="N59" i="4" s="1"/>
  <c r="I6" i="4"/>
  <c r="E8" i="4"/>
  <c r="Q8" i="4" s="1"/>
  <c r="C9" i="4"/>
  <c r="K9" i="4"/>
  <c r="I10" i="4"/>
  <c r="E12" i="4"/>
  <c r="Q12" i="4" s="1"/>
  <c r="C13" i="4"/>
  <c r="O13" i="4" s="1"/>
  <c r="K13" i="4"/>
  <c r="I14" i="4"/>
  <c r="E16" i="4"/>
  <c r="Q16" i="4" s="1"/>
  <c r="C17" i="4"/>
  <c r="K17" i="4"/>
  <c r="I18" i="4"/>
  <c r="H19" i="4"/>
  <c r="J20" i="4"/>
  <c r="D21" i="4"/>
  <c r="F22" i="4"/>
  <c r="R22" i="4" s="1"/>
  <c r="J23" i="4"/>
  <c r="P23" i="4" s="1"/>
  <c r="B24" i="4"/>
  <c r="N24" i="4" s="1"/>
  <c r="H25" i="4"/>
  <c r="K26" i="4"/>
  <c r="C30" i="4"/>
  <c r="H31" i="4"/>
  <c r="I32" i="4"/>
  <c r="E37" i="4"/>
  <c r="J38" i="4"/>
  <c r="K39" i="4"/>
  <c r="B41" i="4"/>
  <c r="N41" i="4" s="1"/>
  <c r="D44" i="4"/>
  <c r="P44" i="4" s="1"/>
  <c r="B48" i="4"/>
  <c r="H57" i="4"/>
  <c r="L59" i="4"/>
  <c r="C63" i="4"/>
  <c r="C5" i="4"/>
  <c r="O5" i="4" s="1"/>
  <c r="AC32" i="5"/>
  <c r="AB32" i="5"/>
  <c r="J66" i="4"/>
  <c r="D65" i="4"/>
  <c r="J62" i="4"/>
  <c r="D61" i="4"/>
  <c r="J58" i="4"/>
  <c r="D57" i="4"/>
  <c r="P57" i="4" s="1"/>
  <c r="J54" i="4"/>
  <c r="D53" i="4"/>
  <c r="J50" i="4"/>
  <c r="D49" i="4"/>
  <c r="J46" i="4"/>
  <c r="D45" i="4"/>
  <c r="P45" i="4" s="1"/>
  <c r="A4" i="5"/>
  <c r="J65" i="4"/>
  <c r="D64" i="4"/>
  <c r="P64" i="4" s="1"/>
  <c r="D67" i="4"/>
  <c r="P67" i="4" s="1"/>
  <c r="J64" i="4"/>
  <c r="D63" i="4"/>
  <c r="AD32" i="5"/>
  <c r="J67" i="4"/>
  <c r="D66" i="4"/>
  <c r="J63" i="4"/>
  <c r="D62" i="4"/>
  <c r="J59" i="4"/>
  <c r="J56" i="4"/>
  <c r="D52" i="4"/>
  <c r="D50" i="4"/>
  <c r="P50" i="4" s="1"/>
  <c r="J44" i="4"/>
  <c r="D42" i="4"/>
  <c r="J41" i="4"/>
  <c r="J60" i="4"/>
  <c r="J53" i="4"/>
  <c r="J51" i="4"/>
  <c r="D47" i="4"/>
  <c r="P47" i="4" s="1"/>
  <c r="J37" i="4"/>
  <c r="D36" i="4"/>
  <c r="J33" i="4"/>
  <c r="D32" i="4"/>
  <c r="P32" i="4" s="1"/>
  <c r="J29" i="4"/>
  <c r="D28" i="4"/>
  <c r="P28" i="4" s="1"/>
  <c r="J25" i="4"/>
  <c r="P25" i="4" s="1"/>
  <c r="D24" i="4"/>
  <c r="P24" i="4" s="1"/>
  <c r="J21" i="4"/>
  <c r="D20" i="4"/>
  <c r="D59" i="4"/>
  <c r="J48" i="4"/>
  <c r="D43" i="4"/>
  <c r="P43" i="4" s="1"/>
  <c r="D40" i="4"/>
  <c r="P40" i="4" s="1"/>
  <c r="J61" i="4"/>
  <c r="D60" i="4"/>
  <c r="D56" i="4"/>
  <c r="P56" i="4" s="1"/>
  <c r="D54" i="4"/>
  <c r="J45" i="4"/>
  <c r="J42" i="4"/>
  <c r="D39" i="4"/>
  <c r="P39" i="4" s="1"/>
  <c r="J36" i="4"/>
  <c r="D35" i="4"/>
  <c r="P35" i="4" s="1"/>
  <c r="J32" i="4"/>
  <c r="D31" i="4"/>
  <c r="J28" i="4"/>
  <c r="D27" i="4"/>
  <c r="J52" i="4"/>
  <c r="D48" i="4"/>
  <c r="D46" i="4"/>
  <c r="D41" i="4"/>
  <c r="J39" i="4"/>
  <c r="D38" i="4"/>
  <c r="P38" i="4" s="1"/>
  <c r="J35" i="4"/>
  <c r="D34" i="4"/>
  <c r="P34" i="4" s="1"/>
  <c r="J31" i="4"/>
  <c r="D30" i="4"/>
  <c r="P30" i="4" s="1"/>
  <c r="J27" i="4"/>
  <c r="D26" i="4"/>
  <c r="D1" i="4"/>
  <c r="L1" i="4"/>
  <c r="B2" i="4"/>
  <c r="N2" i="4" s="1"/>
  <c r="J2" i="4"/>
  <c r="H3" i="4"/>
  <c r="F4" i="4"/>
  <c r="R4" i="4" s="1"/>
  <c r="D5" i="4"/>
  <c r="P5" i="4" s="1"/>
  <c r="L5" i="4"/>
  <c r="B6" i="4"/>
  <c r="J6" i="4"/>
  <c r="H7" i="4"/>
  <c r="F8" i="4"/>
  <c r="D9" i="4"/>
  <c r="P9" i="4" s="1"/>
  <c r="L9" i="4"/>
  <c r="B10" i="4"/>
  <c r="N10" i="4" s="1"/>
  <c r="J10" i="4"/>
  <c r="H11" i="4"/>
  <c r="F12" i="4"/>
  <c r="R12" i="4" s="1"/>
  <c r="D13" i="4"/>
  <c r="L13" i="4"/>
  <c r="B14" i="4"/>
  <c r="N14" i="4" s="1"/>
  <c r="J14" i="4"/>
  <c r="H15" i="4"/>
  <c r="F16" i="4"/>
  <c r="R16" i="4" s="1"/>
  <c r="D17" i="4"/>
  <c r="P17" i="4" s="1"/>
  <c r="L17" i="4"/>
  <c r="B18" i="4"/>
  <c r="N18" i="4" s="1"/>
  <c r="J18" i="4"/>
  <c r="I19" i="4"/>
  <c r="O19" i="4" s="1"/>
  <c r="K20" i="4"/>
  <c r="E21" i="4"/>
  <c r="K23" i="4"/>
  <c r="Q23" i="4" s="1"/>
  <c r="C24" i="4"/>
  <c r="O24" i="4" s="1"/>
  <c r="L25" i="4"/>
  <c r="D29" i="4"/>
  <c r="E30" i="4"/>
  <c r="I31" i="4"/>
  <c r="F36" i="4"/>
  <c r="K38" i="4"/>
  <c r="F41" i="4"/>
  <c r="K44" i="4"/>
  <c r="E46" i="4"/>
  <c r="Q46" i="4" s="1"/>
  <c r="C48" i="4"/>
  <c r="J57" i="4"/>
  <c r="I67" i="4"/>
  <c r="C66" i="4"/>
  <c r="O66" i="4" s="1"/>
  <c r="I63" i="4"/>
  <c r="C62" i="4"/>
  <c r="I59" i="4"/>
  <c r="C58" i="4"/>
  <c r="O58" i="4" s="1"/>
  <c r="I55" i="4"/>
  <c r="C54" i="4"/>
  <c r="I51" i="4"/>
  <c r="C50" i="4"/>
  <c r="O50" i="4" s="1"/>
  <c r="I47" i="4"/>
  <c r="C46" i="4"/>
  <c r="I43" i="4"/>
  <c r="C42" i="4"/>
  <c r="O42" i="4" s="1"/>
  <c r="I66" i="4"/>
  <c r="C65" i="4"/>
  <c r="I62" i="4"/>
  <c r="C61" i="4"/>
  <c r="O61" i="4" s="1"/>
  <c r="I58" i="4"/>
  <c r="C57" i="4"/>
  <c r="I54" i="4"/>
  <c r="C53" i="4"/>
  <c r="O53" i="4" s="1"/>
  <c r="I50" i="4"/>
  <c r="C49" i="4"/>
  <c r="I46" i="4"/>
  <c r="C45" i="4"/>
  <c r="O45" i="4" s="1"/>
  <c r="I42" i="4"/>
  <c r="C41" i="4"/>
  <c r="O41" i="4" s="1"/>
  <c r="A3" i="5"/>
  <c r="I65" i="4"/>
  <c r="C64" i="4"/>
  <c r="O64" i="4" s="1"/>
  <c r="I61" i="4"/>
  <c r="C60" i="4"/>
  <c r="O60" i="4" s="1"/>
  <c r="AD31" i="5"/>
  <c r="AB31" i="5"/>
  <c r="C55" i="4"/>
  <c r="O55" i="4" s="1"/>
  <c r="I38" i="4"/>
  <c r="C37" i="4"/>
  <c r="O37" i="4" s="1"/>
  <c r="I34" i="4"/>
  <c r="C33" i="4"/>
  <c r="I30" i="4"/>
  <c r="C29" i="4"/>
  <c r="O29" i="4" s="1"/>
  <c r="I26" i="4"/>
  <c r="O26" i="4" s="1"/>
  <c r="C25" i="4"/>
  <c r="O25" i="4" s="1"/>
  <c r="I22" i="4"/>
  <c r="O22" i="4" s="1"/>
  <c r="C21" i="4"/>
  <c r="O21" i="4" s="1"/>
  <c r="C67" i="4"/>
  <c r="I56" i="4"/>
  <c r="C52" i="4"/>
  <c r="I44" i="4"/>
  <c r="I41" i="4"/>
  <c r="I60" i="4"/>
  <c r="I53" i="4"/>
  <c r="C47" i="4"/>
  <c r="O47" i="4" s="1"/>
  <c r="I37" i="4"/>
  <c r="C36" i="4"/>
  <c r="I33" i="4"/>
  <c r="C32" i="4"/>
  <c r="O32" i="4" s="1"/>
  <c r="I29" i="4"/>
  <c r="C28" i="4"/>
  <c r="O28" i="4" s="1"/>
  <c r="I25" i="4"/>
  <c r="C59" i="4"/>
  <c r="O59" i="4" s="1"/>
  <c r="I48" i="4"/>
  <c r="C43" i="4"/>
  <c r="C40" i="4"/>
  <c r="O40" i="4" s="1"/>
  <c r="AC31" i="5"/>
  <c r="I57" i="4"/>
  <c r="C51" i="4"/>
  <c r="C44" i="4"/>
  <c r="C1" i="4"/>
  <c r="I2" i="4"/>
  <c r="AC33" i="5"/>
  <c r="AB33" i="5"/>
  <c r="K66" i="4"/>
  <c r="E65" i="4"/>
  <c r="K62" i="4"/>
  <c r="E61" i="4"/>
  <c r="K58" i="4"/>
  <c r="E57" i="4"/>
  <c r="Q57" i="4" s="1"/>
  <c r="K54" i="4"/>
  <c r="E53" i="4"/>
  <c r="Q53" i="4" s="1"/>
  <c r="K50" i="4"/>
  <c r="Q50" i="4" s="1"/>
  <c r="E49" i="4"/>
  <c r="K46" i="4"/>
  <c r="E45" i="4"/>
  <c r="K42" i="4"/>
  <c r="Q42" i="4" s="1"/>
  <c r="E41" i="4"/>
  <c r="Q41" i="4" s="1"/>
  <c r="A5" i="5"/>
  <c r="K65" i="4"/>
  <c r="E64" i="4"/>
  <c r="Q64" i="4" s="1"/>
  <c r="K61" i="4"/>
  <c r="E60" i="4"/>
  <c r="K57" i="4"/>
  <c r="E56" i="4"/>
  <c r="Q56" i="4" s="1"/>
  <c r="K53" i="4"/>
  <c r="E52" i="4"/>
  <c r="Q52" i="4" s="1"/>
  <c r="K49" i="4"/>
  <c r="E48" i="4"/>
  <c r="Q48" i="4" s="1"/>
  <c r="K45" i="4"/>
  <c r="E44" i="4"/>
  <c r="Q44" i="4" s="1"/>
  <c r="K41" i="4"/>
  <c r="E40" i="4"/>
  <c r="Q40" i="4" s="1"/>
  <c r="E67" i="4"/>
  <c r="K64" i="4"/>
  <c r="E63" i="4"/>
  <c r="Q63" i="4" s="1"/>
  <c r="K60" i="4"/>
  <c r="E59" i="4"/>
  <c r="K67" i="4"/>
  <c r="E62" i="4"/>
  <c r="K59" i="4"/>
  <c r="K51" i="4"/>
  <c r="E47" i="4"/>
  <c r="K37" i="4"/>
  <c r="E36" i="4"/>
  <c r="Q36" i="4" s="1"/>
  <c r="K33" i="4"/>
  <c r="Q33" i="4" s="1"/>
  <c r="E32" i="4"/>
  <c r="K29" i="4"/>
  <c r="E28" i="4"/>
  <c r="Q28" i="4" s="1"/>
  <c r="K25" i="4"/>
  <c r="E24" i="4"/>
  <c r="Q24" i="4" s="1"/>
  <c r="K21" i="4"/>
  <c r="E20" i="4"/>
  <c r="Q20" i="4" s="1"/>
  <c r="K48" i="4"/>
  <c r="E43" i="4"/>
  <c r="Q43" i="4" s="1"/>
  <c r="K63" i="4"/>
  <c r="E54" i="4"/>
  <c r="Q54" i="4" s="1"/>
  <c r="E39" i="4"/>
  <c r="Q39" i="4" s="1"/>
  <c r="K36" i="4"/>
  <c r="E35" i="4"/>
  <c r="Q35" i="4" s="1"/>
  <c r="K32" i="4"/>
  <c r="E31" i="4"/>
  <c r="K28" i="4"/>
  <c r="E27" i="4"/>
  <c r="Q27" i="4" s="1"/>
  <c r="E66" i="4"/>
  <c r="K55" i="4"/>
  <c r="E51" i="4"/>
  <c r="E58" i="4"/>
  <c r="Q58" i="4" s="1"/>
  <c r="K47" i="4"/>
  <c r="K43" i="4"/>
  <c r="K40" i="4"/>
  <c r="E1" i="4"/>
  <c r="C2" i="4"/>
  <c r="O2" i="4" s="1"/>
  <c r="K2" i="4"/>
  <c r="Q2" i="4" s="1"/>
  <c r="I3" i="4"/>
  <c r="E5" i="4"/>
  <c r="Q5" i="4" s="1"/>
  <c r="C6" i="4"/>
  <c r="O6" i="4" s="1"/>
  <c r="K6" i="4"/>
  <c r="Q6" i="4" s="1"/>
  <c r="I7" i="4"/>
  <c r="O7" i="4" s="1"/>
  <c r="E9" i="4"/>
  <c r="Q9" i="4" s="1"/>
  <c r="C10" i="4"/>
  <c r="O10" i="4" s="1"/>
  <c r="K10" i="4"/>
  <c r="Q10" i="4" s="1"/>
  <c r="I11" i="4"/>
  <c r="O11" i="4" s="1"/>
  <c r="E13" i="4"/>
  <c r="Q13" i="4" s="1"/>
  <c r="C14" i="4"/>
  <c r="O14" i="4" s="1"/>
  <c r="K14" i="4"/>
  <c r="Q14" i="4" s="1"/>
  <c r="I15" i="4"/>
  <c r="O15" i="4" s="1"/>
  <c r="E17" i="4"/>
  <c r="Q17" i="4" s="1"/>
  <c r="C18" i="4"/>
  <c r="O18" i="4" s="1"/>
  <c r="K18" i="4"/>
  <c r="Q18" i="4" s="1"/>
  <c r="J19" i="4"/>
  <c r="P19" i="4" s="1"/>
  <c r="B20" i="4"/>
  <c r="N20" i="4" s="1"/>
  <c r="F21" i="4"/>
  <c r="R21" i="4" s="1"/>
  <c r="J22" i="4"/>
  <c r="B23" i="4"/>
  <c r="N23" i="4" s="1"/>
  <c r="L23" i="4"/>
  <c r="F24" i="4"/>
  <c r="R24" i="4" s="1"/>
  <c r="E29" i="4"/>
  <c r="Q29" i="4" s="1"/>
  <c r="J30" i="4"/>
  <c r="K31" i="4"/>
  <c r="B34" i="4"/>
  <c r="N34" i="4" s="1"/>
  <c r="C35" i="4"/>
  <c r="O35" i="4" s="1"/>
  <c r="L37" i="4"/>
  <c r="L41" i="4"/>
  <c r="B43" i="4"/>
  <c r="L44" i="4"/>
  <c r="H48" i="4"/>
  <c r="H52" i="4"/>
  <c r="B60" i="4"/>
  <c r="N60" i="4" s="1"/>
  <c r="AC34" i="5"/>
  <c r="A6" i="5"/>
  <c r="L65" i="4"/>
  <c r="F64" i="4"/>
  <c r="R64" i="4" s="1"/>
  <c r="L61" i="4"/>
  <c r="F60" i="4"/>
  <c r="L57" i="4"/>
  <c r="F56" i="4"/>
  <c r="R56" i="4" s="1"/>
  <c r="L53" i="4"/>
  <c r="F52" i="4"/>
  <c r="L49" i="4"/>
  <c r="F48" i="4"/>
  <c r="L45" i="4"/>
  <c r="F67" i="4"/>
  <c r="L64" i="4"/>
  <c r="AD34" i="5"/>
  <c r="AB34" i="5"/>
  <c r="L67" i="4"/>
  <c r="F66" i="4"/>
  <c r="R66" i="4" s="1"/>
  <c r="L63" i="4"/>
  <c r="F62" i="4"/>
  <c r="L66" i="4"/>
  <c r="F65" i="4"/>
  <c r="R65" i="4" s="1"/>
  <c r="L62" i="4"/>
  <c r="F61" i="4"/>
  <c r="R61" i="4" s="1"/>
  <c r="L60" i="4"/>
  <c r="F57" i="4"/>
  <c r="L48" i="4"/>
  <c r="L46" i="4"/>
  <c r="F43" i="4"/>
  <c r="R43" i="4" s="1"/>
  <c r="F59" i="4"/>
  <c r="R59" i="4" s="1"/>
  <c r="L58" i="4"/>
  <c r="R58" i="4" s="1"/>
  <c r="F54" i="4"/>
  <c r="R54" i="4" s="1"/>
  <c r="F40" i="4"/>
  <c r="R40" i="4" s="1"/>
  <c r="F39" i="4"/>
  <c r="R39" i="4" s="1"/>
  <c r="L36" i="4"/>
  <c r="F35" i="4"/>
  <c r="L32" i="4"/>
  <c r="F31" i="4"/>
  <c r="R31" i="4" s="1"/>
  <c r="L28" i="4"/>
  <c r="F27" i="4"/>
  <c r="L24" i="4"/>
  <c r="F23" i="4"/>
  <c r="R23" i="4" s="1"/>
  <c r="L20" i="4"/>
  <c r="R20" i="4" s="1"/>
  <c r="L55" i="4"/>
  <c r="F51" i="4"/>
  <c r="R51" i="4" s="1"/>
  <c r="F49" i="4"/>
  <c r="R49" i="4" s="1"/>
  <c r="L42" i="4"/>
  <c r="F63" i="4"/>
  <c r="L52" i="4"/>
  <c r="L50" i="4"/>
  <c r="R50" i="4" s="1"/>
  <c r="F46" i="4"/>
  <c r="R46" i="4" s="1"/>
  <c r="F44" i="4"/>
  <c r="R44" i="4" s="1"/>
  <c r="L39" i="4"/>
  <c r="F38" i="4"/>
  <c r="L35" i="4"/>
  <c r="F34" i="4"/>
  <c r="R34" i="4" s="1"/>
  <c r="L31" i="4"/>
  <c r="F30" i="4"/>
  <c r="L27" i="4"/>
  <c r="F26" i="4"/>
  <c r="R26" i="4" s="1"/>
  <c r="F55" i="4"/>
  <c r="F53" i="4"/>
  <c r="R53" i="4" s="1"/>
  <c r="L38" i="4"/>
  <c r="F37" i="4"/>
  <c r="R37" i="4" s="1"/>
  <c r="L34" i="4"/>
  <c r="F33" i="4"/>
  <c r="R33" i="4" s="1"/>
  <c r="L30" i="4"/>
  <c r="F29" i="4"/>
  <c r="R29" i="4" s="1"/>
  <c r="L26" i="4"/>
  <c r="F25" i="4"/>
  <c r="R25" i="4" s="1"/>
  <c r="F1" i="4"/>
  <c r="N1" i="4"/>
  <c r="D2" i="4"/>
  <c r="P2" i="4" s="1"/>
  <c r="L2" i="4"/>
  <c r="R2" i="4" s="1"/>
  <c r="B3" i="4"/>
  <c r="N3" i="4" s="1"/>
  <c r="J3" i="4"/>
  <c r="P3" i="4" s="1"/>
  <c r="H4" i="4"/>
  <c r="N4" i="4" s="1"/>
  <c r="F5" i="4"/>
  <c r="R5" i="4" s="1"/>
  <c r="D6" i="4"/>
  <c r="P6" i="4" s="1"/>
  <c r="L6" i="4"/>
  <c r="R6" i="4" s="1"/>
  <c r="B7" i="4"/>
  <c r="N7" i="4" s="1"/>
  <c r="J7" i="4"/>
  <c r="P7" i="4" s="1"/>
  <c r="H8" i="4"/>
  <c r="N8" i="4" s="1"/>
  <c r="F9" i="4"/>
  <c r="D10" i="4"/>
  <c r="L10" i="4"/>
  <c r="R10" i="4" s="1"/>
  <c r="B11" i="4"/>
  <c r="N11" i="4" s="1"/>
  <c r="J11" i="4"/>
  <c r="P11" i="4" s="1"/>
  <c r="H12" i="4"/>
  <c r="N12" i="4" s="1"/>
  <c r="F13" i="4"/>
  <c r="R13" i="4" s="1"/>
  <c r="D14" i="4"/>
  <c r="P14" i="4" s="1"/>
  <c r="L14" i="4"/>
  <c r="R14" i="4" s="1"/>
  <c r="B15" i="4"/>
  <c r="N15" i="4" s="1"/>
  <c r="J15" i="4"/>
  <c r="P15" i="4" s="1"/>
  <c r="H16" i="4"/>
  <c r="N16" i="4" s="1"/>
  <c r="F17" i="4"/>
  <c r="R17" i="4" s="1"/>
  <c r="D18" i="4"/>
  <c r="P18" i="4" s="1"/>
  <c r="L18" i="4"/>
  <c r="R18" i="4" s="1"/>
  <c r="B19" i="4"/>
  <c r="N19" i="4" s="1"/>
  <c r="K19" i="4"/>
  <c r="C20" i="4"/>
  <c r="O20" i="4" s="1"/>
  <c r="K22" i="4"/>
  <c r="C23" i="4"/>
  <c r="O23" i="4" s="1"/>
  <c r="F28" i="4"/>
  <c r="K30" i="4"/>
  <c r="C34" i="4"/>
  <c r="O34" i="4" s="1"/>
  <c r="H35" i="4"/>
  <c r="I36" i="4"/>
  <c r="B40" i="4"/>
  <c r="N40" i="4" s="1"/>
  <c r="H43" i="4"/>
  <c r="H50" i="4"/>
  <c r="I52" i="4"/>
  <c r="H54" i="4"/>
  <c r="C56" i="4"/>
  <c r="O56" i="4" s="1"/>
  <c r="D58" i="4"/>
  <c r="P58" i="4" s="1"/>
  <c r="Q9" i="6"/>
  <c r="F49" i="6" l="1"/>
  <c r="AD38" i="6"/>
  <c r="L49" i="6"/>
  <c r="R36" i="4"/>
  <c r="P48" i="4"/>
  <c r="P62" i="4"/>
  <c r="AC39" i="6"/>
  <c r="AE32" i="5"/>
  <c r="J50" i="6"/>
  <c r="D50" i="6"/>
  <c r="O17" i="4"/>
  <c r="O9" i="4"/>
  <c r="N44" i="4"/>
  <c r="P51" i="4"/>
  <c r="AB37" i="6"/>
  <c r="B48" i="6"/>
  <c r="S15" i="4"/>
  <c r="S3" i="4"/>
  <c r="S34" i="4"/>
  <c r="S49" i="4"/>
  <c r="S31" i="4"/>
  <c r="S62" i="4"/>
  <c r="S47" i="4"/>
  <c r="S63" i="4"/>
  <c r="S48" i="4"/>
  <c r="S64" i="4"/>
  <c r="B51" i="6"/>
  <c r="AB40" i="6"/>
  <c r="S16" i="4"/>
  <c r="P10" i="4"/>
  <c r="R55" i="4"/>
  <c r="R67" i="4"/>
  <c r="R60" i="4"/>
  <c r="Q51" i="4"/>
  <c r="Q47" i="4"/>
  <c r="AC40" i="6"/>
  <c r="D51" i="6"/>
  <c r="J51" i="6"/>
  <c r="AE33" i="5"/>
  <c r="O43" i="4"/>
  <c r="O36" i="4"/>
  <c r="O33" i="4"/>
  <c r="O49" i="4"/>
  <c r="O65" i="4"/>
  <c r="O54" i="4"/>
  <c r="Q30" i="4"/>
  <c r="R8" i="4"/>
  <c r="P27" i="4"/>
  <c r="P59" i="4"/>
  <c r="P42" i="4"/>
  <c r="P66" i="4"/>
  <c r="O63" i="4"/>
  <c r="Q37" i="4"/>
  <c r="Q19" i="4"/>
  <c r="N52" i="4"/>
  <c r="N57" i="4"/>
  <c r="S61" i="4"/>
  <c r="S19" i="4"/>
  <c r="S35" i="4"/>
  <c r="S66" i="4"/>
  <c r="S51" i="4"/>
  <c r="S67" i="4"/>
  <c r="S52" i="4"/>
  <c r="R38" i="4"/>
  <c r="O52" i="4"/>
  <c r="N35" i="4"/>
  <c r="R9" i="4"/>
  <c r="R35" i="4"/>
  <c r="R62" i="4"/>
  <c r="Q67" i="4"/>
  <c r="O67" i="4"/>
  <c r="O48" i="4"/>
  <c r="P29" i="4"/>
  <c r="P13" i="4"/>
  <c r="P54" i="4"/>
  <c r="P20" i="4"/>
  <c r="P36" i="4"/>
  <c r="P61" i="4"/>
  <c r="P21" i="4"/>
  <c r="Q38" i="4"/>
  <c r="Q26" i="4"/>
  <c r="N39" i="4"/>
  <c r="N50" i="4"/>
  <c r="N66" i="4"/>
  <c r="S4" i="4"/>
  <c r="AC42" i="6"/>
  <c r="AE35" i="5"/>
  <c r="J53" i="6"/>
  <c r="D53" i="6"/>
  <c r="L53" i="6"/>
  <c r="AD42" i="6"/>
  <c r="F53" i="6"/>
  <c r="F52" i="6"/>
  <c r="AD41" i="6"/>
  <c r="L52" i="6"/>
  <c r="N43" i="4"/>
  <c r="P31" i="4"/>
  <c r="P37" i="4"/>
  <c r="AD40" i="6"/>
  <c r="L51" i="6"/>
  <c r="F51" i="6"/>
  <c r="R42" i="4"/>
  <c r="Q25" i="4"/>
  <c r="N45" i="4"/>
  <c r="S7" i="4"/>
  <c r="S36" i="4"/>
  <c r="S42" i="4"/>
  <c r="S46" i="4"/>
  <c r="S39" i="4"/>
  <c r="B53" i="6"/>
  <c r="AB42" i="6"/>
  <c r="S55" i="4"/>
  <c r="Q66" i="4"/>
  <c r="AD39" i="6"/>
  <c r="F50" i="6"/>
  <c r="L50" i="6"/>
  <c r="Q22" i="4"/>
  <c r="R30" i="4"/>
  <c r="R57" i="4"/>
  <c r="Q62" i="4"/>
  <c r="Q45" i="4"/>
  <c r="Q61" i="4"/>
  <c r="O44" i="4"/>
  <c r="N6" i="4"/>
  <c r="P60" i="4"/>
  <c r="P52" i="4"/>
  <c r="P63" i="4"/>
  <c r="P49" i="4"/>
  <c r="P65" i="4"/>
  <c r="N48" i="4"/>
  <c r="O30" i="4"/>
  <c r="N56" i="4"/>
  <c r="B28" i="5"/>
  <c r="B29" i="5"/>
  <c r="N54" i="4"/>
  <c r="AC37" i="6"/>
  <c r="D48" i="6"/>
  <c r="AE30" i="5"/>
  <c r="S9" i="4"/>
  <c r="S8" i="4"/>
  <c r="S54" i="4"/>
  <c r="R48" i="4"/>
  <c r="R52" i="4"/>
  <c r="Q32" i="4"/>
  <c r="Q60" i="4"/>
  <c r="O51" i="4"/>
  <c r="O57" i="4"/>
  <c r="O46" i="4"/>
  <c r="O62" i="4"/>
  <c r="R41" i="4"/>
  <c r="P26" i="4"/>
  <c r="P41" i="4"/>
  <c r="O31" i="4"/>
  <c r="F48" i="6"/>
  <c r="AD37" i="6"/>
  <c r="S43" i="4"/>
  <c r="S59" i="4"/>
  <c r="S44" i="4"/>
  <c r="S60" i="4"/>
  <c r="D49" i="6"/>
  <c r="AC38" i="6"/>
  <c r="J49" i="6"/>
  <c r="AE31" i="5"/>
  <c r="R28" i="4"/>
  <c r="R63" i="4"/>
  <c r="R27" i="4"/>
  <c r="B52" i="6"/>
  <c r="AB41" i="6"/>
  <c r="J52" i="6"/>
  <c r="D52" i="6"/>
  <c r="AC41" i="6"/>
  <c r="AE34" i="5"/>
  <c r="Q31" i="4"/>
  <c r="Q59" i="4"/>
  <c r="Q49" i="4"/>
  <c r="Q65" i="4"/>
  <c r="B49" i="6"/>
  <c r="AB38" i="6"/>
  <c r="Q21" i="4"/>
  <c r="P46" i="4"/>
  <c r="P53" i="4"/>
  <c r="B50" i="6"/>
  <c r="AB39" i="6"/>
  <c r="O38" i="4"/>
  <c r="P22" i="4"/>
  <c r="N31" i="4"/>
  <c r="N28" i="4"/>
  <c r="N25" i="4"/>
  <c r="N42" i="4"/>
  <c r="S32" i="4"/>
  <c r="S12" i="4"/>
  <c r="S65" i="4"/>
  <c r="G95" i="5" l="1"/>
  <c r="G87" i="5"/>
  <c r="G79" i="5"/>
  <c r="G71" i="5"/>
  <c r="G92" i="5"/>
  <c r="G84" i="5"/>
  <c r="G76" i="5"/>
  <c r="G94" i="5"/>
  <c r="G86" i="5"/>
  <c r="G78" i="5"/>
  <c r="G70" i="5"/>
  <c r="G85" i="5"/>
  <c r="G80" i="5"/>
  <c r="G66" i="5"/>
  <c r="G62" i="5"/>
  <c r="G90" i="5"/>
  <c r="G75" i="5"/>
  <c r="G48" i="5"/>
  <c r="G41" i="5"/>
  <c r="G36" i="5"/>
  <c r="G93" i="5"/>
  <c r="G88" i="5"/>
  <c r="G73" i="5"/>
  <c r="G67" i="5"/>
  <c r="G63" i="5"/>
  <c r="G59" i="5"/>
  <c r="G55" i="5"/>
  <c r="G49" i="5"/>
  <c r="G44" i="5"/>
  <c r="G37" i="5"/>
  <c r="G33" i="5"/>
  <c r="G83" i="5"/>
  <c r="G50" i="5"/>
  <c r="G91" i="5"/>
  <c r="G74" i="5"/>
  <c r="G52" i="5"/>
  <c r="G89" i="5"/>
  <c r="G77" i="5"/>
  <c r="G72" i="5"/>
  <c r="G69" i="5"/>
  <c r="G65" i="5"/>
  <c r="G61" i="5"/>
  <c r="G57" i="5"/>
  <c r="G53" i="5"/>
  <c r="G45" i="5"/>
  <c r="G40" i="5"/>
  <c r="G56" i="5"/>
  <c r="G82" i="5"/>
  <c r="G42" i="5"/>
  <c r="G30" i="5"/>
  <c r="G58" i="5"/>
  <c r="G39" i="5"/>
  <c r="G81" i="5"/>
  <c r="G68" i="5"/>
  <c r="G47" i="5"/>
  <c r="G64" i="5"/>
  <c r="G35" i="5"/>
  <c r="G32" i="5"/>
  <c r="G46" i="5"/>
  <c r="G38" i="5"/>
  <c r="G34" i="5"/>
  <c r="G31" i="5"/>
  <c r="G51" i="5"/>
  <c r="G60" i="5"/>
  <c r="G54" i="5"/>
  <c r="G43" i="5"/>
  <c r="H50" i="6"/>
  <c r="AE39" i="6"/>
  <c r="F94" i="5"/>
  <c r="F86" i="5"/>
  <c r="F78" i="5"/>
  <c r="F70" i="5"/>
  <c r="F91" i="5"/>
  <c r="F83" i="5"/>
  <c r="F75" i="5"/>
  <c r="F93" i="5"/>
  <c r="F85" i="5"/>
  <c r="F77" i="5"/>
  <c r="F69" i="5"/>
  <c r="F92" i="5"/>
  <c r="F82" i="5"/>
  <c r="F95" i="5"/>
  <c r="F80" i="5"/>
  <c r="F66" i="5"/>
  <c r="F62" i="5"/>
  <c r="F58" i="5"/>
  <c r="F54" i="5"/>
  <c r="F47" i="5"/>
  <c r="F90" i="5"/>
  <c r="F48" i="5"/>
  <c r="F41" i="5"/>
  <c r="F36" i="5"/>
  <c r="F88" i="5"/>
  <c r="F73" i="5"/>
  <c r="F71" i="5"/>
  <c r="F67" i="5"/>
  <c r="F63" i="5"/>
  <c r="F59" i="5"/>
  <c r="F55" i="5"/>
  <c r="F49" i="5"/>
  <c r="F81" i="5"/>
  <c r="F79" i="5"/>
  <c r="F68" i="5"/>
  <c r="F64" i="5"/>
  <c r="F60" i="5"/>
  <c r="F56" i="5"/>
  <c r="F51" i="5"/>
  <c r="F42" i="5"/>
  <c r="F39" i="5"/>
  <c r="F84" i="5"/>
  <c r="F74" i="5"/>
  <c r="F52" i="5"/>
  <c r="F46" i="5"/>
  <c r="F40" i="5"/>
  <c r="F38" i="5"/>
  <c r="F34" i="5"/>
  <c r="F31" i="5"/>
  <c r="F53" i="5"/>
  <c r="F33" i="5"/>
  <c r="F87" i="5"/>
  <c r="F50" i="5"/>
  <c r="F65" i="5"/>
  <c r="F45" i="5"/>
  <c r="F30" i="5"/>
  <c r="F61" i="5"/>
  <c r="F44" i="5"/>
  <c r="F72" i="5"/>
  <c r="F89" i="5"/>
  <c r="F43" i="5"/>
  <c r="F57" i="5"/>
  <c r="F35" i="5"/>
  <c r="F76" i="5"/>
  <c r="F37" i="5"/>
  <c r="F32" i="5"/>
  <c r="H53" i="6"/>
  <c r="AE42" i="6"/>
  <c r="H51" i="6"/>
  <c r="AE40" i="6"/>
  <c r="AE41" i="6"/>
  <c r="H52" i="6"/>
  <c r="AE38" i="6"/>
  <c r="H49" i="6"/>
  <c r="AE37" i="6"/>
  <c r="H48" i="6"/>
  <c r="J89" i="5" l="1"/>
  <c r="H89" i="5"/>
  <c r="H87" i="5"/>
  <c r="J87" i="5"/>
  <c r="J52" i="5"/>
  <c r="H52" i="5"/>
  <c r="J64" i="5"/>
  <c r="H64" i="5"/>
  <c r="J67" i="5"/>
  <c r="H67" i="5"/>
  <c r="J47" i="5"/>
  <c r="H47" i="5"/>
  <c r="J92" i="5"/>
  <c r="H92" i="5"/>
  <c r="H70" i="5"/>
  <c r="J70" i="5"/>
  <c r="J78" i="5"/>
  <c r="H78" i="5"/>
  <c r="J58" i="5"/>
  <c r="H58" i="5"/>
  <c r="H72" i="5"/>
  <c r="J72" i="5"/>
  <c r="H71" i="5"/>
  <c r="J71" i="5"/>
  <c r="H44" i="5"/>
  <c r="J44" i="5"/>
  <c r="H79" i="5"/>
  <c r="J79" i="5"/>
  <c r="H77" i="5"/>
  <c r="J77" i="5"/>
  <c r="J31" i="5"/>
  <c r="H31" i="5"/>
  <c r="J39" i="5"/>
  <c r="H39" i="5"/>
  <c r="J62" i="5"/>
  <c r="H62" i="5"/>
  <c r="J94" i="5"/>
  <c r="H94" i="5"/>
  <c r="J68" i="5"/>
  <c r="H68" i="5"/>
  <c r="J32" i="5"/>
  <c r="H32" i="5"/>
  <c r="J73" i="5"/>
  <c r="H73" i="5"/>
  <c r="J86" i="5"/>
  <c r="H86" i="5"/>
  <c r="J61" i="5"/>
  <c r="H61" i="5"/>
  <c r="J81" i="5"/>
  <c r="H81" i="5"/>
  <c r="H88" i="5"/>
  <c r="J88" i="5"/>
  <c r="H85" i="5"/>
  <c r="J85" i="5"/>
  <c r="J76" i="5"/>
  <c r="H76" i="5"/>
  <c r="H30" i="5"/>
  <c r="J30" i="5"/>
  <c r="H34" i="5"/>
  <c r="J34" i="5"/>
  <c r="J42" i="5"/>
  <c r="H42" i="5"/>
  <c r="H49" i="5"/>
  <c r="J49" i="5"/>
  <c r="J36" i="5"/>
  <c r="H36" i="5"/>
  <c r="J66" i="5"/>
  <c r="H66" i="5"/>
  <c r="H93" i="5"/>
  <c r="J93" i="5"/>
  <c r="H33" i="5"/>
  <c r="J33" i="5"/>
  <c r="J54" i="5"/>
  <c r="H54" i="5"/>
  <c r="H84" i="5"/>
  <c r="J84" i="5"/>
  <c r="H37" i="5"/>
  <c r="J37" i="5"/>
  <c r="J35" i="5"/>
  <c r="H35" i="5"/>
  <c r="H38" i="5"/>
  <c r="J38" i="5"/>
  <c r="H55" i="5"/>
  <c r="J55" i="5"/>
  <c r="J41" i="5"/>
  <c r="H41" i="5"/>
  <c r="H75" i="5"/>
  <c r="J75" i="5"/>
  <c r="J57" i="5"/>
  <c r="H57" i="5"/>
  <c r="J65" i="5"/>
  <c r="H65" i="5"/>
  <c r="H40" i="5"/>
  <c r="J40" i="5"/>
  <c r="J56" i="5"/>
  <c r="H56" i="5"/>
  <c r="H59" i="5"/>
  <c r="J59" i="5"/>
  <c r="J48" i="5"/>
  <c r="H48" i="5"/>
  <c r="H95" i="5"/>
  <c r="J95" i="5"/>
  <c r="J83" i="5"/>
  <c r="H83" i="5"/>
  <c r="J74" i="5"/>
  <c r="H74" i="5"/>
  <c r="H69" i="5"/>
  <c r="J69" i="5"/>
  <c r="J53" i="5"/>
  <c r="H53" i="5"/>
  <c r="J45" i="5"/>
  <c r="H45" i="5"/>
  <c r="J51" i="5"/>
  <c r="H51" i="5"/>
  <c r="H80" i="5"/>
  <c r="J80" i="5"/>
  <c r="H43" i="5"/>
  <c r="J43" i="5"/>
  <c r="H50" i="5"/>
  <c r="J50" i="5"/>
  <c r="H46" i="5"/>
  <c r="J46" i="5"/>
  <c r="J60" i="5"/>
  <c r="H60" i="5"/>
  <c r="H63" i="5"/>
  <c r="J63" i="5"/>
  <c r="H90" i="5"/>
  <c r="J90" i="5"/>
  <c r="J82" i="5"/>
  <c r="H82" i="5"/>
  <c r="J91" i="5"/>
  <c r="H91" i="5"/>
  <c r="K33" i="5" l="1"/>
  <c r="I33" i="5"/>
  <c r="K31" i="5"/>
  <c r="I31" i="5"/>
  <c r="K53" i="5"/>
  <c r="I53" i="5"/>
  <c r="K41" i="5"/>
  <c r="I41" i="5"/>
  <c r="I42" i="5"/>
  <c r="K42" i="5"/>
  <c r="I71" i="5"/>
  <c r="K71" i="5"/>
  <c r="I70" i="5"/>
  <c r="K70" i="5"/>
  <c r="K63" i="5"/>
  <c r="I63" i="5"/>
  <c r="I43" i="5"/>
  <c r="K43" i="5"/>
  <c r="I95" i="5"/>
  <c r="K95" i="5"/>
  <c r="K40" i="5"/>
  <c r="I40" i="5"/>
  <c r="K37" i="5"/>
  <c r="I37" i="5"/>
  <c r="I93" i="5"/>
  <c r="K93" i="5"/>
  <c r="I86" i="5"/>
  <c r="K86" i="5"/>
  <c r="I94" i="5"/>
  <c r="K94" i="5"/>
  <c r="I92" i="5"/>
  <c r="K92" i="5"/>
  <c r="K52" i="5"/>
  <c r="I52" i="5"/>
  <c r="I91" i="5"/>
  <c r="K91" i="5"/>
  <c r="K60" i="5"/>
  <c r="I60" i="5"/>
  <c r="K48" i="5"/>
  <c r="I48" i="5"/>
  <c r="K65" i="5"/>
  <c r="I65" i="5"/>
  <c r="K66" i="5"/>
  <c r="I66" i="5"/>
  <c r="I85" i="5"/>
  <c r="K85" i="5"/>
  <c r="I77" i="5"/>
  <c r="K77" i="5"/>
  <c r="I72" i="5"/>
  <c r="K72" i="5"/>
  <c r="K61" i="5"/>
  <c r="I61" i="5"/>
  <c r="K55" i="5"/>
  <c r="I55" i="5"/>
  <c r="I84" i="5"/>
  <c r="K84" i="5"/>
  <c r="K34" i="5"/>
  <c r="I34" i="5"/>
  <c r="S43" i="5" s="1"/>
  <c r="L27" i="6" s="1"/>
  <c r="I73" i="5"/>
  <c r="K73" i="5"/>
  <c r="K62" i="5"/>
  <c r="I62" i="5"/>
  <c r="K58" i="5"/>
  <c r="I58" i="5"/>
  <c r="I47" i="5"/>
  <c r="K47" i="5"/>
  <c r="I90" i="5"/>
  <c r="K90" i="5"/>
  <c r="I50" i="5"/>
  <c r="K50" i="5"/>
  <c r="I75" i="5"/>
  <c r="K75" i="5"/>
  <c r="K64" i="5"/>
  <c r="I64" i="5"/>
  <c r="I80" i="5"/>
  <c r="K80" i="5"/>
  <c r="I69" i="5"/>
  <c r="K69" i="5"/>
  <c r="I82" i="5"/>
  <c r="K82" i="5"/>
  <c r="I51" i="5"/>
  <c r="S33" i="5" s="1"/>
  <c r="L17" i="6" s="1"/>
  <c r="K51" i="5"/>
  <c r="I74" i="5"/>
  <c r="K74" i="5"/>
  <c r="K57" i="5"/>
  <c r="I57" i="5"/>
  <c r="K54" i="5"/>
  <c r="I54" i="5"/>
  <c r="K36" i="5"/>
  <c r="I36" i="5"/>
  <c r="AL44" i="5"/>
  <c r="AK44" i="5"/>
  <c r="R44" i="5"/>
  <c r="J28" i="6" s="1"/>
  <c r="O43" i="5"/>
  <c r="AJ41" i="5"/>
  <c r="Q41" i="5"/>
  <c r="AL39" i="5"/>
  <c r="AJ38" i="5"/>
  <c r="S38" i="5"/>
  <c r="L22" i="6" s="1"/>
  <c r="AH37" i="5"/>
  <c r="R37" i="5"/>
  <c r="J21" i="6" s="1"/>
  <c r="AG36" i="5"/>
  <c r="Q36" i="5"/>
  <c r="AJ34" i="5"/>
  <c r="O34" i="5"/>
  <c r="R33" i="5"/>
  <c r="J17" i="6" s="1"/>
  <c r="AJ44" i="5"/>
  <c r="Q44" i="5"/>
  <c r="AL42" i="5"/>
  <c r="P41" i="5"/>
  <c r="AK39" i="5"/>
  <c r="S39" i="5"/>
  <c r="L23" i="6" s="1"/>
  <c r="AH38" i="5"/>
  <c r="R38" i="5"/>
  <c r="J22" i="6" s="1"/>
  <c r="AG37" i="5"/>
  <c r="Q37" i="5"/>
  <c r="P36" i="5"/>
  <c r="S35" i="5"/>
  <c r="L19" i="6" s="1"/>
  <c r="AH34" i="5"/>
  <c r="AL33" i="5"/>
  <c r="Q33" i="5"/>
  <c r="AJ31" i="5"/>
  <c r="AL43" i="5"/>
  <c r="P42" i="5"/>
  <c r="AK40" i="5"/>
  <c r="R40" i="5"/>
  <c r="J24" i="6" s="1"/>
  <c r="P39" i="5"/>
  <c r="O38" i="5"/>
  <c r="AK43" i="5"/>
  <c r="R43" i="5"/>
  <c r="J27" i="6" s="1"/>
  <c r="O42" i="5"/>
  <c r="AJ40" i="5"/>
  <c r="Q40" i="5"/>
  <c r="O39" i="5"/>
  <c r="AL37" i="5"/>
  <c r="AK36" i="5"/>
  <c r="AJ35" i="5"/>
  <c r="O35" i="5"/>
  <c r="R34" i="5"/>
  <c r="J18" i="6" s="1"/>
  <c r="AG33" i="5"/>
  <c r="AK32" i="5"/>
  <c r="P32" i="5"/>
  <c r="P44" i="5"/>
  <c r="S41" i="5"/>
  <c r="L25" i="6" s="1"/>
  <c r="S37" i="5"/>
  <c r="L21" i="6" s="1"/>
  <c r="AL36" i="5"/>
  <c r="O36" i="5"/>
  <c r="AH35" i="5"/>
  <c r="Q35" i="5"/>
  <c r="AL34" i="5"/>
  <c r="O32" i="5"/>
  <c r="AL31" i="5"/>
  <c r="P31" i="5"/>
  <c r="S30" i="5"/>
  <c r="L14" i="6" s="1"/>
  <c r="O44" i="5"/>
  <c r="AK42" i="5"/>
  <c r="R41" i="5"/>
  <c r="J25" i="6" s="1"/>
  <c r="P37" i="5"/>
  <c r="AJ36" i="5"/>
  <c r="AG35" i="5"/>
  <c r="P35" i="5"/>
  <c r="AK34" i="5"/>
  <c r="AK31" i="5"/>
  <c r="O31" i="5"/>
  <c r="R30" i="5"/>
  <c r="J14" i="6" s="1"/>
  <c r="Q43" i="5"/>
  <c r="AJ42" i="5"/>
  <c r="O41" i="5"/>
  <c r="AJ39" i="5"/>
  <c r="AK37" i="5"/>
  <c r="O37" i="5"/>
  <c r="AH36" i="5"/>
  <c r="AG34" i="5"/>
  <c r="Q34" i="5"/>
  <c r="AK33" i="5"/>
  <c r="AH31" i="5"/>
  <c r="AL30" i="5"/>
  <c r="Q30" i="5"/>
  <c r="P43" i="5"/>
  <c r="S40" i="5"/>
  <c r="L24" i="6" s="1"/>
  <c r="Q38" i="5"/>
  <c r="AJ37" i="5"/>
  <c r="P34" i="5"/>
  <c r="AJ33" i="5"/>
  <c r="AL32" i="5"/>
  <c r="AG31" i="5"/>
  <c r="AK30" i="5"/>
  <c r="P30" i="5"/>
  <c r="AL41" i="5"/>
  <c r="P40" i="5"/>
  <c r="P38" i="5"/>
  <c r="AH33" i="5"/>
  <c r="P33" i="5"/>
  <c r="AJ32" i="5"/>
  <c r="AJ30" i="5"/>
  <c r="O30" i="5"/>
  <c r="R42" i="5"/>
  <c r="J26" i="6" s="1"/>
  <c r="AK41" i="5"/>
  <c r="O40" i="5"/>
  <c r="AL38" i="5"/>
  <c r="O33" i="5"/>
  <c r="AH32" i="5"/>
  <c r="S31" i="5"/>
  <c r="L15" i="6" s="1"/>
  <c r="AH30" i="5"/>
  <c r="S44" i="5"/>
  <c r="L28" i="6" s="1"/>
  <c r="AL40" i="5"/>
  <c r="Q39" i="5"/>
  <c r="AG38" i="5"/>
  <c r="R36" i="5"/>
  <c r="J20" i="6" s="1"/>
  <c r="AK35" i="5"/>
  <c r="R35" i="5"/>
  <c r="J19" i="6" s="1"/>
  <c r="Q32" i="5"/>
  <c r="Q31" i="5"/>
  <c r="AG32" i="5"/>
  <c r="AG30" i="5"/>
  <c r="R32" i="5"/>
  <c r="J16" i="6" s="1"/>
  <c r="R39" i="5"/>
  <c r="J23" i="6" s="1"/>
  <c r="S36" i="5"/>
  <c r="L20" i="6" s="1"/>
  <c r="Q42" i="5"/>
  <c r="AL35" i="5"/>
  <c r="R31" i="5"/>
  <c r="J15" i="6" s="1"/>
  <c r="AK38" i="5"/>
  <c r="AJ43" i="5"/>
  <c r="I88" i="5"/>
  <c r="K88" i="5"/>
  <c r="I79" i="5"/>
  <c r="K79" i="5"/>
  <c r="I87" i="5"/>
  <c r="K87" i="5"/>
  <c r="I76" i="5"/>
  <c r="K76" i="5"/>
  <c r="K59" i="5"/>
  <c r="I59" i="5"/>
  <c r="I38" i="5"/>
  <c r="S32" i="5" s="1"/>
  <c r="L16" i="6" s="1"/>
  <c r="K38" i="5"/>
  <c r="I81" i="5"/>
  <c r="K81" i="5"/>
  <c r="K32" i="5"/>
  <c r="I32" i="5"/>
  <c r="I39" i="5"/>
  <c r="S34" i="5" s="1"/>
  <c r="L18" i="6" s="1"/>
  <c r="K39" i="5"/>
  <c r="I78" i="5"/>
  <c r="K78" i="5"/>
  <c r="I67" i="5"/>
  <c r="K67" i="5"/>
  <c r="I89" i="5"/>
  <c r="K89" i="5"/>
  <c r="K49" i="5"/>
  <c r="I49" i="5"/>
  <c r="I68" i="5"/>
  <c r="K68" i="5"/>
  <c r="K46" i="5"/>
  <c r="I46" i="5"/>
  <c r="K45" i="5"/>
  <c r="I45" i="5"/>
  <c r="I83" i="5"/>
  <c r="K83" i="5"/>
  <c r="K56" i="5"/>
  <c r="I56" i="5"/>
  <c r="I35" i="5"/>
  <c r="S42" i="5" s="1"/>
  <c r="L26" i="6" s="1"/>
  <c r="K35" i="5"/>
  <c r="L35" i="5" s="1"/>
  <c r="I30" i="5"/>
  <c r="K30" i="5"/>
  <c r="K44" i="5"/>
  <c r="I44" i="5"/>
  <c r="AC7" i="6" l="1"/>
  <c r="F18" i="6"/>
  <c r="L46" i="5"/>
  <c r="H16" i="6"/>
  <c r="AD5" i="6"/>
  <c r="AD68" i="6"/>
  <c r="H79" i="6"/>
  <c r="H18" i="6"/>
  <c r="AD7" i="6"/>
  <c r="C74" i="6"/>
  <c r="AB63" i="6"/>
  <c r="C16" i="6"/>
  <c r="AB5" i="6"/>
  <c r="AC17" i="6"/>
  <c r="F28" i="6"/>
  <c r="H71" i="6"/>
  <c r="AD60" i="6"/>
  <c r="AB7" i="6"/>
  <c r="C18" i="6"/>
  <c r="L68" i="5"/>
  <c r="L78" i="5"/>
  <c r="L38" i="5"/>
  <c r="L79" i="5"/>
  <c r="AD15" i="6"/>
  <c r="H26" i="6"/>
  <c r="C14" i="6"/>
  <c r="AB3" i="6"/>
  <c r="F14" i="6"/>
  <c r="AC3" i="6"/>
  <c r="H22" i="6"/>
  <c r="AD11" i="6"/>
  <c r="C60" i="6"/>
  <c r="AB49" i="6"/>
  <c r="AC10" i="6"/>
  <c r="F21" i="6"/>
  <c r="AD61" i="6"/>
  <c r="H72" i="6"/>
  <c r="AC5" i="6"/>
  <c r="F16" i="6"/>
  <c r="AB12" i="6"/>
  <c r="C23" i="6"/>
  <c r="G60" i="6"/>
  <c r="AC49" i="6"/>
  <c r="AC66" i="6"/>
  <c r="J77" i="6"/>
  <c r="F77" i="6"/>
  <c r="L77" i="6"/>
  <c r="AB61" i="6"/>
  <c r="C72" i="6"/>
  <c r="AD14" i="6"/>
  <c r="H25" i="6"/>
  <c r="L82" i="5"/>
  <c r="L75" i="5"/>
  <c r="L84" i="5"/>
  <c r="L77" i="5"/>
  <c r="L92" i="5"/>
  <c r="F24" i="6"/>
  <c r="AC13" i="6"/>
  <c r="L56" i="5"/>
  <c r="AB57" i="6"/>
  <c r="C68" i="6"/>
  <c r="F78" i="6"/>
  <c r="L78" i="6"/>
  <c r="J78" i="6"/>
  <c r="AC67" i="6"/>
  <c r="AB68" i="6"/>
  <c r="C79" i="6"/>
  <c r="L63" i="5"/>
  <c r="C57" i="6"/>
  <c r="AB46" i="6"/>
  <c r="AB10" i="6"/>
  <c r="C21" i="6"/>
  <c r="J69" i="6"/>
  <c r="AC58" i="6"/>
  <c r="F69" i="6"/>
  <c r="L69" i="6"/>
  <c r="J80" i="6"/>
  <c r="AC69" i="6"/>
  <c r="L80" i="6"/>
  <c r="F80" i="6"/>
  <c r="G61" i="6"/>
  <c r="AC50" i="6"/>
  <c r="AB48" i="6"/>
  <c r="C59" i="6"/>
  <c r="C78" i="6"/>
  <c r="AB67" i="6"/>
  <c r="AC15" i="6"/>
  <c r="F26" i="6"/>
  <c r="F20" i="6"/>
  <c r="AC9" i="6"/>
  <c r="AB51" i="6"/>
  <c r="C62" i="6"/>
  <c r="C27" i="6"/>
  <c r="AB16" i="6"/>
  <c r="L69" i="5"/>
  <c r="L50" i="5"/>
  <c r="L85" i="5"/>
  <c r="L94" i="5"/>
  <c r="L70" i="5"/>
  <c r="L87" i="5"/>
  <c r="L73" i="6"/>
  <c r="F73" i="6"/>
  <c r="AC62" i="6"/>
  <c r="J73" i="6"/>
  <c r="H24" i="6"/>
  <c r="AD13" i="6"/>
  <c r="H20" i="6"/>
  <c r="AD9" i="6"/>
  <c r="L58" i="5"/>
  <c r="L37" i="5"/>
  <c r="L39" i="5"/>
  <c r="G58" i="6"/>
  <c r="AC47" i="6"/>
  <c r="AB59" i="6"/>
  <c r="C70" i="6"/>
  <c r="F27" i="6"/>
  <c r="AC16" i="6"/>
  <c r="L44" i="5"/>
  <c r="L49" i="5"/>
  <c r="L59" i="5"/>
  <c r="C64" i="6"/>
  <c r="AB53" i="6"/>
  <c r="C17" i="6"/>
  <c r="AB6" i="6"/>
  <c r="F17" i="6"/>
  <c r="AC6" i="6"/>
  <c r="AD59" i="6"/>
  <c r="H70" i="6"/>
  <c r="H14" i="6"/>
  <c r="AD3" i="6"/>
  <c r="J75" i="6"/>
  <c r="AC64" i="6"/>
  <c r="F75" i="6"/>
  <c r="L75" i="6"/>
  <c r="C28" i="6"/>
  <c r="AB17" i="6"/>
  <c r="C20" i="6"/>
  <c r="AB9" i="6"/>
  <c r="C26" i="6"/>
  <c r="AB15" i="6"/>
  <c r="H21" i="6"/>
  <c r="AD10" i="6"/>
  <c r="AD69" i="6"/>
  <c r="H80" i="6"/>
  <c r="L57" i="5"/>
  <c r="L62" i="5"/>
  <c r="L55" i="5"/>
  <c r="L60" i="5"/>
  <c r="L40" i="5"/>
  <c r="L53" i="5"/>
  <c r="L67" i="5"/>
  <c r="H15" i="6"/>
  <c r="AD4" i="6"/>
  <c r="AB69" i="6"/>
  <c r="C80" i="6"/>
  <c r="G62" i="6"/>
  <c r="J62" i="6"/>
  <c r="AC51" i="6"/>
  <c r="L70" i="6"/>
  <c r="AC59" i="6"/>
  <c r="J70" i="6"/>
  <c r="F70" i="6"/>
  <c r="L54" i="5"/>
  <c r="L48" i="5"/>
  <c r="L41" i="5"/>
  <c r="L83" i="5"/>
  <c r="L88" i="5"/>
  <c r="L30" i="5"/>
  <c r="L89" i="5"/>
  <c r="L76" i="5"/>
  <c r="C81" i="6"/>
  <c r="AB70" i="6"/>
  <c r="C56" i="6"/>
  <c r="AB45" i="6"/>
  <c r="AD12" i="6"/>
  <c r="H23" i="6"/>
  <c r="AD65" i="6"/>
  <c r="H76" i="6"/>
  <c r="G59" i="6"/>
  <c r="AC48" i="6"/>
  <c r="H68" i="6"/>
  <c r="AD57" i="6"/>
  <c r="C77" i="6"/>
  <c r="AB66" i="6"/>
  <c r="AC61" i="6"/>
  <c r="J72" i="6"/>
  <c r="F72" i="6"/>
  <c r="L72" i="6"/>
  <c r="H74" i="6"/>
  <c r="AD63" i="6"/>
  <c r="C19" i="6"/>
  <c r="AB8" i="6"/>
  <c r="H81" i="6"/>
  <c r="AD70" i="6"/>
  <c r="C63" i="6"/>
  <c r="AB52" i="6"/>
  <c r="H28" i="6"/>
  <c r="AD17" i="6"/>
  <c r="G63" i="6"/>
  <c r="AC52" i="6"/>
  <c r="J63" i="6"/>
  <c r="L82" i="6"/>
  <c r="J82" i="6"/>
  <c r="F82" i="6"/>
  <c r="AC71" i="6"/>
  <c r="L74" i="5"/>
  <c r="L80" i="5"/>
  <c r="L90" i="5"/>
  <c r="L73" i="5"/>
  <c r="L91" i="5"/>
  <c r="L86" i="5"/>
  <c r="L95" i="5"/>
  <c r="L71" i="5"/>
  <c r="L79" i="6"/>
  <c r="F79" i="6"/>
  <c r="AC68" i="6"/>
  <c r="J79" i="6"/>
  <c r="L68" i="6"/>
  <c r="F68" i="6"/>
  <c r="AC57" i="6"/>
  <c r="J68" i="6"/>
  <c r="AB4" i="6"/>
  <c r="C15" i="6"/>
  <c r="H19" i="6"/>
  <c r="AD8" i="6"/>
  <c r="AC14" i="6"/>
  <c r="F25" i="6"/>
  <c r="L45" i="5"/>
  <c r="L32" i="5"/>
  <c r="J76" i="6"/>
  <c r="L76" i="6"/>
  <c r="AC65" i="6"/>
  <c r="F76" i="6"/>
  <c r="AB47" i="6"/>
  <c r="C58" i="6"/>
  <c r="AD67" i="6"/>
  <c r="H78" i="6"/>
  <c r="C24" i="6"/>
  <c r="AB13" i="6"/>
  <c r="AC11" i="6"/>
  <c r="F22" i="6"/>
  <c r="C71" i="6"/>
  <c r="AB60" i="6"/>
  <c r="AC46" i="6"/>
  <c r="G57" i="6"/>
  <c r="J57" i="6"/>
  <c r="C25" i="6"/>
  <c r="AB14" i="6"/>
  <c r="AC8" i="6"/>
  <c r="F19" i="6"/>
  <c r="AC4" i="6"/>
  <c r="F15" i="6"/>
  <c r="C73" i="6"/>
  <c r="AB62" i="6"/>
  <c r="AC70" i="6"/>
  <c r="L81" i="6"/>
  <c r="F81" i="6"/>
  <c r="J81" i="6"/>
  <c r="AB58" i="6"/>
  <c r="C69" i="6"/>
  <c r="AB71" i="6"/>
  <c r="C82" i="6"/>
  <c r="AD71" i="6"/>
  <c r="H82" i="6"/>
  <c r="L61" i="5"/>
  <c r="L66" i="5"/>
  <c r="L31" i="5"/>
  <c r="L71" i="6"/>
  <c r="AC60" i="6"/>
  <c r="J71" i="6"/>
  <c r="F71" i="6"/>
  <c r="C61" i="6"/>
  <c r="AB50" i="6"/>
  <c r="AD58" i="6"/>
  <c r="H69" i="6"/>
  <c r="L74" i="6"/>
  <c r="AC63" i="6"/>
  <c r="J74" i="6"/>
  <c r="F74" i="6"/>
  <c r="AB11" i="6"/>
  <c r="C22" i="6"/>
  <c r="H17" i="6"/>
  <c r="AD6" i="6"/>
  <c r="G64" i="6"/>
  <c r="AC53" i="6"/>
  <c r="AB65" i="6"/>
  <c r="C76" i="6"/>
  <c r="L51" i="5"/>
  <c r="L47" i="5"/>
  <c r="L72" i="5"/>
  <c r="L93" i="5"/>
  <c r="L43" i="5"/>
  <c r="L42" i="5"/>
  <c r="L81" i="5"/>
  <c r="H73" i="6"/>
  <c r="AD62" i="6"/>
  <c r="G56" i="6"/>
  <c r="AC45" i="6"/>
  <c r="J56" i="6"/>
  <c r="AH39" i="5"/>
  <c r="J60" i="6" s="1"/>
  <c r="C75" i="6"/>
  <c r="AB64" i="6"/>
  <c r="H27" i="6"/>
  <c r="AD16" i="6"/>
  <c r="AD64" i="6"/>
  <c r="H75" i="6"/>
  <c r="F23" i="6"/>
  <c r="AC12" i="6"/>
  <c r="H77" i="6"/>
  <c r="AD66" i="6"/>
  <c r="L36" i="5"/>
  <c r="L64" i="5"/>
  <c r="L34" i="5"/>
  <c r="L65" i="5"/>
  <c r="L52" i="5"/>
  <c r="L33" i="5"/>
  <c r="J59" i="6" l="1"/>
  <c r="J58" i="6"/>
  <c r="J61" i="6"/>
  <c r="Y43" i="5"/>
  <c r="V42" i="5"/>
  <c r="X40" i="5"/>
  <c r="H41" i="6" s="1"/>
  <c r="V39" i="5"/>
  <c r="V35" i="5"/>
  <c r="Y34" i="5"/>
  <c r="X43" i="5"/>
  <c r="H44" i="6" s="1"/>
  <c r="Z41" i="5"/>
  <c r="L42" i="6" s="1"/>
  <c r="W40" i="5"/>
  <c r="F41" i="6" s="1"/>
  <c r="Z36" i="5"/>
  <c r="L37" i="6" s="1"/>
  <c r="X34" i="5"/>
  <c r="H35" i="6" s="1"/>
  <c r="V32" i="5"/>
  <c r="Z44" i="5"/>
  <c r="L45" i="6" s="1"/>
  <c r="X44" i="5"/>
  <c r="H45" i="6" s="1"/>
  <c r="Z42" i="5"/>
  <c r="L43" i="6" s="1"/>
  <c r="W41" i="5"/>
  <c r="F42" i="6" s="1"/>
  <c r="Z39" i="5"/>
  <c r="L40" i="6" s="1"/>
  <c r="Y38" i="5"/>
  <c r="W44" i="5"/>
  <c r="F45" i="6" s="1"/>
  <c r="Y42" i="5"/>
  <c r="V41" i="5"/>
  <c r="Y39" i="5"/>
  <c r="X38" i="5"/>
  <c r="H39" i="6" s="1"/>
  <c r="W37" i="5"/>
  <c r="F38" i="6" s="1"/>
  <c r="V36" i="5"/>
  <c r="Y35" i="5"/>
  <c r="W33" i="5"/>
  <c r="F34" i="6" s="1"/>
  <c r="Z32" i="5"/>
  <c r="L33" i="6" s="1"/>
  <c r="W43" i="5"/>
  <c r="F44" i="6" s="1"/>
  <c r="Z40" i="5"/>
  <c r="L41" i="6" s="1"/>
  <c r="Z38" i="5"/>
  <c r="L39" i="6" s="1"/>
  <c r="V34" i="5"/>
  <c r="Y33" i="5"/>
  <c r="Z31" i="5"/>
  <c r="L32" i="6" s="1"/>
  <c r="V43" i="5"/>
  <c r="Y40" i="5"/>
  <c r="W38" i="5"/>
  <c r="F39" i="6" s="1"/>
  <c r="X33" i="5"/>
  <c r="H34" i="6" s="1"/>
  <c r="Y31" i="5"/>
  <c r="V40" i="5"/>
  <c r="V38" i="5"/>
  <c r="V33" i="5"/>
  <c r="Y32" i="5"/>
  <c r="X31" i="5"/>
  <c r="H32" i="6" s="1"/>
  <c r="X42" i="5"/>
  <c r="H43" i="6" s="1"/>
  <c r="Y36" i="5"/>
  <c r="X32" i="5"/>
  <c r="H33" i="6" s="1"/>
  <c r="W31" i="5"/>
  <c r="F32" i="6" s="1"/>
  <c r="Z30" i="5"/>
  <c r="L31" i="6" s="1"/>
  <c r="W42" i="5"/>
  <c r="F43" i="6" s="1"/>
  <c r="X39" i="5"/>
  <c r="H40" i="6" s="1"/>
  <c r="Z37" i="5"/>
  <c r="L38" i="6" s="1"/>
  <c r="X36" i="5"/>
  <c r="H37" i="6" s="1"/>
  <c r="Z35" i="5"/>
  <c r="L36" i="6" s="1"/>
  <c r="W32" i="5"/>
  <c r="F33" i="6" s="1"/>
  <c r="V31" i="5"/>
  <c r="Y30" i="5"/>
  <c r="Y44" i="5"/>
  <c r="W39" i="5"/>
  <c r="F40" i="6" s="1"/>
  <c r="Y37" i="5"/>
  <c r="W36" i="5"/>
  <c r="F37" i="6" s="1"/>
  <c r="X35" i="5"/>
  <c r="H36" i="6" s="1"/>
  <c r="X30" i="5"/>
  <c r="H31" i="6" s="1"/>
  <c r="Z43" i="5"/>
  <c r="L44" i="6" s="1"/>
  <c r="X41" i="5"/>
  <c r="H42" i="6" s="1"/>
  <c r="V37" i="5"/>
  <c r="W34" i="5"/>
  <c r="F35" i="6" s="1"/>
  <c r="Z33" i="5"/>
  <c r="L34" i="6" s="1"/>
  <c r="V30" i="5"/>
  <c r="W35" i="5"/>
  <c r="F36" i="6" s="1"/>
  <c r="Y41" i="5"/>
  <c r="V44" i="5"/>
  <c r="X37" i="5"/>
  <c r="H38" i="6" s="1"/>
  <c r="W30" i="5"/>
  <c r="F31" i="6" s="1"/>
  <c r="Z34" i="5"/>
  <c r="L35" i="6" s="1"/>
  <c r="G65" i="6"/>
  <c r="AC54" i="6"/>
  <c r="J65" i="6"/>
  <c r="J64" i="6"/>
  <c r="AB20" i="6" l="1"/>
  <c r="C31" i="6"/>
  <c r="C42" i="6"/>
  <c r="AB31" i="6"/>
  <c r="AC27" i="6"/>
  <c r="J38" i="6"/>
  <c r="AC30" i="6"/>
  <c r="J41" i="6"/>
  <c r="J43" i="6"/>
  <c r="AC32" i="6"/>
  <c r="AB22" i="6"/>
  <c r="C33" i="6"/>
  <c r="C40" i="6"/>
  <c r="AB29" i="6"/>
  <c r="J33" i="6"/>
  <c r="AC22" i="6"/>
  <c r="AB33" i="6"/>
  <c r="C44" i="6"/>
  <c r="J45" i="6"/>
  <c r="AC34" i="6"/>
  <c r="C43" i="6"/>
  <c r="AB32" i="6"/>
  <c r="AB25" i="6"/>
  <c r="C36" i="6"/>
  <c r="C39" i="6"/>
  <c r="AB28" i="6"/>
  <c r="AC23" i="6"/>
  <c r="J34" i="6"/>
  <c r="AB26" i="6"/>
  <c r="C37" i="6"/>
  <c r="AC33" i="6"/>
  <c r="J44" i="6"/>
  <c r="C38" i="6"/>
  <c r="AB27" i="6"/>
  <c r="AB23" i="6"/>
  <c r="C34" i="6"/>
  <c r="J39" i="6"/>
  <c r="AC28" i="6"/>
  <c r="AC20" i="6"/>
  <c r="J31" i="6"/>
  <c r="C41" i="6"/>
  <c r="AB30" i="6"/>
  <c r="C35" i="6"/>
  <c r="AB24" i="6"/>
  <c r="C32" i="6"/>
  <c r="AB21" i="6"/>
  <c r="AC31" i="6"/>
  <c r="J42" i="6"/>
  <c r="J32" i="6"/>
  <c r="AC21" i="6"/>
  <c r="AC25" i="6"/>
  <c r="J36" i="6"/>
  <c r="AB34" i="6"/>
  <c r="C45" i="6"/>
  <c r="J37" i="6"/>
  <c r="AC26" i="6"/>
  <c r="AC29" i="6"/>
  <c r="J40" i="6"/>
  <c r="J35" i="6"/>
  <c r="AC24" i="6"/>
</calcChain>
</file>

<file path=xl/sharedStrings.xml><?xml version="1.0" encoding="utf-8"?>
<sst xmlns="http://schemas.openxmlformats.org/spreadsheetml/2006/main" count="349" uniqueCount="168">
  <si>
    <t>Service</t>
  </si>
  <si>
    <t>Relational Database Service($)</t>
  </si>
  <si>
    <t>S3($)</t>
  </si>
  <si>
    <t>DMS($)</t>
  </si>
  <si>
    <t>Glue($)</t>
  </si>
  <si>
    <t>EC2-Instances($)</t>
  </si>
  <si>
    <t>Lambda($)</t>
  </si>
  <si>
    <t>CloudFront($)</t>
  </si>
  <si>
    <t>Route53($)</t>
  </si>
  <si>
    <t>CloudWatch($)</t>
  </si>
  <si>
    <t>SNS($)</t>
  </si>
  <si>
    <t>SQS($)</t>
  </si>
  <si>
    <t>DynamoDB($)</t>
  </si>
  <si>
    <t>ElastiCache($)</t>
  </si>
  <si>
    <t>ECS($)</t>
  </si>
  <si>
    <t>EKS($)</t>
  </si>
  <si>
    <t>ECR($)</t>
  </si>
  <si>
    <t>VPC($)</t>
  </si>
  <si>
    <t>Direct Connect($)</t>
  </si>
  <si>
    <t>API Gateway($)</t>
  </si>
  <si>
    <t>Kinesis($)</t>
  </si>
  <si>
    <t>Firehose($)</t>
  </si>
  <si>
    <t>Athena($)</t>
  </si>
  <si>
    <t>Redshift($)</t>
  </si>
  <si>
    <t>EMR($)</t>
  </si>
  <si>
    <t>SageMaker($)</t>
  </si>
  <si>
    <t>Rekognition($)</t>
  </si>
  <si>
    <t>Textract($)</t>
  </si>
  <si>
    <t>Comprehend($)</t>
  </si>
  <si>
    <t>Translate($)</t>
  </si>
  <si>
    <t>Polly($)</t>
  </si>
  <si>
    <t>Transcribe($)</t>
  </si>
  <si>
    <t>Lex($)</t>
  </si>
  <si>
    <t>Connect($)</t>
  </si>
  <si>
    <t>Chime($)</t>
  </si>
  <si>
    <t>WorkSpaces($)</t>
  </si>
  <si>
    <t>AppStream($)</t>
  </si>
  <si>
    <t>WAF($)</t>
  </si>
  <si>
    <t>Shield($)</t>
  </si>
  <si>
    <t>GuardDuty($)</t>
  </si>
  <si>
    <t>Inspector($)</t>
  </si>
  <si>
    <t>Macie($)</t>
  </si>
  <si>
    <t>Security Hub($)</t>
  </si>
  <si>
    <t>Config($)</t>
  </si>
  <si>
    <t>CloudTrail($)</t>
  </si>
  <si>
    <t>Systems Manager($)</t>
  </si>
  <si>
    <t>Secrets Manager($)</t>
  </si>
  <si>
    <t>KMS($)</t>
  </si>
  <si>
    <t>ACM($)</t>
  </si>
  <si>
    <t>IAM($)</t>
  </si>
  <si>
    <t>Organizations($)</t>
  </si>
  <si>
    <t>Control Tower($)</t>
  </si>
  <si>
    <t>Service Catalog($)</t>
  </si>
  <si>
    <t>CodePipeline($)</t>
  </si>
  <si>
    <t>CodeBuild($)</t>
  </si>
  <si>
    <t>CodeDeploy($)</t>
  </si>
  <si>
    <t>CodeCommit($)</t>
  </si>
  <si>
    <t>Amplify($)</t>
  </si>
  <si>
    <t>AppSync($)</t>
  </si>
  <si>
    <t>EventBridge($)</t>
  </si>
  <si>
    <t>Step Functions($)</t>
  </si>
  <si>
    <t>Batch($)</t>
  </si>
  <si>
    <t>Fargate($)</t>
  </si>
  <si>
    <t>Lightsail($)</t>
  </si>
  <si>
    <t>Transfer Family($)</t>
  </si>
  <si>
    <t>DataSync($)</t>
  </si>
  <si>
    <t>Backup($)</t>
  </si>
  <si>
    <t>Total($)</t>
  </si>
  <si>
    <t>Service total</t>
  </si>
  <si>
    <t>Month (from Acct1_Raw)</t>
  </si>
  <si>
    <t>N_Months</t>
  </si>
  <si>
    <t>Month</t>
  </si>
  <si>
    <t>A1_col</t>
  </si>
  <si>
    <t>A2_col</t>
  </si>
  <si>
    <t>CB_col</t>
  </si>
  <si>
    <t>curr_col</t>
  </si>
  <si>
    <t>prior_col</t>
  </si>
  <si>
    <t>Curr($)</t>
  </si>
  <si>
    <t>Prior($)</t>
  </si>
  <si>
    <t>MoM_D</t>
  </si>
  <si>
    <t>MoM_P</t>
  </si>
  <si>
    <t>Rank_Curr</t>
  </si>
  <si>
    <t>AbsMoM</t>
  </si>
  <si>
    <t>Rank_MoM</t>
  </si>
  <si>
    <t>Rank</t>
  </si>
  <si>
    <t>Acct1($)</t>
  </si>
  <si>
    <t>Acct2($)</t>
  </si>
  <si>
    <t>Comb($)</t>
  </si>
  <si>
    <t>Cost($)</t>
  </si>
  <si>
    <t>topn</t>
  </si>
  <si>
    <t>Other</t>
  </si>
  <si>
    <t>☁  AWS Cost Explorer — Interactive Cost Dashboard</t>
  </si>
  <si>
    <t>Live formulas throughout — paste CSVs → Cmd+Option+F9 → all data, charts &amp; KPIs update</t>
  </si>
  <si>
    <t>Current($)</t>
  </si>
  <si>
    <t xml:space="preserve">  🎛  FILTERS — Select below, then press Cmd+Option+F9 (Mac) or Ctrl+Alt+F5 (Windows)</t>
  </si>
  <si>
    <t>Account</t>
  </si>
  <si>
    <t>Acct1</t>
  </si>
  <si>
    <t>Current Month</t>
  </si>
  <si>
    <t>Prior Month</t>
  </si>
  <si>
    <t>Top N</t>
  </si>
  <si>
    <t>10</t>
  </si>
  <si>
    <t>Current Month Total</t>
  </si>
  <si>
    <t>Prior Month Total</t>
  </si>
  <si>
    <t>MoM Change ($)</t>
  </si>
  <si>
    <t>MoM Change (%)</t>
  </si>
  <si>
    <t>Services Tracked</t>
  </si>
  <si>
    <t>"vs Prior Month"</t>
  </si>
  <si>
    <t>"Both accounts combined"</t>
  </si>
  <si>
    <t>📊  Chart 1 of 5: Top N Services by Current Month Cost  (Account &amp; Month from filters)</t>
  </si>
  <si>
    <t>#</t>
  </si>
  <si>
    <t>Current ($)</t>
  </si>
  <si>
    <t>Prior ($)</t>
  </si>
  <si>
    <t>MoM Δ ($)</t>
  </si>
  <si>
    <t>MoM Δ %</t>
  </si>
  <si>
    <t>MoM_D($)</t>
  </si>
  <si>
    <t>📈  Chart 2 of 5: Top N Services by MoM Change ($)  (biggest movers, all accounts)</t>
  </si>
  <si>
    <t>Acct2</t>
  </si>
  <si>
    <t>Combined</t>
  </si>
  <si>
    <t>📉  Chart 3 of 5: Monthly Cost Trend — All Months (auto-expands as you add months)</t>
  </si>
  <si>
    <t>Acct1 ($)</t>
  </si>
  <si>
    <t>Acct2 ($)</t>
  </si>
  <si>
    <t>Combined ($)</t>
  </si>
  <si>
    <t>Acct1 MoM%</t>
  </si>
  <si>
    <t>Acct2 MoM%</t>
  </si>
  <si>
    <t>🥧  Chart 4 of 5: Cost Share by Service — Top 9 + Other  (reflects all filters)</t>
  </si>
  <si>
    <t>% of Total</t>
  </si>
  <si>
    <t>⚖️   Chart 5 of 5: Account Comparison — Acct1 vs Acct2  (Top N by Selected Account | Current Month)</t>
  </si>
  <si>
    <t>Difference ($)</t>
  </si>
  <si>
    <t>Acct1 %</t>
  </si>
  <si>
    <t>📋  MONTHLY REFRESH CHECKLIST</t>
  </si>
  <si>
    <t>1. ☐  Download CSV from AWS Cost Explorer for Acct1 (Wide format, Monthly granularity)</t>
  </si>
  <si>
    <t>2. ☐  Acct1_Raw → select all rows BELOW the header (row 1) → Delete → Paste new CSV data</t>
  </si>
  <si>
    <t>3. ☐  Repeat for Acct2 → Acct2_Raw</t>
  </si>
  <si>
    <t>4. ☐  Cmd+Option+F9 (Mac) or Ctrl+Alt+F5 (Windows) — Months_Ref auto-reads new dates</t>
  </si>
  <si>
    <t>5. ☐  Update E5 (Account), K5 (Current Month), Q5 (Prior Month), W5 (Top N) dropdowns</t>
  </si>
  <si>
    <t>6. ☐  If new month not in dropdowns: Data → Data Validation → add new month to K5/Q5 source</t>
  </si>
  <si>
    <t>7. ☐  All 5 charts, KPIs, and tables now reflect the new data  ✓</t>
  </si>
  <si>
    <t>HOW IT WORKS — v5: Dynamic Months, Fixed MoM Ranking, Dropdown-Responsive Filters</t>
  </si>
  <si>
    <t>WHAT WAS FIXED IN v5</t>
  </si>
  <si>
    <t>✓</t>
  </si>
  <si>
    <t>BUG 1 FIXED: Service_List formulas no longer hardcode month strings. They reference Months_Ref!$A$N which reads dynamically from Acct1_Raw col A. Paste any months — formulas follow automatically.</t>
  </si>
  <si>
    <t>BUG 2 FIXED: Chart_Engine month lookup table reads from Months_Ref (not hardcoded). Col resolver for curr/prior months always points to the right Service_List column regardless of what months you paste.</t>
  </si>
  <si>
    <t>BUG 3 FIXED: MoM ranking used RANK(ABS(H), ABS(range)) which Excel cannot evaluate. Now col K stores =ABS(H) as plain values, and RANK(K, $K$range) works correctly across all 66 services.</t>
  </si>
  <si>
    <t>DATA FLOW</t>
  </si>
  <si>
    <t>Acct1_Raw / Acct2_Raw  →  Months_Ref (dynamic month list)  →  Service_List (INDEX/MATCH)  →  Chart_Engine (RANK + ranked tables)  →  Dashboard (KPIs + 5 charts)</t>
  </si>
  <si>
    <t>MONTHS_REF SHEET (hidden)</t>
  </si>
  <si>
    <t>Reads Acct1_Raw col A rows 3–26 directly. Supports up to 24 months. No hardcoded dates anywhere.</t>
  </si>
  <si>
    <t>When you paste a new month (e.g. 2/1/26), it automatically appears in Months_Ref after recalc.</t>
  </si>
  <si>
    <t>SERVICE_LIST SHEET (hidden)</t>
  </si>
  <si>
    <t>Each cell: =IFERROR(IF(Months_Ref!$A$N="",0, INDEX(Acct1_Raw data, MATCH(Months_Ref!$A$N,...), MATCH(service,...))),0)</t>
  </si>
  <si>
    <t>The month string comes from Months_Ref, not hardcoded. Change the raw data — formulas follow.</t>
  </si>
  <si>
    <t>CHART_ENGINE SHEET (hidden)</t>
  </si>
  <si>
    <t>Col F (curr cost): =INDEX(Service_List row, col from resolver). Col resolver uses Dashboard!E5+K5 to pick the right account×month column.</t>
  </si>
  <si>
    <t>Col K (AbsMoM): =ABS(H) — plain value. Col L (Rank_MoM): =RANK(K, $K$range) — works correctly.</t>
  </si>
  <si>
    <t>MONTHLY WORKFLOW</t>
  </si>
  <si>
    <t>1</t>
  </si>
  <si>
    <t>Download CSV from AWS Cost Explorer (Wide format, Monthly granularity) for Account 1.</t>
  </si>
  <si>
    <t>2</t>
  </si>
  <si>
    <t>Acct1_Raw: select all rows below header row 1 → Delete → Paste new CSV data.</t>
  </si>
  <si>
    <t>3</t>
  </si>
  <si>
    <t>Repeat for Account 2 → Acct2_Raw.</t>
  </si>
  <si>
    <t>4</t>
  </si>
  <si>
    <t>Press Cmd+Option+F9 (Mac). Months_Ref picks up new month. All formulas cascade.</t>
  </si>
  <si>
    <t>5</t>
  </si>
  <si>
    <t>Update K5, Q5 dropdowns. If new month not listed: Data → Data Validation → add to source list.</t>
  </si>
  <si>
    <t>6</t>
  </si>
  <si>
    <t>All 5 charts and all KPIs reflect new data.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</si>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</sst>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+#,##0;\-#,##0"/>
    <numFmt numFmtId="166" formatCode="\+0.0%;\-0.0%;0.0%"/>
    <numFmt numFmtId="167" formatCode="\+#,##0.00;\-#,##0.00"/>
    <numFmt numFmtId="168" formatCode="\+0.0%;\-0.0%"/>
    <numFmt numFmtId="170" formatCode="m/d/yy"/>
    <numFmt numFmtId="171" formatCode="#,##0.000"/>
  </numFmts>
  <fonts count="18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8"/>
      <color rgb="FFFFFFFF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b/>
      <sz val="18"/>
      <color rgb="FFFFFFFF"/>
      <name val="Arial"/>
      <charset val="1"/>
    </font>
    <font>
      <i/>
      <sz val="9"/>
      <color rgb="FFBDD7EE"/>
      <name val="Arial"/>
      <charset val="1"/>
    </font>
    <font>
      <b/>
      <sz val="10"/>
      <color rgb="FFFFFFFF"/>
      <name val="Arial"/>
      <charset val="1"/>
    </font>
    <font>
      <b/>
      <sz val="9"/>
      <color rgb="FF1F4E79"/>
      <name val="Arial"/>
      <charset val="1"/>
    </font>
    <font>
      <b/>
      <sz val="13"/>
      <color rgb="FFC00000"/>
      <name val="Arial"/>
      <charset val="1"/>
    </font>
    <font>
      <b/>
      <sz val="20"/>
      <color rgb="FFFFFFFF"/>
      <name val="Arial"/>
      <charset val="1"/>
    </font>
    <font>
      <i/>
      <sz val="8"/>
      <color rgb="FFBDD7EE"/>
      <name val="Arial"/>
      <charset val="1"/>
    </font>
    <font>
      <b/>
      <sz val="11"/>
      <color rgb="FFFFFFFF"/>
      <name val="Arial"/>
      <charset val="1"/>
    </font>
    <font>
      <b/>
      <sz val="9"/>
      <color rgb="FF595959"/>
      <name val="Arial"/>
      <charset val="1"/>
    </font>
    <font>
      <b/>
      <sz val="13"/>
      <color rgb="FFFFFFFF"/>
      <name val="Arial"/>
      <charset val="1"/>
    </font>
    <font>
      <sz val="8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C55A11"/>
        <bgColor rgb="FFED7D31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472C4"/>
      </patternFill>
    </fill>
    <fill>
      <patternFill patternType="solid">
        <fgColor rgb="FFF0F4F8"/>
        <bgColor rgb="FFEEF4FB"/>
      </patternFill>
    </fill>
    <fill>
      <patternFill patternType="solid">
        <fgColor rgb="FFDEEAF1"/>
        <bgColor rgb="FFEEF4FB"/>
      </patternFill>
    </fill>
    <fill>
      <patternFill patternType="solid">
        <fgColor rgb="FFFFFFFF"/>
        <bgColor rgb="FFF9F9F9"/>
      </patternFill>
    </fill>
    <fill>
      <patternFill patternType="solid">
        <fgColor rgb="FFEEF4FB"/>
        <bgColor rgb="FFF0F4F8"/>
      </patternFill>
    </fill>
    <fill>
      <patternFill patternType="solid">
        <fgColor rgb="FF843C0C"/>
        <bgColor rgb="FF595959"/>
      </patternFill>
    </fill>
    <fill>
      <patternFill patternType="solid">
        <fgColor rgb="FFC00000"/>
        <bgColor rgb="FFFF0000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0F4F8"/>
      </patternFill>
    </fill>
  </fills>
  <borders count="2">
    <border>
      <left/>
      <right/>
      <top/>
      <bottom/>
      <diagonal/>
    </border>
    <border>
      <left style="thin">
        <color rgb="FFDEEAF1"/>
      </left>
      <right style="thin">
        <color rgb="FFDEEAF1"/>
      </right>
      <top style="thin">
        <color rgb="FFDEEAF1"/>
      </top>
      <bottom style="medium">
        <color rgb="FF2E75B6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4" fontId="3" fillId="0" borderId="0" xfId="0" applyNumberFormat="1" applyFont="1"/>
    <xf numFmtId="0" fontId="2" fillId="0" borderId="0" xfId="0" applyFont="1"/>
    <xf numFmtId="0" fontId="1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4" fillId="6" borderId="0" xfId="0" applyFont="1" applyFill="1"/>
    <xf numFmtId="4" fontId="6" fillId="0" borderId="0" xfId="0" applyNumberFormat="1" applyFont="1"/>
    <xf numFmtId="164" fontId="6" fillId="0" borderId="0" xfId="0" applyNumberFormat="1" applyFont="1"/>
    <xf numFmtId="0" fontId="0" fillId="7" borderId="0" xfId="0" applyFill="1"/>
    <xf numFmtId="0" fontId="6" fillId="7" borderId="0" xfId="0" applyFont="1" applyFill="1"/>
    <xf numFmtId="4" fontId="6" fillId="7" borderId="0" xfId="0" applyNumberFormat="1" applyFont="1" applyFill="1"/>
    <xf numFmtId="0" fontId="11" fillId="9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5" fillId="10" borderId="0" xfId="0" applyFont="1" applyFill="1"/>
    <xf numFmtId="0" fontId="15" fillId="9" borderId="0" xfId="0" applyFont="1" applyFill="1"/>
    <xf numFmtId="0" fontId="1" fillId="1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wrapText="1" indent="1"/>
    </xf>
    <xf numFmtId="0" fontId="3" fillId="14" borderId="0" xfId="0" applyFont="1" applyFill="1" applyAlignment="1">
      <alignment horizontal="left" vertical="center" wrapText="1" indent="1"/>
    </xf>
    <xf numFmtId="171" fontId="2" fillId="3" borderId="0" xfId="0" applyNumberFormat="1" applyFont="1" applyFill="1"/>
    <xf numFmtId="170" fontId="3" fillId="0" borderId="0" xfId="0" applyNumberFormat="1" applyFont="1"/>
    <xf numFmtId="170" fontId="6" fillId="0" borderId="0" xfId="0" applyNumberFormat="1" applyFont="1"/>
    <xf numFmtId="170" fontId="11" fillId="9" borderId="1" xfId="0" applyNumberFormat="1" applyFont="1" applyFill="1" applyBorder="1" applyAlignment="1">
      <alignment horizontal="center" vertical="center"/>
    </xf>
    <xf numFmtId="4" fontId="3" fillId="10" borderId="0" xfId="0" applyNumberFormat="1" applyFont="1" applyFill="1" applyAlignment="1">
      <alignment horizontal="right" vertical="center"/>
    </xf>
    <xf numFmtId="0" fontId="0" fillId="0" borderId="0" xfId="0"/>
    <xf numFmtId="0" fontId="3" fillId="9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indent="2"/>
    </xf>
    <xf numFmtId="0" fontId="7" fillId="2" borderId="0" xfId="0" applyFont="1" applyFill="1" applyAlignment="1">
      <alignment horizontal="left" vertical="center" indent="2"/>
    </xf>
    <xf numFmtId="0" fontId="3" fillId="10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indent="1"/>
    </xf>
    <xf numFmtId="4" fontId="3" fillId="9" borderId="0" xfId="0" applyNumberFormat="1" applyFont="1" applyFill="1" applyAlignment="1">
      <alignment horizontal="right" vertical="center"/>
    </xf>
    <xf numFmtId="167" fontId="3" fillId="9" borderId="0" xfId="0" applyNumberFormat="1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 indent="2"/>
    </xf>
    <xf numFmtId="168" fontId="3" fillId="9" borderId="0" xfId="0" applyNumberFormat="1" applyFont="1" applyFill="1" applyAlignment="1">
      <alignment horizontal="right" vertical="center"/>
    </xf>
    <xf numFmtId="164" fontId="3" fillId="9" borderId="0" xfId="0" applyNumberFormat="1" applyFont="1" applyFill="1" applyAlignment="1">
      <alignment horizontal="right" vertical="center"/>
    </xf>
    <xf numFmtId="168" fontId="3" fillId="10" borderId="0" xfId="0" applyNumberFormat="1" applyFont="1" applyFill="1" applyAlignment="1">
      <alignment horizontal="right" vertical="center"/>
    </xf>
    <xf numFmtId="0" fontId="2" fillId="9" borderId="0" xfId="0" applyFont="1" applyFill="1"/>
    <xf numFmtId="0" fontId="1" fillId="6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164" fontId="3" fillId="10" borderId="0" xfId="0" applyNumberFormat="1" applyFont="1" applyFill="1" applyAlignment="1">
      <alignment horizontal="right" vertical="center"/>
    </xf>
    <xf numFmtId="165" fontId="12" fillId="5" borderId="0" xfId="0" applyNumberFormat="1" applyFont="1" applyFill="1" applyAlignment="1">
      <alignment horizontal="center" vertical="center"/>
    </xf>
    <xf numFmtId="167" fontId="3" fillId="10" borderId="0" xfId="0" applyNumberFormat="1" applyFont="1" applyFill="1" applyAlignment="1">
      <alignment horizontal="right" vertical="center"/>
    </xf>
    <xf numFmtId="0" fontId="14" fillId="11" borderId="0" xfId="0" applyFont="1" applyFill="1" applyAlignment="1">
      <alignment horizontal="left" vertical="center" indent="1"/>
    </xf>
    <xf numFmtId="1" fontId="12" fillId="2" borderId="0" xfId="0" applyNumberFormat="1" applyFont="1" applyFill="1" applyAlignment="1">
      <alignment horizontal="center" vertical="center"/>
    </xf>
    <xf numFmtId="0" fontId="2" fillId="10" borderId="0" xfId="0" applyFont="1" applyFill="1"/>
    <xf numFmtId="0" fontId="1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3" fontId="12" fillId="2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12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166" fontId="12" fillId="4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indent="2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EF4FB"/>
      <rgbColor rgb="FFF0F4F8"/>
      <rgbColor rgb="FFF2F2F2"/>
      <rgbColor rgb="FFA9D18E"/>
      <rgbColor rgb="FFF9F9F9"/>
      <rgbColor rgb="FFCC99FF"/>
      <rgbColor rgb="FFD9D9D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4F81BD"/>
      <rgbColor rgb="FF003300"/>
      <rgbColor rgb="FF333300"/>
      <rgbColor rgb="FF843C0C"/>
      <rgbColor rgb="FFC55A11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N Services — Current Month Cost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Dashboard!$AC$2</c:f>
              <c:strCache>
                <c:ptCount val="1"/>
                <c:pt idx="0">
                  <c:v>Current($)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Dashboard!$AB$3:$AB$17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Dashboard!$AC$3:$AC$17</c:f>
              <c:numCache>
                <c:formatCode>#,##0.00</c:formatCode>
                <c:ptCount val="15"/>
                <c:pt idx="0">
                  <c:v>15512.514999999999</c:v>
                </c:pt>
                <c:pt idx="1">
                  <c:v>15455.826999999999</c:v>
                </c:pt>
                <c:pt idx="2">
                  <c:v>15384.035</c:v>
                </c:pt>
                <c:pt idx="3">
                  <c:v>14365.915999999999</c:v>
                </c:pt>
                <c:pt idx="4">
                  <c:v>14222.876</c:v>
                </c:pt>
                <c:pt idx="5">
                  <c:v>14013.558000000001</c:v>
                </c:pt>
                <c:pt idx="6">
                  <c:v>13414.013999999999</c:v>
                </c:pt>
                <c:pt idx="7">
                  <c:v>12336.252</c:v>
                </c:pt>
                <c:pt idx="8">
                  <c:v>11892.790999999999</c:v>
                </c:pt>
                <c:pt idx="9">
                  <c:v>11724.125</c:v>
                </c:pt>
                <c:pt idx="10">
                  <c:v>11660.599</c:v>
                </c:pt>
                <c:pt idx="11">
                  <c:v>11568.293</c:v>
                </c:pt>
                <c:pt idx="12">
                  <c:v>11300.897000000001</c:v>
                </c:pt>
                <c:pt idx="13">
                  <c:v>11093.646000000001</c:v>
                </c:pt>
                <c:pt idx="14">
                  <c:v>11086.39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1-4EB1-9FE9-70F95B642A36}"/>
            </c:ext>
          </c:extLst>
        </c:ser>
        <c:ser>
          <c:idx val="1"/>
          <c:order val="1"/>
          <c:tx>
            <c:strRef>
              <c:f>Dashboard!$AD$2</c:f>
              <c:strCache>
                <c:ptCount val="1"/>
                <c:pt idx="0">
                  <c:v>Prior($)</c:v>
                </c:pt>
              </c:strCache>
            </c:strRef>
          </c:tx>
          <c:spPr>
            <a:solidFill>
              <a:srgbClr val="BDD7EE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Dashboard!$AB$3:$AB$17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Dashboard!$AD$3:$AD$17</c:f>
              <c:numCache>
                <c:formatCode>#,##0.00</c:formatCode>
                <c:ptCount val="15"/>
                <c:pt idx="0">
                  <c:v>16027.611000000001</c:v>
                </c:pt>
                <c:pt idx="1">
                  <c:v>14258.022000000001</c:v>
                </c:pt>
                <c:pt idx="2">
                  <c:v>15782.181</c:v>
                </c:pt>
                <c:pt idx="3">
                  <c:v>11053.966</c:v>
                </c:pt>
                <c:pt idx="4">
                  <c:v>13285.736999999999</c:v>
                </c:pt>
                <c:pt idx="5">
                  <c:v>13993.823</c:v>
                </c:pt>
                <c:pt idx="6">
                  <c:v>13009.142</c:v>
                </c:pt>
                <c:pt idx="7">
                  <c:v>11246.776</c:v>
                </c:pt>
                <c:pt idx="8">
                  <c:v>12693.929</c:v>
                </c:pt>
                <c:pt idx="9">
                  <c:v>11062.893</c:v>
                </c:pt>
                <c:pt idx="10">
                  <c:v>12706.196</c:v>
                </c:pt>
                <c:pt idx="11">
                  <c:v>11179.972</c:v>
                </c:pt>
                <c:pt idx="12">
                  <c:v>10423.939</c:v>
                </c:pt>
                <c:pt idx="13">
                  <c:v>10171.923000000001</c:v>
                </c:pt>
                <c:pt idx="14">
                  <c:v>9604.2080000000005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1-4EB1-9FE9-70F95B6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13291015"/>
        <c:axId val="71157035"/>
      </c:barChart>
      <c:catAx>
        <c:axId val="132910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157035"/>
        <c:crosses val="autoZero"/>
        <c:auto val="1"/>
        <c:lblAlgn val="ctr"/>
        <c:lblOffset val="100"/>
        <c:noMultiLvlLbl val="0"/>
      </c:catAx>
      <c:valAx>
        <c:axId val="711570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9101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N Services — MoM Change ($)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Dashboard!$AC$19</c:f>
              <c:strCache>
                <c:ptCount val="1"/>
                <c:pt idx="0">
                  <c:v>MoM_D($)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Dashboard!$AB$20:$AB$34</c:f>
              <c:strCache>
                <c:ptCount val="15"/>
                <c:pt idx="0">
                  <c:v>DataSync($)</c:v>
                </c:pt>
                <c:pt idx="1">
                  <c:v>Shield($)</c:v>
                </c:pt>
                <c:pt idx="2">
                  <c:v>IAM($)</c:v>
                </c:pt>
                <c:pt idx="3">
                  <c:v>CodeDeploy($)</c:v>
                </c:pt>
                <c:pt idx="4">
                  <c:v>CodeCommit($)</c:v>
                </c:pt>
                <c:pt idx="5">
                  <c:v>Transfer Family($)</c:v>
                </c:pt>
                <c:pt idx="6">
                  <c:v>Lambda($)</c:v>
                </c:pt>
                <c:pt idx="7">
                  <c:v>Direct Connect($)</c:v>
                </c:pt>
                <c:pt idx="8">
                  <c:v>CodeBuild($)</c:v>
                </c:pt>
                <c:pt idx="9">
                  <c:v>WAF($)</c:v>
                </c:pt>
                <c:pt idx="10">
                  <c:v>Translate($)</c:v>
                </c:pt>
                <c:pt idx="11">
                  <c:v>Connect($)</c:v>
                </c:pt>
                <c:pt idx="12">
                  <c:v>CloudFront($)</c:v>
                </c:pt>
                <c:pt idx="13">
                  <c:v>AppSync($)</c:v>
                </c:pt>
                <c:pt idx="14">
                  <c:v>Athena($)</c:v>
                </c:pt>
              </c:strCache>
            </c:strRef>
          </c:cat>
          <c:val>
            <c:numRef>
              <c:f>Dashboard!$AC$20:$AC$34</c:f>
              <c:numCache>
                <c:formatCode>#,##0.00</c:formatCode>
                <c:ptCount val="15"/>
                <c:pt idx="0">
                  <c:v>3311.9499999999989</c:v>
                </c:pt>
                <c:pt idx="1">
                  <c:v>-2320.6149999999998</c:v>
                </c:pt>
                <c:pt idx="2">
                  <c:v>-1951.9530000000013</c:v>
                </c:pt>
                <c:pt idx="3">
                  <c:v>-1887.5470000000005</c:v>
                </c:pt>
                <c:pt idx="4">
                  <c:v>-1821.6730000000007</c:v>
                </c:pt>
                <c:pt idx="5">
                  <c:v>1482.1819999999989</c:v>
                </c:pt>
                <c:pt idx="6">
                  <c:v>1467.0849999999991</c:v>
                </c:pt>
                <c:pt idx="7">
                  <c:v>1441.1099999999997</c:v>
                </c:pt>
                <c:pt idx="8">
                  <c:v>1197.8049999999985</c:v>
                </c:pt>
                <c:pt idx="9">
                  <c:v>1089.4760000000006</c:v>
                </c:pt>
                <c:pt idx="10">
                  <c:v>-1045.5969999999998</c:v>
                </c:pt>
                <c:pt idx="11">
                  <c:v>-1006.7789999999995</c:v>
                </c:pt>
                <c:pt idx="12">
                  <c:v>937.13900000000103</c:v>
                </c:pt>
                <c:pt idx="13">
                  <c:v>921.72299999999996</c:v>
                </c:pt>
                <c:pt idx="14">
                  <c:v>876.95800000000054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8-494F-885E-352E66473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92730"/>
        <c:axId val="26381225"/>
      </c:barChart>
      <c:catAx>
        <c:axId val="664927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MoM Δ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81225"/>
        <c:crosses val="autoZero"/>
        <c:auto val="1"/>
        <c:lblAlgn val="ctr"/>
        <c:lblOffset val="100"/>
        <c:noMultiLvlLbl val="0"/>
      </c:catAx>
      <c:valAx>
        <c:axId val="263812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927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Cost Trend — Acct1 / Acct2 / Combined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Dashboard!$AC$36</c:f>
              <c:strCache>
                <c:ptCount val="1"/>
                <c:pt idx="0">
                  <c:v>Acct1</c:v>
                </c:pt>
              </c:strCache>
            </c:strRef>
          </c:tx>
          <c:spPr>
            <a:ln w="24840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Dashboard!$AC$37:$AC$42</c:f>
              <c:numCache>
                <c:formatCode>#,##0.00</c:formatCode>
                <c:ptCount val="6"/>
                <c:pt idx="0">
                  <c:v>474371.39699999982</c:v>
                </c:pt>
                <c:pt idx="1">
                  <c:v>480182.00899999985</c:v>
                </c:pt>
                <c:pt idx="2">
                  <c:v>483330.51899999997</c:v>
                </c:pt>
                <c:pt idx="3">
                  <c:v>477796.98200000002</c:v>
                </c:pt>
                <c:pt idx="4">
                  <c:v>474735.20399999991</c:v>
                </c:pt>
                <c:pt idx="5">
                  <c:v>472288.4980000002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B3-4FFC-BDD9-4F24479245DC}"/>
            </c:ext>
          </c:extLst>
        </c:ser>
        <c:ser>
          <c:idx val="1"/>
          <c:order val="1"/>
          <c:tx>
            <c:strRef>
              <c:f>Dashboard!$AD$36</c:f>
              <c:strCache>
                <c:ptCount val="1"/>
                <c:pt idx="0">
                  <c:v>Acct2</c:v>
                </c:pt>
              </c:strCache>
            </c:strRef>
          </c:tx>
          <c:spPr>
            <a:ln w="2484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Dashboard!$AD$37:$AD$42</c:f>
              <c:numCache>
                <c:formatCode>#,##0.00</c:formatCode>
                <c:ptCount val="6"/>
                <c:pt idx="0">
                  <c:v>447795.00400000019</c:v>
                </c:pt>
                <c:pt idx="1">
                  <c:v>433250.80900000012</c:v>
                </c:pt>
                <c:pt idx="2">
                  <c:v>441339.15800000017</c:v>
                </c:pt>
                <c:pt idx="3">
                  <c:v>454138.27400000003</c:v>
                </c:pt>
                <c:pt idx="4">
                  <c:v>449403.33</c:v>
                </c:pt>
                <c:pt idx="5">
                  <c:v>449777.49700000003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B3-4FFC-BDD9-4F24479245DC}"/>
            </c:ext>
          </c:extLst>
        </c:ser>
        <c:ser>
          <c:idx val="2"/>
          <c:order val="2"/>
          <c:tx>
            <c:strRef>
              <c:f>Dashboard!$AE$36</c:f>
              <c:strCache>
                <c:ptCount val="1"/>
                <c:pt idx="0">
                  <c:v>Combined</c:v>
                </c:pt>
              </c:strCache>
            </c:strRef>
          </c:tx>
          <c:spPr>
            <a:ln w="24840">
              <a:solidFill>
                <a:srgbClr val="375623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375623"/>
              </a:solidFill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Dashboard!$AB$37:$AB$42</c:f>
              <c:strCache>
                <c:ptCount val="6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</c:strCache>
            </c:strRef>
          </c:cat>
          <c:val>
            <c:numRef>
              <c:f>Dashboard!$AE$37:$AE$42</c:f>
              <c:numCache>
                <c:formatCode>#,##0.00</c:formatCode>
                <c:ptCount val="6"/>
                <c:pt idx="0">
                  <c:v>922166.40100000007</c:v>
                </c:pt>
                <c:pt idx="1">
                  <c:v>913432.81799999997</c:v>
                </c:pt>
                <c:pt idx="2">
                  <c:v>924669.67700000014</c:v>
                </c:pt>
                <c:pt idx="3">
                  <c:v>931935.25600000005</c:v>
                </c:pt>
                <c:pt idx="4">
                  <c:v>924138.53399999999</c:v>
                </c:pt>
                <c:pt idx="5">
                  <c:v>922065.99500000023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B3-4FFC-BDD9-4F2447924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10307339"/>
        <c:axId val="33881319"/>
      </c:lineChart>
      <c:catAx>
        <c:axId val="10307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81319"/>
        <c:crosses val="autoZero"/>
        <c:auto val="1"/>
        <c:lblAlgn val="ctr"/>
        <c:lblOffset val="100"/>
        <c:noMultiLvlLbl val="0"/>
      </c:catAx>
      <c:valAx>
        <c:axId val="33881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0733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 Share by Service (Current Month)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Dashboard!$AC$44</c:f>
              <c:strCache>
                <c:ptCount val="1"/>
                <c:pt idx="0">
                  <c:v>Cost($)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6492-409E-8B03-8F79C93A1E5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6492-409E-8B03-8F79C93A1E5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6492-409E-8B03-8F79C93A1E5B}"/>
              </c:ext>
            </c:extLst>
          </c:dPt>
          <c:dPt>
            <c:idx val="3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6492-409E-8B03-8F79C93A1E5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6492-409E-8B03-8F79C93A1E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6492-409E-8B03-8F79C93A1E5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6492-409E-8B03-8F79C93A1E5B}"/>
              </c:ext>
            </c:extLst>
          </c:dPt>
          <c:dPt>
            <c:idx val="7"/>
            <c:bubble3D val="0"/>
            <c:spPr>
              <a:solidFill>
                <a:srgbClr val="843C0C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6492-409E-8B03-8F79C93A1E5B}"/>
              </c:ext>
            </c:extLst>
          </c:dPt>
          <c:dPt>
            <c:idx val="8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6492-409E-8B03-8F79C93A1E5B}"/>
              </c:ext>
            </c:extLst>
          </c:dPt>
          <c:dPt>
            <c:idx val="9"/>
            <c:bubble3D val="0"/>
            <c:spPr>
              <a:solidFill>
                <a:srgbClr val="BFBFBF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6492-409E-8B03-8F79C93A1E5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492-409E-8B03-8F79C93A1E5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492-409E-8B03-8F79C93A1E5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492-409E-8B03-8F79C93A1E5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492-409E-8B03-8F79C93A1E5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492-409E-8B03-8F79C93A1E5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492-409E-8B03-8F79C93A1E5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6492-409E-8B03-8F79C93A1E5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6492-409E-8B03-8F79C93A1E5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6492-409E-8B03-8F79C93A1E5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6492-409E-8B03-8F79C93A1E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Dashboard!$AB$45:$AB$54</c:f>
              <c:strCache>
                <c:ptCount val="10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Other</c:v>
                </c:pt>
              </c:strCache>
            </c:strRef>
          </c:cat>
          <c:val>
            <c:numRef>
              <c:f>Dashboard!$AC$45:$AC$54</c:f>
              <c:numCache>
                <c:formatCode>#,##0.00</c:formatCode>
                <c:ptCount val="10"/>
                <c:pt idx="0">
                  <c:v>15512.514999999999</c:v>
                </c:pt>
                <c:pt idx="1">
                  <c:v>15455.826999999999</c:v>
                </c:pt>
                <c:pt idx="2">
                  <c:v>15384.035</c:v>
                </c:pt>
                <c:pt idx="3">
                  <c:v>14365.915999999999</c:v>
                </c:pt>
                <c:pt idx="4">
                  <c:v>14222.876</c:v>
                </c:pt>
                <c:pt idx="5">
                  <c:v>14013.558000000001</c:v>
                </c:pt>
                <c:pt idx="6">
                  <c:v>13414.013999999999</c:v>
                </c:pt>
                <c:pt idx="7">
                  <c:v>12336.252</c:v>
                </c:pt>
                <c:pt idx="8">
                  <c:v>11892.790999999999</c:v>
                </c:pt>
                <c:pt idx="9">
                  <c:v>345690.71400000015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492-409E-8B03-8F79C93A1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Acct1 vs Acct2 — Current Month Cost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Dashboard!$AC$56</c:f>
              <c:strCache>
                <c:ptCount val="1"/>
                <c:pt idx="0">
                  <c:v>Acct1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Dashboard!$AB$57:$AB$71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Dashboard!$AC$57:$AC$71</c:f>
              <c:numCache>
                <c:formatCode>#,##0.00</c:formatCode>
                <c:ptCount val="15"/>
                <c:pt idx="0">
                  <c:v>15512.514999999999</c:v>
                </c:pt>
                <c:pt idx="1">
                  <c:v>15455.826999999999</c:v>
                </c:pt>
                <c:pt idx="2">
                  <c:v>15384.035</c:v>
                </c:pt>
                <c:pt idx="3">
                  <c:v>14365.915999999999</c:v>
                </c:pt>
                <c:pt idx="4">
                  <c:v>14222.876</c:v>
                </c:pt>
                <c:pt idx="5">
                  <c:v>14013.558000000001</c:v>
                </c:pt>
                <c:pt idx="6">
                  <c:v>13414.013999999999</c:v>
                </c:pt>
                <c:pt idx="7">
                  <c:v>12336.252</c:v>
                </c:pt>
                <c:pt idx="8">
                  <c:v>11892.790999999999</c:v>
                </c:pt>
                <c:pt idx="9">
                  <c:v>11724.125</c:v>
                </c:pt>
                <c:pt idx="10">
                  <c:v>11660.599</c:v>
                </c:pt>
                <c:pt idx="11">
                  <c:v>11568.293</c:v>
                </c:pt>
                <c:pt idx="12">
                  <c:v>11300.897000000001</c:v>
                </c:pt>
                <c:pt idx="13">
                  <c:v>11093.646000000001</c:v>
                </c:pt>
                <c:pt idx="14">
                  <c:v>11086.39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B-4BCF-AFF8-C18FD4934059}"/>
            </c:ext>
          </c:extLst>
        </c:ser>
        <c:ser>
          <c:idx val="1"/>
          <c:order val="1"/>
          <c:tx>
            <c:strRef>
              <c:f>Dashboard!$AD$56</c:f>
              <c:strCache>
                <c:ptCount val="1"/>
                <c:pt idx="0">
                  <c:v>Acct2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Dashboard!$AB$57:$AB$71</c:f>
              <c:strCache>
                <c:ptCount val="15"/>
                <c:pt idx="0">
                  <c:v>Batch($)</c:v>
                </c:pt>
                <c:pt idx="1">
                  <c:v>CodeBuild($)</c:v>
                </c:pt>
                <c:pt idx="2">
                  <c:v>Chime($)</c:v>
                </c:pt>
                <c:pt idx="3">
                  <c:v>DataSync($)</c:v>
                </c:pt>
                <c:pt idx="4">
                  <c:v>CloudFront($)</c:v>
                </c:pt>
                <c:pt idx="5">
                  <c:v>SageMaker($)</c:v>
                </c:pt>
                <c:pt idx="6">
                  <c:v>GuardDuty($)</c:v>
                </c:pt>
                <c:pt idx="7">
                  <c:v>WAF($)</c:v>
                </c:pt>
                <c:pt idx="8">
                  <c:v>Transcribe($)</c:v>
                </c:pt>
                <c:pt idx="9">
                  <c:v>API Gateway($)</c:v>
                </c:pt>
                <c:pt idx="10">
                  <c:v>Translate($)</c:v>
                </c:pt>
                <c:pt idx="11">
                  <c:v>Firehose($)</c:v>
                </c:pt>
                <c:pt idx="12">
                  <c:v>Athena($)</c:v>
                </c:pt>
                <c:pt idx="13">
                  <c:v>AppSync($)</c:v>
                </c:pt>
                <c:pt idx="14">
                  <c:v>Transfer Family($)</c:v>
                </c:pt>
              </c:strCache>
            </c:strRef>
          </c:cat>
          <c:val>
            <c:numRef>
              <c:f>Dashboard!$AD$57:$AD$71</c:f>
              <c:numCache>
                <c:formatCode>#,##0.00</c:formatCode>
                <c:ptCount val="15"/>
                <c:pt idx="0">
                  <c:v>10580.264999999999</c:v>
                </c:pt>
                <c:pt idx="1">
                  <c:v>8166.2349999999997</c:v>
                </c:pt>
                <c:pt idx="2">
                  <c:v>4827.4089999999997</c:v>
                </c:pt>
                <c:pt idx="3">
                  <c:v>13517.198</c:v>
                </c:pt>
                <c:pt idx="4">
                  <c:v>3871.4459999999999</c:v>
                </c:pt>
                <c:pt idx="5">
                  <c:v>169.57</c:v>
                </c:pt>
                <c:pt idx="6">
                  <c:v>11676.933999999999</c:v>
                </c:pt>
                <c:pt idx="7">
                  <c:v>3327.7820000000002</c:v>
                </c:pt>
                <c:pt idx="8">
                  <c:v>13663.332</c:v>
                </c:pt>
                <c:pt idx="9">
                  <c:v>8243.2759999999998</c:v>
                </c:pt>
                <c:pt idx="10">
                  <c:v>9714.6200000000008</c:v>
                </c:pt>
                <c:pt idx="11">
                  <c:v>13047.047</c:v>
                </c:pt>
                <c:pt idx="12">
                  <c:v>2112.433</c:v>
                </c:pt>
                <c:pt idx="13">
                  <c:v>15178.999</c:v>
                </c:pt>
                <c:pt idx="14">
                  <c:v>13576.395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B-4BCF-AFF8-C18FD4934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72081847"/>
        <c:axId val="22124554"/>
      </c:barChart>
      <c:catAx>
        <c:axId val="720818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24554"/>
        <c:crosses val="autoZero"/>
        <c:auto val="1"/>
        <c:lblAlgn val="ctr"/>
        <c:lblOffset val="100"/>
        <c:noMultiLvlLbl val="0"/>
      </c:catAx>
      <c:valAx>
        <c:axId val="2212455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8184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12</xdr:row>
      <xdr:rowOff>0</xdr:rowOff>
    </xdr:from>
    <xdr:to>
      <xdr:col>22</xdr:col>
      <xdr:colOff>551520</xdr:colOff>
      <xdr:row>33</xdr:row>
      <xdr:rowOff>119160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29</xdr:row>
      <xdr:rowOff>0</xdr:rowOff>
    </xdr:from>
    <xdr:to>
      <xdr:col>22</xdr:col>
      <xdr:colOff>551520</xdr:colOff>
      <xdr:row>50</xdr:row>
      <xdr:rowOff>90360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46</xdr:row>
      <xdr:rowOff>0</xdr:rowOff>
    </xdr:from>
    <xdr:to>
      <xdr:col>22</xdr:col>
      <xdr:colOff>551520</xdr:colOff>
      <xdr:row>66</xdr:row>
      <xdr:rowOff>166680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54</xdr:row>
      <xdr:rowOff>0</xdr:rowOff>
    </xdr:from>
    <xdr:to>
      <xdr:col>22</xdr:col>
      <xdr:colOff>551520</xdr:colOff>
      <xdr:row>79</xdr:row>
      <xdr:rowOff>77040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66</xdr:row>
      <xdr:rowOff>0</xdr:rowOff>
    </xdr:from>
    <xdr:to>
      <xdr:col>22</xdr:col>
      <xdr:colOff>551520</xdr:colOff>
      <xdr:row>87</xdr:row>
      <xdr:rowOff>100080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cct1" displayName="tbl_acct1" ref="A1:BP8" totalsRowShown="0">
  <autoFilter ref="A1:BP8" xr:uid="{00000000-0009-0000-0100-000001000000}"/>
  <tableColumns count="68">
    <tableColumn id="1" xr3:uid="{00000000-0010-0000-0000-000001000000}" name="Service"/>
    <tableColumn id="2" xr3:uid="{00000000-0010-0000-0000-000002000000}" name="Relational Database Service($)"/>
    <tableColumn id="3" xr3:uid="{00000000-0010-0000-0000-000003000000}" name="S3($)"/>
    <tableColumn id="4" xr3:uid="{00000000-0010-0000-0000-000004000000}" name="DMS($)"/>
    <tableColumn id="5" xr3:uid="{00000000-0010-0000-0000-000005000000}" name="Glue($)"/>
    <tableColumn id="6" xr3:uid="{00000000-0010-0000-0000-000006000000}" name="EC2-Instances($)"/>
    <tableColumn id="7" xr3:uid="{00000000-0010-0000-0000-000007000000}" name="Lambda($)"/>
    <tableColumn id="8" xr3:uid="{00000000-0010-0000-0000-000008000000}" name="CloudFront($)"/>
    <tableColumn id="9" xr3:uid="{00000000-0010-0000-0000-000009000000}" name="Route53($)"/>
    <tableColumn id="10" xr3:uid="{00000000-0010-0000-0000-00000A000000}" name="CloudWatch($)"/>
    <tableColumn id="11" xr3:uid="{00000000-0010-0000-0000-00000B000000}" name="SNS($)"/>
    <tableColumn id="12" xr3:uid="{00000000-0010-0000-0000-00000C000000}" name="SQS($)"/>
    <tableColumn id="13" xr3:uid="{00000000-0010-0000-0000-00000D000000}" name="DynamoDB($)"/>
    <tableColumn id="14" xr3:uid="{00000000-0010-0000-0000-00000E000000}" name="ElastiCache($)"/>
    <tableColumn id="15" xr3:uid="{00000000-0010-0000-0000-00000F000000}" name="ECS($)"/>
    <tableColumn id="16" xr3:uid="{00000000-0010-0000-0000-000010000000}" name="EKS($)"/>
    <tableColumn id="17" xr3:uid="{00000000-0010-0000-0000-000011000000}" name="ECR($)"/>
    <tableColumn id="18" xr3:uid="{00000000-0010-0000-0000-000012000000}" name="VPC($)"/>
    <tableColumn id="19" xr3:uid="{00000000-0010-0000-0000-000013000000}" name="Direct Connect($)"/>
    <tableColumn id="20" xr3:uid="{00000000-0010-0000-0000-000014000000}" name="API Gateway($)"/>
    <tableColumn id="21" xr3:uid="{00000000-0010-0000-0000-000015000000}" name="Kinesis($)"/>
    <tableColumn id="22" xr3:uid="{00000000-0010-0000-0000-000016000000}" name="Firehose($)"/>
    <tableColumn id="23" xr3:uid="{00000000-0010-0000-0000-000017000000}" name="Athena($)"/>
    <tableColumn id="24" xr3:uid="{00000000-0010-0000-0000-000018000000}" name="Redshift($)"/>
    <tableColumn id="25" xr3:uid="{00000000-0010-0000-0000-000019000000}" name="EMR($)"/>
    <tableColumn id="26" xr3:uid="{00000000-0010-0000-0000-00001A000000}" name="SageMaker($)"/>
    <tableColumn id="27" xr3:uid="{00000000-0010-0000-0000-00001B000000}" name="Rekognition($)"/>
    <tableColumn id="28" xr3:uid="{00000000-0010-0000-0000-00001C000000}" name="Textract($)"/>
    <tableColumn id="29" xr3:uid="{00000000-0010-0000-0000-00001D000000}" name="Comprehend($)"/>
    <tableColumn id="30" xr3:uid="{00000000-0010-0000-0000-00001E000000}" name="Translate($)"/>
    <tableColumn id="31" xr3:uid="{00000000-0010-0000-0000-00001F000000}" name="Polly($)"/>
    <tableColumn id="32" xr3:uid="{00000000-0010-0000-0000-000020000000}" name="Transcribe($)"/>
    <tableColumn id="33" xr3:uid="{00000000-0010-0000-0000-000021000000}" name="Lex($)"/>
    <tableColumn id="34" xr3:uid="{00000000-0010-0000-0000-000022000000}" name="Connect($)"/>
    <tableColumn id="35" xr3:uid="{00000000-0010-0000-0000-000023000000}" name="Chime($)"/>
    <tableColumn id="36" xr3:uid="{00000000-0010-0000-0000-000024000000}" name="WorkSpaces($)"/>
    <tableColumn id="37" xr3:uid="{00000000-0010-0000-0000-000025000000}" name="AppStream($)"/>
    <tableColumn id="38" xr3:uid="{00000000-0010-0000-0000-000026000000}" name="WAF($)"/>
    <tableColumn id="39" xr3:uid="{00000000-0010-0000-0000-000027000000}" name="Shield($)"/>
    <tableColumn id="40" xr3:uid="{00000000-0010-0000-0000-000028000000}" name="GuardDuty($)"/>
    <tableColumn id="41" xr3:uid="{00000000-0010-0000-0000-000029000000}" name="Inspector($)"/>
    <tableColumn id="42" xr3:uid="{00000000-0010-0000-0000-00002A000000}" name="Macie($)"/>
    <tableColumn id="43" xr3:uid="{00000000-0010-0000-0000-00002B000000}" name="Security Hub($)"/>
    <tableColumn id="44" xr3:uid="{00000000-0010-0000-0000-00002C000000}" name="Config($)"/>
    <tableColumn id="45" xr3:uid="{00000000-0010-0000-0000-00002D000000}" name="CloudTrail($)"/>
    <tableColumn id="46" xr3:uid="{00000000-0010-0000-0000-00002E000000}" name="Systems Manager($)"/>
    <tableColumn id="47" xr3:uid="{00000000-0010-0000-0000-00002F000000}" name="Secrets Manager($)"/>
    <tableColumn id="48" xr3:uid="{00000000-0010-0000-0000-000030000000}" name="KMS($)"/>
    <tableColumn id="49" xr3:uid="{00000000-0010-0000-0000-000031000000}" name="ACM($)"/>
    <tableColumn id="50" xr3:uid="{00000000-0010-0000-0000-000032000000}" name="IAM($)"/>
    <tableColumn id="51" xr3:uid="{00000000-0010-0000-0000-000033000000}" name="Organizations($)"/>
    <tableColumn id="52" xr3:uid="{00000000-0010-0000-0000-000034000000}" name="Control Tower($)"/>
    <tableColumn id="53" xr3:uid="{00000000-0010-0000-0000-000035000000}" name="Service Catalog($)"/>
    <tableColumn id="54" xr3:uid="{00000000-0010-0000-0000-000036000000}" name="CodePipeline($)"/>
    <tableColumn id="55" xr3:uid="{00000000-0010-0000-0000-000037000000}" name="CodeBuild($)"/>
    <tableColumn id="56" xr3:uid="{00000000-0010-0000-0000-000038000000}" name="CodeDeploy($)"/>
    <tableColumn id="57" xr3:uid="{00000000-0010-0000-0000-000039000000}" name="CodeCommit($)"/>
    <tableColumn id="58" xr3:uid="{00000000-0010-0000-0000-00003A000000}" name="Amplify($)"/>
    <tableColumn id="59" xr3:uid="{00000000-0010-0000-0000-00003B000000}" name="AppSync($)"/>
    <tableColumn id="60" xr3:uid="{00000000-0010-0000-0000-00003C000000}" name="EventBridge($)"/>
    <tableColumn id="61" xr3:uid="{00000000-0010-0000-0000-00003D000000}" name="Step Functions($)"/>
    <tableColumn id="62" xr3:uid="{00000000-0010-0000-0000-00003E000000}" name="Batch($)"/>
    <tableColumn id="63" xr3:uid="{00000000-0010-0000-0000-00003F000000}" name="Fargate($)"/>
    <tableColumn id="64" xr3:uid="{00000000-0010-0000-0000-000040000000}" name="Lightsail($)"/>
    <tableColumn id="65" xr3:uid="{00000000-0010-0000-0000-000041000000}" name="Transfer Family($)"/>
    <tableColumn id="66" xr3:uid="{00000000-0010-0000-0000-000042000000}" name="DataSync($)"/>
    <tableColumn id="67" xr3:uid="{00000000-0010-0000-0000-000043000000}" name="Backup($)"/>
    <tableColumn id="68" xr3:uid="{00000000-0010-0000-0000-000044000000}" name="Total($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acct2" displayName="tbl_acct2" ref="A1:BP8" totalsRowShown="0">
  <autoFilter ref="A1:BP8" xr:uid="{00000000-0009-0000-0100-000002000000}"/>
  <tableColumns count="68">
    <tableColumn id="1" xr3:uid="{00000000-0010-0000-0100-000001000000}" name="Service"/>
    <tableColumn id="2" xr3:uid="{00000000-0010-0000-0100-000002000000}" name="Relational Database Service($)"/>
    <tableColumn id="3" xr3:uid="{00000000-0010-0000-0100-000003000000}" name="S3($)"/>
    <tableColumn id="4" xr3:uid="{00000000-0010-0000-0100-000004000000}" name="DMS($)"/>
    <tableColumn id="5" xr3:uid="{00000000-0010-0000-0100-000005000000}" name="Glue($)"/>
    <tableColumn id="6" xr3:uid="{00000000-0010-0000-0100-000006000000}" name="EC2-Instances($)"/>
    <tableColumn id="7" xr3:uid="{00000000-0010-0000-0100-000007000000}" name="Lambda($)"/>
    <tableColumn id="8" xr3:uid="{00000000-0010-0000-0100-000008000000}" name="CloudFront($)"/>
    <tableColumn id="9" xr3:uid="{00000000-0010-0000-0100-000009000000}" name="Route53($)"/>
    <tableColumn id="10" xr3:uid="{00000000-0010-0000-0100-00000A000000}" name="CloudWatch($)"/>
    <tableColumn id="11" xr3:uid="{00000000-0010-0000-0100-00000B000000}" name="SNS($)"/>
    <tableColumn id="12" xr3:uid="{00000000-0010-0000-0100-00000C000000}" name="SQS($)"/>
    <tableColumn id="13" xr3:uid="{00000000-0010-0000-0100-00000D000000}" name="DynamoDB($)"/>
    <tableColumn id="14" xr3:uid="{00000000-0010-0000-0100-00000E000000}" name="ElastiCache($)"/>
    <tableColumn id="15" xr3:uid="{00000000-0010-0000-0100-00000F000000}" name="ECS($)"/>
    <tableColumn id="16" xr3:uid="{00000000-0010-0000-0100-000010000000}" name="EKS($)"/>
    <tableColumn id="17" xr3:uid="{00000000-0010-0000-0100-000011000000}" name="ECR($)"/>
    <tableColumn id="18" xr3:uid="{00000000-0010-0000-0100-000012000000}" name="VPC($)"/>
    <tableColumn id="19" xr3:uid="{00000000-0010-0000-0100-000013000000}" name="Direct Connect($)"/>
    <tableColumn id="20" xr3:uid="{00000000-0010-0000-0100-000014000000}" name="API Gateway($)"/>
    <tableColumn id="21" xr3:uid="{00000000-0010-0000-0100-000015000000}" name="Kinesis($)"/>
    <tableColumn id="22" xr3:uid="{00000000-0010-0000-0100-000016000000}" name="Firehose($)"/>
    <tableColumn id="23" xr3:uid="{00000000-0010-0000-0100-000017000000}" name="Athena($)"/>
    <tableColumn id="24" xr3:uid="{00000000-0010-0000-0100-000018000000}" name="Redshift($)"/>
    <tableColumn id="25" xr3:uid="{00000000-0010-0000-0100-000019000000}" name="EMR($)"/>
    <tableColumn id="26" xr3:uid="{00000000-0010-0000-0100-00001A000000}" name="SageMaker($)"/>
    <tableColumn id="27" xr3:uid="{00000000-0010-0000-0100-00001B000000}" name="Rekognition($)"/>
    <tableColumn id="28" xr3:uid="{00000000-0010-0000-0100-00001C000000}" name="Textract($)"/>
    <tableColumn id="29" xr3:uid="{00000000-0010-0000-0100-00001D000000}" name="Comprehend($)"/>
    <tableColumn id="30" xr3:uid="{00000000-0010-0000-0100-00001E000000}" name="Translate($)"/>
    <tableColumn id="31" xr3:uid="{00000000-0010-0000-0100-00001F000000}" name="Polly($)"/>
    <tableColumn id="32" xr3:uid="{00000000-0010-0000-0100-000020000000}" name="Transcribe($)"/>
    <tableColumn id="33" xr3:uid="{00000000-0010-0000-0100-000021000000}" name="Lex($)"/>
    <tableColumn id="34" xr3:uid="{00000000-0010-0000-0100-000022000000}" name="Connect($)"/>
    <tableColumn id="35" xr3:uid="{00000000-0010-0000-0100-000023000000}" name="Chime($)"/>
    <tableColumn id="36" xr3:uid="{00000000-0010-0000-0100-000024000000}" name="WorkSpaces($)"/>
    <tableColumn id="37" xr3:uid="{00000000-0010-0000-0100-000025000000}" name="AppStream($)"/>
    <tableColumn id="38" xr3:uid="{00000000-0010-0000-0100-000026000000}" name="WAF($)"/>
    <tableColumn id="39" xr3:uid="{00000000-0010-0000-0100-000027000000}" name="Shield($)"/>
    <tableColumn id="40" xr3:uid="{00000000-0010-0000-0100-000028000000}" name="GuardDuty($)"/>
    <tableColumn id="41" xr3:uid="{00000000-0010-0000-0100-000029000000}" name="Inspector($)"/>
    <tableColumn id="42" xr3:uid="{00000000-0010-0000-0100-00002A000000}" name="Macie($)"/>
    <tableColumn id="43" xr3:uid="{00000000-0010-0000-0100-00002B000000}" name="Security Hub($)"/>
    <tableColumn id="44" xr3:uid="{00000000-0010-0000-0100-00002C000000}" name="Config($)"/>
    <tableColumn id="45" xr3:uid="{00000000-0010-0000-0100-00002D000000}" name="CloudTrail($)"/>
    <tableColumn id="46" xr3:uid="{00000000-0010-0000-0100-00002E000000}" name="Systems Manager($)"/>
    <tableColumn id="47" xr3:uid="{00000000-0010-0000-0100-00002F000000}" name="Secrets Manager($)"/>
    <tableColumn id="48" xr3:uid="{00000000-0010-0000-0100-000030000000}" name="KMS($)"/>
    <tableColumn id="49" xr3:uid="{00000000-0010-0000-0100-000031000000}" name="ACM($)"/>
    <tableColumn id="50" xr3:uid="{00000000-0010-0000-0100-000032000000}" name="IAM($)"/>
    <tableColumn id="51" xr3:uid="{00000000-0010-0000-0100-000033000000}" name="Organizations($)"/>
    <tableColumn id="52" xr3:uid="{00000000-0010-0000-0100-000034000000}" name="Control Tower($)"/>
    <tableColumn id="53" xr3:uid="{00000000-0010-0000-0100-000035000000}" name="Service Catalog($)"/>
    <tableColumn id="54" xr3:uid="{00000000-0010-0000-0100-000036000000}" name="CodePipeline($)"/>
    <tableColumn id="55" xr3:uid="{00000000-0010-0000-0100-000037000000}" name="CodeBuild($)"/>
    <tableColumn id="56" xr3:uid="{00000000-0010-0000-0100-000038000000}" name="CodeDeploy($)"/>
    <tableColumn id="57" xr3:uid="{00000000-0010-0000-0100-000039000000}" name="CodeCommit($)"/>
    <tableColumn id="58" xr3:uid="{00000000-0010-0000-0100-00003A000000}" name="Amplify($)"/>
    <tableColumn id="59" xr3:uid="{00000000-0010-0000-0100-00003B000000}" name="AppSync($)"/>
    <tableColumn id="60" xr3:uid="{00000000-0010-0000-0100-00003C000000}" name="EventBridge($)"/>
    <tableColumn id="61" xr3:uid="{00000000-0010-0000-0100-00003D000000}" name="Step Functions($)"/>
    <tableColumn id="62" xr3:uid="{00000000-0010-0000-0100-00003E000000}" name="Batch($)"/>
    <tableColumn id="63" xr3:uid="{00000000-0010-0000-0100-00003F000000}" name="Fargate($)"/>
    <tableColumn id="64" xr3:uid="{00000000-0010-0000-0100-000040000000}" name="Lightsail($)"/>
    <tableColumn id="65" xr3:uid="{00000000-0010-0000-0100-000041000000}" name="Transfer Family($)"/>
    <tableColumn id="66" xr3:uid="{00000000-0010-0000-0100-000042000000}" name="DataSync($)"/>
    <tableColumn id="67" xr3:uid="{00000000-0010-0000-0100-000043000000}" name="Backup($)"/>
    <tableColumn id="68" xr3:uid="{00000000-0010-0000-0100-000044000000}" name="Total($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P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68" width="14" customWidth="1"/>
  </cols>
  <sheetData>
    <row r="1" spans="1:68" ht="32.8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5" customHeight="1" x14ac:dyDescent="0.25">
      <c r="A2" s="2" t="s">
        <v>68</v>
      </c>
      <c r="B2" s="25">
        <v>54634.461000000003</v>
      </c>
      <c r="C2" s="25">
        <v>2570.5720000000001</v>
      </c>
      <c r="D2" s="25">
        <v>24257.960999999999</v>
      </c>
      <c r="E2" s="25">
        <v>19600.221000000001</v>
      </c>
      <c r="F2" s="25">
        <v>62600.036</v>
      </c>
      <c r="G2" s="25">
        <v>66509.019</v>
      </c>
      <c r="H2" s="25">
        <v>86409.898000000001</v>
      </c>
      <c r="I2" s="25">
        <v>8062.0159999999996</v>
      </c>
      <c r="J2" s="25">
        <v>39511.087</v>
      </c>
      <c r="K2" s="25">
        <v>3195.7429999999999</v>
      </c>
      <c r="L2" s="25">
        <v>21816.55</v>
      </c>
      <c r="M2" s="25">
        <v>45402.021000000001</v>
      </c>
      <c r="N2" s="25">
        <v>2832.5459999999998</v>
      </c>
      <c r="O2" s="25">
        <v>17444.886999999999</v>
      </c>
      <c r="P2" s="25">
        <v>59420.127</v>
      </c>
      <c r="Q2" s="25">
        <v>46977.557000000001</v>
      </c>
      <c r="R2" s="25">
        <v>20650.936000000002</v>
      </c>
      <c r="S2" s="25">
        <v>57519.580999999998</v>
      </c>
      <c r="T2" s="25">
        <v>71495.073000000004</v>
      </c>
      <c r="U2" s="25">
        <v>1114.693</v>
      </c>
      <c r="V2" s="25">
        <v>79868.490999999995</v>
      </c>
      <c r="W2" s="25">
        <v>63133.718999999997</v>
      </c>
      <c r="X2" s="25">
        <v>28480.528999999999</v>
      </c>
      <c r="Y2" s="25">
        <v>13186.517</v>
      </c>
      <c r="Z2" s="25">
        <v>79447.163</v>
      </c>
      <c r="AA2" s="25">
        <v>31473.856</v>
      </c>
      <c r="AB2" s="25">
        <v>9410.8819999999996</v>
      </c>
      <c r="AC2" s="25">
        <v>9102.4950000000008</v>
      </c>
      <c r="AD2" s="25">
        <v>69699.668000000005</v>
      </c>
      <c r="AE2" s="25">
        <v>53281.027000000002</v>
      </c>
      <c r="AF2" s="25">
        <v>79976.554999999993</v>
      </c>
      <c r="AG2" s="25">
        <v>66221.388000000006</v>
      </c>
      <c r="AH2" s="25">
        <v>53111.906000000003</v>
      </c>
      <c r="AI2" s="25">
        <v>93917.160999999993</v>
      </c>
      <c r="AJ2" s="25">
        <v>31075.96</v>
      </c>
      <c r="AK2" s="25">
        <v>52157.550999999999</v>
      </c>
      <c r="AL2" s="25">
        <v>77465.303</v>
      </c>
      <c r="AM2" s="25">
        <v>56308.962</v>
      </c>
      <c r="AN2" s="25">
        <v>74016.017000000007</v>
      </c>
      <c r="AO2" s="25">
        <v>53687.353999999999</v>
      </c>
      <c r="AP2" s="25">
        <v>58648.542000000001</v>
      </c>
      <c r="AQ2" s="25">
        <v>4635.4219999999996</v>
      </c>
      <c r="AR2" s="25">
        <v>20779.985000000001</v>
      </c>
      <c r="AS2" s="25">
        <v>28873.901999999998</v>
      </c>
      <c r="AT2" s="25">
        <v>8314.7270000000008</v>
      </c>
      <c r="AU2" s="25">
        <v>20398.266</v>
      </c>
      <c r="AV2" s="25">
        <v>9630.6569999999992</v>
      </c>
      <c r="AW2" s="25">
        <v>23815.124</v>
      </c>
      <c r="AX2" s="25">
        <v>62169.648000000001</v>
      </c>
      <c r="AY2" s="25">
        <v>35677.425999999999</v>
      </c>
      <c r="AZ2" s="25">
        <v>32335.931</v>
      </c>
      <c r="BA2" s="25">
        <v>19867.105</v>
      </c>
      <c r="BB2" s="25">
        <v>25001.07</v>
      </c>
      <c r="BC2" s="25">
        <v>78481.226999999999</v>
      </c>
      <c r="BD2" s="25">
        <v>61607.544000000002</v>
      </c>
      <c r="BE2" s="25">
        <v>55489.925000000003</v>
      </c>
      <c r="BF2" s="25">
        <v>16785.815999999999</v>
      </c>
      <c r="BG2" s="25">
        <v>66183.293000000005</v>
      </c>
      <c r="BH2" s="25">
        <v>13689.103999999999</v>
      </c>
      <c r="BI2" s="25">
        <v>33309.173000000003</v>
      </c>
      <c r="BJ2" s="25">
        <v>80503.982000000004</v>
      </c>
      <c r="BK2" s="25">
        <v>62777.73</v>
      </c>
      <c r="BL2" s="25">
        <v>54208.165000000001</v>
      </c>
      <c r="BM2" s="25">
        <v>65904.198999999993</v>
      </c>
      <c r="BN2" s="25">
        <v>73027.063999999998</v>
      </c>
      <c r="BO2" s="25">
        <v>63787.608999999997</v>
      </c>
      <c r="BP2" s="25">
        <v>2862950.125</v>
      </c>
    </row>
    <row r="3" spans="1:68" ht="15" customHeight="1" x14ac:dyDescent="0.25">
      <c r="A3" s="26">
        <v>45870</v>
      </c>
      <c r="B3" s="4">
        <v>10719.241</v>
      </c>
      <c r="C3" s="4">
        <v>536.03700000000003</v>
      </c>
      <c r="D3" s="4">
        <v>3676.1170000000002</v>
      </c>
      <c r="E3" s="4">
        <v>3411.442</v>
      </c>
      <c r="F3" s="4">
        <v>9642.3340000000007</v>
      </c>
      <c r="G3" s="4">
        <v>10978.922</v>
      </c>
      <c r="H3" s="4">
        <v>14461.61</v>
      </c>
      <c r="I3" s="4">
        <v>1239.827</v>
      </c>
      <c r="J3" s="4">
        <v>6339.2759999999998</v>
      </c>
      <c r="K3" s="4">
        <v>552.10599999999999</v>
      </c>
      <c r="L3" s="4">
        <v>3121.0450000000001</v>
      </c>
      <c r="M3" s="4">
        <v>8482.27</v>
      </c>
      <c r="N3" s="4">
        <v>483.96300000000002</v>
      </c>
      <c r="O3" s="4">
        <v>2797.88</v>
      </c>
      <c r="P3" s="4">
        <v>9898.6110000000008</v>
      </c>
      <c r="Q3" s="4">
        <v>8786.6119999999992</v>
      </c>
      <c r="R3" s="4">
        <v>3081.123</v>
      </c>
      <c r="S3" s="4">
        <v>8378.4680000000008</v>
      </c>
      <c r="T3" s="4">
        <v>13966.895</v>
      </c>
      <c r="U3" s="4">
        <v>205.68199999999999</v>
      </c>
      <c r="V3" s="4">
        <v>11881.886</v>
      </c>
      <c r="W3" s="4">
        <v>10557.653</v>
      </c>
      <c r="X3" s="4">
        <v>4581.9409999999998</v>
      </c>
      <c r="Y3" s="4">
        <v>2217.0520000000001</v>
      </c>
      <c r="Z3" s="4">
        <v>13664.826999999999</v>
      </c>
      <c r="AA3" s="4">
        <v>5250.7749999999996</v>
      </c>
      <c r="AB3" s="4">
        <v>1361.9290000000001</v>
      </c>
      <c r="AC3" s="4">
        <v>1411.7239999999999</v>
      </c>
      <c r="AD3" s="4">
        <v>11089.589</v>
      </c>
      <c r="AE3" s="4">
        <v>9453.2530000000006</v>
      </c>
      <c r="AF3" s="4">
        <v>11140.138999999999</v>
      </c>
      <c r="AG3" s="4">
        <v>12307.606</v>
      </c>
      <c r="AH3" s="4">
        <v>8962.6119999999992</v>
      </c>
      <c r="AI3" s="4">
        <v>12719.853999999999</v>
      </c>
      <c r="AJ3" s="4">
        <v>5288.9930000000004</v>
      </c>
      <c r="AK3" s="4">
        <v>8747.4480000000003</v>
      </c>
      <c r="AL3" s="4">
        <v>11390.107</v>
      </c>
      <c r="AM3" s="4">
        <v>8288.3359999999993</v>
      </c>
      <c r="AN3" s="4">
        <v>14630.025</v>
      </c>
      <c r="AO3" s="4">
        <v>8888.0239999999994</v>
      </c>
      <c r="AP3" s="4">
        <v>10511.23</v>
      </c>
      <c r="AQ3" s="4">
        <v>849.62199999999996</v>
      </c>
      <c r="AR3" s="4">
        <v>3818.1579999999999</v>
      </c>
      <c r="AS3" s="4">
        <v>4002.1179999999999</v>
      </c>
      <c r="AT3" s="4">
        <v>1133.046</v>
      </c>
      <c r="AU3" s="4">
        <v>3494.7689999999998</v>
      </c>
      <c r="AV3" s="4">
        <v>1568.126</v>
      </c>
      <c r="AW3" s="4">
        <v>4199.8440000000001</v>
      </c>
      <c r="AX3" s="4">
        <v>10229.492</v>
      </c>
      <c r="AY3" s="4">
        <v>5823.9229999999998</v>
      </c>
      <c r="AZ3" s="4">
        <v>6431.3739999999998</v>
      </c>
      <c r="BA3" s="4">
        <v>2833.527</v>
      </c>
      <c r="BB3" s="4">
        <v>3958.837</v>
      </c>
      <c r="BC3" s="4">
        <v>13378.517</v>
      </c>
      <c r="BD3" s="4">
        <v>10814.241</v>
      </c>
      <c r="BE3" s="4">
        <v>8484.1489999999994</v>
      </c>
      <c r="BF3" s="4">
        <v>2403.6849999999999</v>
      </c>
      <c r="BG3" s="4">
        <v>10794.968999999999</v>
      </c>
      <c r="BH3" s="4">
        <v>2475.2950000000001</v>
      </c>
      <c r="BI3" s="4">
        <v>5371.6180000000004</v>
      </c>
      <c r="BJ3" s="4">
        <v>13729.744000000001</v>
      </c>
      <c r="BK3" s="4">
        <v>10859.572</v>
      </c>
      <c r="BL3" s="4">
        <v>8255.2649999999994</v>
      </c>
      <c r="BM3" s="4">
        <v>11417.403</v>
      </c>
      <c r="BN3" s="4">
        <v>12849.606</v>
      </c>
      <c r="BO3" s="4">
        <v>10090.032999999999</v>
      </c>
      <c r="BP3" s="4">
        <v>474371.397</v>
      </c>
    </row>
    <row r="4" spans="1:68" ht="15" customHeight="1" x14ac:dyDescent="0.25">
      <c r="A4" s="26">
        <v>45901</v>
      </c>
      <c r="B4" s="4">
        <v>11069.505999999999</v>
      </c>
      <c r="C4" s="4">
        <v>520.30799999999999</v>
      </c>
      <c r="D4" s="4">
        <v>4788.5820000000003</v>
      </c>
      <c r="E4" s="4">
        <v>3864.04</v>
      </c>
      <c r="F4" s="4">
        <v>12231.798000000001</v>
      </c>
      <c r="G4" s="4">
        <v>9163.4539999999997</v>
      </c>
      <c r="H4" s="4">
        <v>13335.781000000001</v>
      </c>
      <c r="I4" s="4">
        <v>1275.558</v>
      </c>
      <c r="J4" s="4">
        <v>6197.0290000000005</v>
      </c>
      <c r="K4" s="4">
        <v>471.95100000000002</v>
      </c>
      <c r="L4" s="4">
        <v>3235.7939999999999</v>
      </c>
      <c r="M4" s="4">
        <v>8740.6360000000004</v>
      </c>
      <c r="N4" s="4">
        <v>460.49099999999999</v>
      </c>
      <c r="O4" s="4">
        <v>3323.6860000000001</v>
      </c>
      <c r="P4" s="4">
        <v>9651.2279999999992</v>
      </c>
      <c r="Q4" s="4">
        <v>8029.7730000000001</v>
      </c>
      <c r="R4" s="4">
        <v>3848.9119999999998</v>
      </c>
      <c r="S4" s="4">
        <v>10199.873</v>
      </c>
      <c r="T4" s="4">
        <v>12363.965</v>
      </c>
      <c r="U4" s="4">
        <v>209.72800000000001</v>
      </c>
      <c r="V4" s="4">
        <v>10852.924999999999</v>
      </c>
      <c r="W4" s="4">
        <v>9861.768</v>
      </c>
      <c r="X4" s="4">
        <v>5896.6629999999996</v>
      </c>
      <c r="Y4" s="4">
        <v>2474.0500000000002</v>
      </c>
      <c r="Z4" s="4">
        <v>14544.282999999999</v>
      </c>
      <c r="AA4" s="4">
        <v>5495.7960000000003</v>
      </c>
      <c r="AB4" s="4">
        <v>1285.04</v>
      </c>
      <c r="AC4" s="4">
        <v>1579.991</v>
      </c>
      <c r="AD4" s="4">
        <v>12738.55</v>
      </c>
      <c r="AE4" s="4">
        <v>10057.968999999999</v>
      </c>
      <c r="AF4" s="4">
        <v>10879.998</v>
      </c>
      <c r="AG4" s="4">
        <v>12489.842000000001</v>
      </c>
      <c r="AH4" s="4">
        <v>7070.7539999999999</v>
      </c>
      <c r="AI4" s="4">
        <v>13223.392</v>
      </c>
      <c r="AJ4" s="4">
        <v>5903.817</v>
      </c>
      <c r="AK4" s="4">
        <v>8763.02</v>
      </c>
      <c r="AL4" s="4">
        <v>11468.47</v>
      </c>
      <c r="AM4" s="4">
        <v>8253.61</v>
      </c>
      <c r="AN4" s="4">
        <v>14454.462</v>
      </c>
      <c r="AO4" s="4">
        <v>8039.9750000000004</v>
      </c>
      <c r="AP4" s="4">
        <v>10898.638000000001</v>
      </c>
      <c r="AQ4" s="4">
        <v>810.81799999999998</v>
      </c>
      <c r="AR4" s="4">
        <v>3410.9749999999999</v>
      </c>
      <c r="AS4" s="4">
        <v>4522.6260000000002</v>
      </c>
      <c r="AT4" s="4">
        <v>1297.71</v>
      </c>
      <c r="AU4" s="4">
        <v>4033.97</v>
      </c>
      <c r="AV4" s="4">
        <v>1462.529</v>
      </c>
      <c r="AW4" s="4">
        <v>4516.92</v>
      </c>
      <c r="AX4" s="4">
        <v>8821.3320000000003</v>
      </c>
      <c r="AY4" s="4">
        <v>5362.9210000000003</v>
      </c>
      <c r="AZ4" s="4">
        <v>5904.9440000000004</v>
      </c>
      <c r="BA4" s="4">
        <v>3028.3530000000001</v>
      </c>
      <c r="BB4" s="4">
        <v>3853.0819999999999</v>
      </c>
      <c r="BC4" s="4">
        <v>15118.227000000001</v>
      </c>
      <c r="BD4" s="4">
        <v>8504.6810000000005</v>
      </c>
      <c r="BE4" s="4">
        <v>9061.2199999999993</v>
      </c>
      <c r="BF4" s="4">
        <v>3046.232</v>
      </c>
      <c r="BG4" s="4">
        <v>12595.748</v>
      </c>
      <c r="BH4" s="4">
        <v>2210.201</v>
      </c>
      <c r="BI4" s="4">
        <v>5258.7430000000004</v>
      </c>
      <c r="BJ4" s="4">
        <v>13798.296</v>
      </c>
      <c r="BK4" s="4">
        <v>10888.462</v>
      </c>
      <c r="BL4" s="4">
        <v>9358.1630000000005</v>
      </c>
      <c r="BM4" s="4">
        <v>11472.782999999999</v>
      </c>
      <c r="BN4" s="4">
        <v>12163.016</v>
      </c>
      <c r="BO4" s="4">
        <v>10464.950999999999</v>
      </c>
      <c r="BP4" s="4">
        <v>480182.01299999998</v>
      </c>
    </row>
    <row r="5" spans="1:68" ht="15" customHeight="1" x14ac:dyDescent="0.25">
      <c r="A5" s="26">
        <v>45931</v>
      </c>
      <c r="B5" s="4">
        <v>10591.394</v>
      </c>
      <c r="C5" s="4">
        <v>501.52199999999999</v>
      </c>
      <c r="D5" s="4">
        <v>4338.5820000000003</v>
      </c>
      <c r="E5" s="4">
        <v>3926.5949999999998</v>
      </c>
      <c r="F5" s="4">
        <v>11584.933999999999</v>
      </c>
      <c r="G5" s="4">
        <v>8679.2970000000005</v>
      </c>
      <c r="H5" s="4">
        <v>14667.614</v>
      </c>
      <c r="I5" s="4">
        <v>1311.405</v>
      </c>
      <c r="J5" s="4">
        <v>6699.6859999999997</v>
      </c>
      <c r="K5" s="4">
        <v>615.60900000000004</v>
      </c>
      <c r="L5" s="4">
        <v>2989.3229999999999</v>
      </c>
      <c r="M5" s="4">
        <v>6749.5339999999997</v>
      </c>
      <c r="N5" s="4">
        <v>436.98500000000001</v>
      </c>
      <c r="O5" s="4">
        <v>3111.5830000000001</v>
      </c>
      <c r="P5" s="4">
        <v>9115.1239999999998</v>
      </c>
      <c r="Q5" s="4">
        <v>8478.1270000000004</v>
      </c>
      <c r="R5" s="4">
        <v>3605.5219999999999</v>
      </c>
      <c r="S5" s="4">
        <v>8090.4369999999999</v>
      </c>
      <c r="T5" s="4">
        <v>12650.235000000001</v>
      </c>
      <c r="U5" s="4">
        <v>182.89500000000001</v>
      </c>
      <c r="V5" s="4">
        <v>12065.054</v>
      </c>
      <c r="W5" s="4">
        <v>11779.364</v>
      </c>
      <c r="X5" s="4">
        <v>5706.5119999999997</v>
      </c>
      <c r="Y5" s="4">
        <v>2121.0639999999999</v>
      </c>
      <c r="Z5" s="4">
        <v>14033.182000000001</v>
      </c>
      <c r="AA5" s="4">
        <v>4772.5569999999998</v>
      </c>
      <c r="AB5" s="4">
        <v>1261.202</v>
      </c>
      <c r="AC5" s="4">
        <v>1666.4179999999999</v>
      </c>
      <c r="AD5" s="4">
        <v>13251.206</v>
      </c>
      <c r="AE5" s="4">
        <v>8445.9760000000006</v>
      </c>
      <c r="AF5" s="4">
        <v>13003.776</v>
      </c>
      <c r="AG5" s="4">
        <v>11143.13</v>
      </c>
      <c r="AH5" s="4">
        <v>7914.299</v>
      </c>
      <c r="AI5" s="4">
        <v>12451.862999999999</v>
      </c>
      <c r="AJ5" s="4">
        <v>5008.7110000000002</v>
      </c>
      <c r="AK5" s="4">
        <v>9282.26</v>
      </c>
      <c r="AL5" s="4">
        <v>13967.788</v>
      </c>
      <c r="AM5" s="4">
        <v>9443.3590000000004</v>
      </c>
      <c r="AN5" s="4">
        <v>14238.273999999999</v>
      </c>
      <c r="AO5" s="4">
        <v>8917.9599999999991</v>
      </c>
      <c r="AP5" s="4">
        <v>9479.2569999999996</v>
      </c>
      <c r="AQ5" s="4">
        <v>695.29399999999998</v>
      </c>
      <c r="AR5" s="4">
        <v>3294.6039999999998</v>
      </c>
      <c r="AS5" s="4">
        <v>4939.9579999999996</v>
      </c>
      <c r="AT5" s="4">
        <v>1403.402</v>
      </c>
      <c r="AU5" s="4">
        <v>3954.7429999999999</v>
      </c>
      <c r="AV5" s="4">
        <v>1796.9939999999999</v>
      </c>
      <c r="AW5" s="4">
        <v>3872.8670000000002</v>
      </c>
      <c r="AX5" s="4">
        <v>8852.4699999999993</v>
      </c>
      <c r="AY5" s="4">
        <v>4876.3190000000004</v>
      </c>
      <c r="AZ5" s="4">
        <v>6087.6109999999999</v>
      </c>
      <c r="BA5" s="4">
        <v>3592.92</v>
      </c>
      <c r="BB5" s="4">
        <v>3963.433</v>
      </c>
      <c r="BC5" s="4">
        <v>14564.964</v>
      </c>
      <c r="BD5" s="4">
        <v>8744.7019999999993</v>
      </c>
      <c r="BE5" s="4">
        <v>10359.434999999999</v>
      </c>
      <c r="BF5" s="4">
        <v>2939.8240000000001</v>
      </c>
      <c r="BG5" s="4">
        <v>12530.325000000001</v>
      </c>
      <c r="BH5" s="4">
        <v>2771.011</v>
      </c>
      <c r="BI5" s="4">
        <v>6412.2740000000003</v>
      </c>
      <c r="BJ5" s="4">
        <v>12727.691000000001</v>
      </c>
      <c r="BK5" s="4">
        <v>10319.857</v>
      </c>
      <c r="BL5" s="4">
        <v>7975.732</v>
      </c>
      <c r="BM5" s="4">
        <v>11632.071</v>
      </c>
      <c r="BN5" s="4">
        <v>13806.245999999999</v>
      </c>
      <c r="BO5" s="4">
        <v>12936.156999999999</v>
      </c>
      <c r="BP5" s="4">
        <v>483330.52</v>
      </c>
    </row>
    <row r="6" spans="1:68" ht="15" customHeight="1" x14ac:dyDescent="0.25">
      <c r="A6" s="26">
        <v>45962</v>
      </c>
      <c r="B6" s="4">
        <v>10524.977000000001</v>
      </c>
      <c r="C6" s="4">
        <v>439.59399999999999</v>
      </c>
      <c r="D6" s="4">
        <v>4559.8509999999997</v>
      </c>
      <c r="E6" s="4">
        <v>3023.0590000000002</v>
      </c>
      <c r="F6" s="4">
        <v>12309.769</v>
      </c>
      <c r="G6" s="4">
        <v>11278.27</v>
      </c>
      <c r="H6" s="4">
        <v>12278.201999999999</v>
      </c>
      <c r="I6" s="4">
        <v>1527.9169999999999</v>
      </c>
      <c r="J6" s="4">
        <v>6310.576</v>
      </c>
      <c r="K6" s="4">
        <v>512.18700000000001</v>
      </c>
      <c r="L6" s="4">
        <v>3655.2109999999998</v>
      </c>
      <c r="M6" s="4">
        <v>7006.277</v>
      </c>
      <c r="N6" s="4">
        <v>424.59500000000003</v>
      </c>
      <c r="O6" s="4">
        <v>2780.7269999999999</v>
      </c>
      <c r="P6" s="4">
        <v>9279.23</v>
      </c>
      <c r="Q6" s="4">
        <v>9118.0820000000003</v>
      </c>
      <c r="R6" s="4">
        <v>3858.63</v>
      </c>
      <c r="S6" s="4">
        <v>8291.6440000000002</v>
      </c>
      <c r="T6" s="4">
        <v>12676.661</v>
      </c>
      <c r="U6" s="4">
        <v>190.90799999999999</v>
      </c>
      <c r="V6" s="4">
        <v>13854.248</v>
      </c>
      <c r="W6" s="4">
        <v>10616.380999999999</v>
      </c>
      <c r="X6" s="4">
        <v>5850.9539999999997</v>
      </c>
      <c r="Y6" s="4">
        <v>2137.77</v>
      </c>
      <c r="Z6" s="4">
        <v>16389.310000000001</v>
      </c>
      <c r="AA6" s="4">
        <v>4621.9960000000001</v>
      </c>
      <c r="AB6" s="4">
        <v>1687.5440000000001</v>
      </c>
      <c r="AC6" s="4">
        <v>1432.644</v>
      </c>
      <c r="AD6" s="4">
        <v>11232.43</v>
      </c>
      <c r="AE6" s="4">
        <v>8916.9650000000001</v>
      </c>
      <c r="AF6" s="4">
        <v>12957.627</v>
      </c>
      <c r="AG6" s="4">
        <v>10359.647999999999</v>
      </c>
      <c r="AH6" s="4">
        <v>8347.5609999999997</v>
      </c>
      <c r="AI6" s="4">
        <v>14649.456</v>
      </c>
      <c r="AJ6" s="4">
        <v>5542.4629999999997</v>
      </c>
      <c r="AK6" s="4">
        <v>8516.6929999999993</v>
      </c>
      <c r="AL6" s="4">
        <v>11541.42</v>
      </c>
      <c r="AM6" s="4">
        <v>9899.4539999999997</v>
      </c>
      <c r="AN6" s="4">
        <v>11005.083000000001</v>
      </c>
      <c r="AO6" s="4">
        <v>9813.6229999999996</v>
      </c>
      <c r="AP6" s="4">
        <v>10720.376</v>
      </c>
      <c r="AQ6" s="4">
        <v>834.31299999999999</v>
      </c>
      <c r="AR6" s="4">
        <v>3749.4189999999999</v>
      </c>
      <c r="AS6" s="4">
        <v>4637.7179999999998</v>
      </c>
      <c r="AT6" s="4">
        <v>1236.3989999999999</v>
      </c>
      <c r="AU6" s="4">
        <v>3108.2089999999998</v>
      </c>
      <c r="AV6" s="4">
        <v>1683.998</v>
      </c>
      <c r="AW6" s="4">
        <v>4025.7289999999998</v>
      </c>
      <c r="AX6" s="4">
        <v>9037.3549999999996</v>
      </c>
      <c r="AY6" s="4">
        <v>6113.9830000000002</v>
      </c>
      <c r="AZ6" s="4">
        <v>5985.9179999999997</v>
      </c>
      <c r="BA6" s="4">
        <v>3028.6669999999999</v>
      </c>
      <c r="BB6" s="4">
        <v>3844.65</v>
      </c>
      <c r="BC6" s="4">
        <v>13669.86</v>
      </c>
      <c r="BD6" s="4">
        <v>9470.0810000000001</v>
      </c>
      <c r="BE6" s="4">
        <v>8613.5280000000002</v>
      </c>
      <c r="BF6" s="4">
        <v>2353.663</v>
      </c>
      <c r="BG6" s="4">
        <v>10702.322</v>
      </c>
      <c r="BH6" s="4">
        <v>2869.5540000000001</v>
      </c>
      <c r="BI6" s="4">
        <v>6059.9660000000003</v>
      </c>
      <c r="BJ6" s="4">
        <v>16637.659</v>
      </c>
      <c r="BK6" s="4">
        <v>9969.9269999999997</v>
      </c>
      <c r="BL6" s="4">
        <v>7897.0309999999999</v>
      </c>
      <c r="BM6" s="4">
        <v>10448.888999999999</v>
      </c>
      <c r="BN6" s="4">
        <v>10761.261</v>
      </c>
      <c r="BO6" s="4">
        <v>10916.87</v>
      </c>
      <c r="BP6" s="4">
        <v>477796.984</v>
      </c>
    </row>
    <row r="7" spans="1:68" ht="15" customHeight="1" x14ac:dyDescent="0.25">
      <c r="A7" s="26">
        <v>45992</v>
      </c>
      <c r="B7" s="4">
        <v>9424.9599999999991</v>
      </c>
      <c r="C7" s="4">
        <v>484.00200000000001</v>
      </c>
      <c r="D7" s="4">
        <v>4392.7700000000004</v>
      </c>
      <c r="E7" s="4">
        <v>3389.857</v>
      </c>
      <c r="F7" s="4">
        <v>10881.273999999999</v>
      </c>
      <c r="G7" s="4">
        <v>9308.2240000000002</v>
      </c>
      <c r="H7" s="4">
        <v>13285.736999999999</v>
      </c>
      <c r="I7" s="4">
        <v>1563.33</v>
      </c>
      <c r="J7" s="4">
        <v>6953.8159999999998</v>
      </c>
      <c r="K7" s="4">
        <v>490.07400000000001</v>
      </c>
      <c r="L7" s="4">
        <v>2939.4650000000001</v>
      </c>
      <c r="M7" s="4">
        <v>7665.1620000000003</v>
      </c>
      <c r="N7" s="4">
        <v>515.14300000000003</v>
      </c>
      <c r="O7" s="4">
        <v>2911.2510000000002</v>
      </c>
      <c r="P7" s="4">
        <v>10717.846</v>
      </c>
      <c r="Q7" s="4">
        <v>8838.9069999999992</v>
      </c>
      <c r="R7" s="4">
        <v>3560.0169999999998</v>
      </c>
      <c r="S7" s="4">
        <v>8146.4970000000003</v>
      </c>
      <c r="T7" s="4">
        <v>11062.893</v>
      </c>
      <c r="U7" s="4">
        <v>168.749</v>
      </c>
      <c r="V7" s="4">
        <v>11179.972</v>
      </c>
      <c r="W7" s="4">
        <v>10423.939</v>
      </c>
      <c r="X7" s="4">
        <v>5712.1480000000001</v>
      </c>
      <c r="Y7" s="4">
        <v>2106.9479999999999</v>
      </c>
      <c r="Z7" s="4">
        <v>13993.823</v>
      </c>
      <c r="AA7" s="4">
        <v>5314.3940000000002</v>
      </c>
      <c r="AB7" s="4">
        <v>1346.067</v>
      </c>
      <c r="AC7" s="4">
        <v>1631.8530000000001</v>
      </c>
      <c r="AD7" s="4">
        <v>12706.196</v>
      </c>
      <c r="AE7" s="4">
        <v>8396.94</v>
      </c>
      <c r="AF7" s="4">
        <v>12693.929</v>
      </c>
      <c r="AG7" s="4">
        <v>9345.3060000000005</v>
      </c>
      <c r="AH7" s="4">
        <v>8698.8739999999998</v>
      </c>
      <c r="AI7" s="4">
        <v>15782.181</v>
      </c>
      <c r="AJ7" s="4">
        <v>5062.6859999999997</v>
      </c>
      <c r="AK7" s="4">
        <v>8138.4489999999996</v>
      </c>
      <c r="AL7" s="4">
        <v>11246.776</v>
      </c>
      <c r="AM7" s="4">
        <v>10595.86</v>
      </c>
      <c r="AN7" s="4">
        <v>13009.142</v>
      </c>
      <c r="AO7" s="4">
        <v>7528.2730000000001</v>
      </c>
      <c r="AP7" s="4">
        <v>9800.7119999999995</v>
      </c>
      <c r="AQ7" s="4">
        <v>864.58500000000004</v>
      </c>
      <c r="AR7" s="4">
        <v>3450.0259999999998</v>
      </c>
      <c r="AS7" s="4">
        <v>4810.8249999999998</v>
      </c>
      <c r="AT7" s="4">
        <v>1353.6980000000001</v>
      </c>
      <c r="AU7" s="4">
        <v>4090.91</v>
      </c>
      <c r="AV7" s="4">
        <v>1650.8789999999999</v>
      </c>
      <c r="AW7" s="4">
        <v>4814.5010000000002</v>
      </c>
      <c r="AX7" s="4">
        <v>10695.681</v>
      </c>
      <c r="AY7" s="4">
        <v>5723.0919999999996</v>
      </c>
      <c r="AZ7" s="4">
        <v>5985.1090000000004</v>
      </c>
      <c r="BA7" s="4">
        <v>3226.2730000000001</v>
      </c>
      <c r="BB7" s="4">
        <v>4482.3850000000002</v>
      </c>
      <c r="BC7" s="4">
        <v>14258.022000000001</v>
      </c>
      <c r="BD7" s="4">
        <v>10918.243</v>
      </c>
      <c r="BE7" s="4">
        <v>9846.7900000000009</v>
      </c>
      <c r="BF7" s="4">
        <v>2629.8319999999999</v>
      </c>
      <c r="BG7" s="4">
        <v>10171.923000000001</v>
      </c>
      <c r="BH7" s="4">
        <v>2342.4960000000001</v>
      </c>
      <c r="BI7" s="4">
        <v>5991.5129999999999</v>
      </c>
      <c r="BJ7" s="4">
        <v>16027.611000000001</v>
      </c>
      <c r="BK7" s="4">
        <v>9697.57</v>
      </c>
      <c r="BL7" s="4">
        <v>8717.902</v>
      </c>
      <c r="BM7" s="4">
        <v>9604.2080000000005</v>
      </c>
      <c r="BN7" s="4">
        <v>11053.966</v>
      </c>
      <c r="BO7" s="4">
        <v>10912.722</v>
      </c>
      <c r="BP7" s="4">
        <v>474735.20400000003</v>
      </c>
    </row>
    <row r="8" spans="1:68" ht="15" customHeight="1" x14ac:dyDescent="0.25">
      <c r="A8" s="26">
        <v>46023</v>
      </c>
      <c r="B8" s="4">
        <v>8968.1180000000004</v>
      </c>
      <c r="C8" s="4">
        <v>447.09500000000003</v>
      </c>
      <c r="D8" s="4">
        <v>4248.5039999999999</v>
      </c>
      <c r="E8" s="4">
        <v>3054.1779999999999</v>
      </c>
      <c r="F8" s="4">
        <v>10180.665000000001</v>
      </c>
      <c r="G8" s="4">
        <v>10775.308999999999</v>
      </c>
      <c r="H8" s="4">
        <v>14222.876</v>
      </c>
      <c r="I8" s="4">
        <v>1212.9680000000001</v>
      </c>
      <c r="J8" s="4">
        <v>6209.5959999999995</v>
      </c>
      <c r="K8" s="4">
        <v>550.93200000000002</v>
      </c>
      <c r="L8" s="4">
        <v>3272.864</v>
      </c>
      <c r="M8" s="4">
        <v>6958.7560000000003</v>
      </c>
      <c r="N8" s="4">
        <v>483.51799999999997</v>
      </c>
      <c r="O8" s="4">
        <v>3434.6480000000001</v>
      </c>
      <c r="P8" s="4">
        <v>10030.049999999999</v>
      </c>
      <c r="Q8" s="4">
        <v>8701.7659999999996</v>
      </c>
      <c r="R8" s="4">
        <v>3746.78</v>
      </c>
      <c r="S8" s="4">
        <v>9587.607</v>
      </c>
      <c r="T8" s="4">
        <v>11724.125</v>
      </c>
      <c r="U8" s="4">
        <v>167.655</v>
      </c>
      <c r="V8" s="4">
        <v>11568.293</v>
      </c>
      <c r="W8" s="4">
        <v>11300.897000000001</v>
      </c>
      <c r="X8" s="4">
        <v>5717.902</v>
      </c>
      <c r="Y8" s="4">
        <v>2745.3789999999999</v>
      </c>
      <c r="Z8" s="4">
        <v>14013.558000000001</v>
      </c>
      <c r="AA8" s="4">
        <v>5495.0910000000003</v>
      </c>
      <c r="AB8" s="4">
        <v>1502.422</v>
      </c>
      <c r="AC8" s="4">
        <v>1588.81</v>
      </c>
      <c r="AD8" s="4">
        <v>11660.599</v>
      </c>
      <c r="AE8" s="4">
        <v>8329.9159999999993</v>
      </c>
      <c r="AF8" s="4">
        <v>11892.790999999999</v>
      </c>
      <c r="AG8" s="4">
        <v>9422.6</v>
      </c>
      <c r="AH8" s="4">
        <v>7692.0950000000003</v>
      </c>
      <c r="AI8" s="4">
        <v>15384.035</v>
      </c>
      <c r="AJ8" s="4">
        <v>5575.3909999999996</v>
      </c>
      <c r="AK8" s="4">
        <v>7488.8140000000003</v>
      </c>
      <c r="AL8" s="4">
        <v>12336.252</v>
      </c>
      <c r="AM8" s="4">
        <v>8275.2450000000008</v>
      </c>
      <c r="AN8" s="4">
        <v>13414.013999999999</v>
      </c>
      <c r="AO8" s="4">
        <v>7467.5680000000002</v>
      </c>
      <c r="AP8" s="4">
        <v>10261.165000000001</v>
      </c>
      <c r="AQ8" s="4">
        <v>797.90499999999997</v>
      </c>
      <c r="AR8" s="4">
        <v>2999.7539999999999</v>
      </c>
      <c r="AS8" s="4">
        <v>4600.8190000000004</v>
      </c>
      <c r="AT8" s="4">
        <v>1148.0360000000001</v>
      </c>
      <c r="AU8" s="4">
        <v>3527.58</v>
      </c>
      <c r="AV8" s="4">
        <v>1388.394</v>
      </c>
      <c r="AW8" s="4">
        <v>4087.9609999999998</v>
      </c>
      <c r="AX8" s="4">
        <v>8743.7279999999992</v>
      </c>
      <c r="AY8" s="4">
        <v>5248.4250000000002</v>
      </c>
      <c r="AZ8" s="4">
        <v>6055.7920000000004</v>
      </c>
      <c r="BA8" s="4">
        <v>3104.8310000000001</v>
      </c>
      <c r="BB8" s="4">
        <v>4386.2759999999998</v>
      </c>
      <c r="BC8" s="4">
        <v>15455.826999999999</v>
      </c>
      <c r="BD8" s="4">
        <v>9030.6959999999999</v>
      </c>
      <c r="BE8" s="4">
        <v>8025.1170000000002</v>
      </c>
      <c r="BF8" s="4">
        <v>2267.88</v>
      </c>
      <c r="BG8" s="4">
        <v>11093.646000000001</v>
      </c>
      <c r="BH8" s="4">
        <v>2914.8319999999999</v>
      </c>
      <c r="BI8" s="4">
        <v>5494.893</v>
      </c>
      <c r="BJ8" s="4">
        <v>15512.514999999999</v>
      </c>
      <c r="BK8" s="4">
        <v>10448.985000000001</v>
      </c>
      <c r="BL8" s="4">
        <v>8780.9069999999992</v>
      </c>
      <c r="BM8" s="4">
        <v>11086.39</v>
      </c>
      <c r="BN8" s="4">
        <v>14365.915999999999</v>
      </c>
      <c r="BO8" s="4">
        <v>10610.546</v>
      </c>
      <c r="BP8" s="4">
        <v>472288.49900000001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BP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68" width="14" customWidth="1"/>
  </cols>
  <sheetData>
    <row r="1" spans="1:68" ht="32.8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ht="15" customHeight="1" x14ac:dyDescent="0.25">
      <c r="A2" s="2" t="s">
        <v>68</v>
      </c>
      <c r="B2" s="25">
        <v>55859.311999999998</v>
      </c>
      <c r="C2" s="25">
        <v>66208.262000000002</v>
      </c>
      <c r="D2" s="25">
        <v>46089.557999999997</v>
      </c>
      <c r="E2" s="25">
        <v>48133.682999999997</v>
      </c>
      <c r="F2" s="25">
        <v>33536.154000000002</v>
      </c>
      <c r="G2" s="25">
        <v>82390.926999999996</v>
      </c>
      <c r="H2" s="25">
        <v>25591.611000000001</v>
      </c>
      <c r="I2" s="25">
        <v>8492.7479999999996</v>
      </c>
      <c r="J2" s="25">
        <v>15860.746999999999</v>
      </c>
      <c r="K2" s="25">
        <v>46149.767</v>
      </c>
      <c r="L2" s="25">
        <v>81773.744999999995</v>
      </c>
      <c r="M2" s="25">
        <v>44171.148000000001</v>
      </c>
      <c r="N2" s="25">
        <v>4272.4549999999999</v>
      </c>
      <c r="O2" s="25">
        <v>24151.186000000002</v>
      </c>
      <c r="P2" s="25">
        <v>8632.52</v>
      </c>
      <c r="Q2" s="25">
        <v>26290.596000000001</v>
      </c>
      <c r="R2" s="25">
        <v>30115.969000000001</v>
      </c>
      <c r="S2" s="25">
        <v>89157.66</v>
      </c>
      <c r="T2" s="25">
        <v>48023.915000000001</v>
      </c>
      <c r="U2" s="25">
        <v>77760.721999999994</v>
      </c>
      <c r="V2" s="25">
        <v>77001.726999999999</v>
      </c>
      <c r="W2" s="25">
        <v>10905.133</v>
      </c>
      <c r="X2" s="25">
        <v>13328.324000000001</v>
      </c>
      <c r="Y2" s="25">
        <v>85931.347999999998</v>
      </c>
      <c r="Z2" s="25">
        <v>1015.105</v>
      </c>
      <c r="AA2" s="25">
        <v>41424.241999999998</v>
      </c>
      <c r="AB2" s="25">
        <v>64982.802000000003</v>
      </c>
      <c r="AC2" s="25">
        <v>21453.138999999999</v>
      </c>
      <c r="AD2" s="25">
        <v>68228.944000000003</v>
      </c>
      <c r="AE2" s="25">
        <v>74821.604000000007</v>
      </c>
      <c r="AF2" s="25">
        <v>78999.392000000007</v>
      </c>
      <c r="AG2" s="25">
        <v>29544.305</v>
      </c>
      <c r="AH2" s="25">
        <v>23355.999</v>
      </c>
      <c r="AI2" s="25">
        <v>30370.471000000001</v>
      </c>
      <c r="AJ2" s="25">
        <v>3472.252</v>
      </c>
      <c r="AK2" s="25">
        <v>2599.511</v>
      </c>
      <c r="AL2" s="25">
        <v>21217.32</v>
      </c>
      <c r="AM2" s="25">
        <v>17178.338</v>
      </c>
      <c r="AN2" s="25">
        <v>63673.442000000003</v>
      </c>
      <c r="AO2" s="25">
        <v>31874.19</v>
      </c>
      <c r="AP2" s="25">
        <v>5000.6850000000004</v>
      </c>
      <c r="AQ2" s="25">
        <v>29340.296999999999</v>
      </c>
      <c r="AR2" s="25">
        <v>11165.981</v>
      </c>
      <c r="AS2" s="25">
        <v>2570.355</v>
      </c>
      <c r="AT2" s="25">
        <v>53615.247000000003</v>
      </c>
      <c r="AU2" s="25">
        <v>22481.161</v>
      </c>
      <c r="AV2" s="25">
        <v>23684.128000000001</v>
      </c>
      <c r="AW2" s="25">
        <v>16681.628000000001</v>
      </c>
      <c r="AX2" s="25">
        <v>59218.188000000002</v>
      </c>
      <c r="AY2" s="25">
        <v>64379.921999999999</v>
      </c>
      <c r="AZ2" s="25">
        <v>92618.417000000001</v>
      </c>
      <c r="BA2" s="25">
        <v>79214.058999999994</v>
      </c>
      <c r="BB2" s="25">
        <v>21089.409</v>
      </c>
      <c r="BC2" s="25">
        <v>56730.101999999999</v>
      </c>
      <c r="BD2" s="25">
        <v>25129.476999999999</v>
      </c>
      <c r="BE2" s="25">
        <v>12508.267</v>
      </c>
      <c r="BF2" s="25">
        <v>41899.572999999997</v>
      </c>
      <c r="BG2" s="25">
        <v>87673.043000000005</v>
      </c>
      <c r="BH2" s="25">
        <v>29815.843000000001</v>
      </c>
      <c r="BI2" s="25">
        <v>45830.589</v>
      </c>
      <c r="BJ2" s="25">
        <v>70010.661999999997</v>
      </c>
      <c r="BK2" s="25">
        <v>7535.8360000000002</v>
      </c>
      <c r="BL2" s="25">
        <v>1199.364</v>
      </c>
      <c r="BM2" s="25">
        <v>84939.778000000006</v>
      </c>
      <c r="BN2" s="25">
        <v>79360.156000000003</v>
      </c>
      <c r="BO2" s="25">
        <v>61879.021000000001</v>
      </c>
      <c r="BP2" s="25">
        <v>2709611.4610000001</v>
      </c>
    </row>
    <row r="3" spans="1:68" ht="15" customHeight="1" x14ac:dyDescent="0.25">
      <c r="A3" s="26">
        <v>45870</v>
      </c>
      <c r="B3" s="4">
        <v>7898.098</v>
      </c>
      <c r="C3" s="4">
        <v>8927.59</v>
      </c>
      <c r="D3" s="4">
        <v>7967.424</v>
      </c>
      <c r="E3" s="4">
        <v>7065.866</v>
      </c>
      <c r="F3" s="4">
        <v>5133.4189999999999</v>
      </c>
      <c r="G3" s="4">
        <v>11187.475</v>
      </c>
      <c r="H3" s="4">
        <v>4120.433</v>
      </c>
      <c r="I3" s="4">
        <v>1510.105</v>
      </c>
      <c r="J3" s="4">
        <v>2748.3960000000002</v>
      </c>
      <c r="K3" s="4">
        <v>7936.2709999999997</v>
      </c>
      <c r="L3" s="4">
        <v>14973.54</v>
      </c>
      <c r="M3" s="4">
        <v>9124.3850000000002</v>
      </c>
      <c r="N3" s="4">
        <v>718.74800000000005</v>
      </c>
      <c r="O3" s="4">
        <v>3314.0259999999998</v>
      </c>
      <c r="P3" s="4">
        <v>1514.846</v>
      </c>
      <c r="Q3" s="4">
        <v>4912.8130000000001</v>
      </c>
      <c r="R3" s="4">
        <v>4668.9250000000002</v>
      </c>
      <c r="S3" s="4">
        <v>13331.391</v>
      </c>
      <c r="T3" s="4">
        <v>7216.7269999999999</v>
      </c>
      <c r="U3" s="4">
        <v>11355.949000000001</v>
      </c>
      <c r="V3" s="4">
        <v>11466.074000000001</v>
      </c>
      <c r="W3" s="4">
        <v>2053.3009999999999</v>
      </c>
      <c r="X3" s="4">
        <v>1819.557</v>
      </c>
      <c r="Y3" s="4">
        <v>14376.949000000001</v>
      </c>
      <c r="Z3" s="4">
        <v>154.54499999999999</v>
      </c>
      <c r="AA3" s="4">
        <v>7561.8490000000002</v>
      </c>
      <c r="AB3" s="4">
        <v>11218.647999999999</v>
      </c>
      <c r="AC3" s="4">
        <v>3614.8960000000002</v>
      </c>
      <c r="AD3" s="4">
        <v>11317.450999999999</v>
      </c>
      <c r="AE3" s="4">
        <v>12798.691999999999</v>
      </c>
      <c r="AF3" s="4">
        <v>14128.784</v>
      </c>
      <c r="AG3" s="4">
        <v>4487.0990000000002</v>
      </c>
      <c r="AH3" s="4">
        <v>3803.23</v>
      </c>
      <c r="AI3" s="4">
        <v>5216.5069999999996</v>
      </c>
      <c r="AJ3" s="4">
        <v>502.34</v>
      </c>
      <c r="AK3" s="4">
        <v>487.01900000000001</v>
      </c>
      <c r="AL3" s="4">
        <v>3672.0309999999999</v>
      </c>
      <c r="AM3" s="4">
        <v>2665.9189999999999</v>
      </c>
      <c r="AN3" s="4">
        <v>12012.646000000001</v>
      </c>
      <c r="AO3" s="4">
        <v>5287.6080000000002</v>
      </c>
      <c r="AP3" s="4">
        <v>1022.227</v>
      </c>
      <c r="AQ3" s="4">
        <v>4995.3280000000004</v>
      </c>
      <c r="AR3" s="4">
        <v>1988.796</v>
      </c>
      <c r="AS3" s="4">
        <v>401.20600000000002</v>
      </c>
      <c r="AT3" s="4">
        <v>9272.8590000000004</v>
      </c>
      <c r="AU3" s="4">
        <v>4110.2690000000002</v>
      </c>
      <c r="AV3" s="4">
        <v>4615.0640000000003</v>
      </c>
      <c r="AW3" s="4">
        <v>2886.4769999999999</v>
      </c>
      <c r="AX3" s="4">
        <v>8025.7430000000004</v>
      </c>
      <c r="AY3" s="4">
        <v>12635.013999999999</v>
      </c>
      <c r="AZ3" s="4">
        <v>12572.796</v>
      </c>
      <c r="BA3" s="4">
        <v>14886.216</v>
      </c>
      <c r="BB3" s="4">
        <v>3903.4140000000002</v>
      </c>
      <c r="BC3" s="4">
        <v>9929.5470000000005</v>
      </c>
      <c r="BD3" s="4">
        <v>4299.51</v>
      </c>
      <c r="BE3" s="4">
        <v>1950.759</v>
      </c>
      <c r="BF3" s="4">
        <v>7148.8630000000003</v>
      </c>
      <c r="BG3" s="4">
        <v>14367.663</v>
      </c>
      <c r="BH3" s="4">
        <v>5719.4979999999996</v>
      </c>
      <c r="BI3" s="4">
        <v>8323.4230000000007</v>
      </c>
      <c r="BJ3" s="4">
        <v>12410.901</v>
      </c>
      <c r="BK3" s="4">
        <v>1361.646</v>
      </c>
      <c r="BL3" s="4">
        <v>175.93299999999999</v>
      </c>
      <c r="BM3" s="4">
        <v>14398.88</v>
      </c>
      <c r="BN3" s="4">
        <v>13090.781999999999</v>
      </c>
      <c r="BO3" s="4">
        <v>9030.6180000000004</v>
      </c>
      <c r="BP3" s="4">
        <v>447795.00300000003</v>
      </c>
    </row>
    <row r="4" spans="1:68" ht="15" customHeight="1" x14ac:dyDescent="0.25">
      <c r="A4" s="26">
        <v>45901</v>
      </c>
      <c r="B4" s="4">
        <v>7596.8969999999999</v>
      </c>
      <c r="C4" s="4">
        <v>9268.9539999999997</v>
      </c>
      <c r="D4" s="4">
        <v>6790.9319999999998</v>
      </c>
      <c r="E4" s="4">
        <v>8153.0590000000002</v>
      </c>
      <c r="F4" s="4">
        <v>5149.7370000000001</v>
      </c>
      <c r="G4" s="4">
        <v>13633.146000000001</v>
      </c>
      <c r="H4" s="4">
        <v>3648.681</v>
      </c>
      <c r="I4" s="4">
        <v>1743.431</v>
      </c>
      <c r="J4" s="4">
        <v>2463.4609999999998</v>
      </c>
      <c r="K4" s="4">
        <v>7675.4440000000004</v>
      </c>
      <c r="L4" s="4">
        <v>11209.925999999999</v>
      </c>
      <c r="M4" s="4">
        <v>7779.7389999999996</v>
      </c>
      <c r="N4" s="4">
        <v>678.23199999999997</v>
      </c>
      <c r="O4" s="4">
        <v>3377.53</v>
      </c>
      <c r="P4" s="4">
        <v>1365.3810000000001</v>
      </c>
      <c r="Q4" s="4">
        <v>4420.5020000000004</v>
      </c>
      <c r="R4" s="4">
        <v>4474.7250000000004</v>
      </c>
      <c r="S4" s="4">
        <v>12849.22</v>
      </c>
      <c r="T4" s="4">
        <v>6337.6809999999996</v>
      </c>
      <c r="U4" s="4">
        <v>12378.144</v>
      </c>
      <c r="V4" s="4">
        <v>12655.27</v>
      </c>
      <c r="W4" s="4">
        <v>1654.192</v>
      </c>
      <c r="X4" s="4">
        <v>1847.866</v>
      </c>
      <c r="Y4" s="4">
        <v>14312.5</v>
      </c>
      <c r="Z4" s="4">
        <v>181.46799999999999</v>
      </c>
      <c r="AA4" s="4">
        <v>6574.9219999999996</v>
      </c>
      <c r="AB4" s="4">
        <v>11817.905000000001</v>
      </c>
      <c r="AC4" s="4">
        <v>3207.623</v>
      </c>
      <c r="AD4" s="4">
        <v>11873.514999999999</v>
      </c>
      <c r="AE4" s="4">
        <v>12278.082</v>
      </c>
      <c r="AF4" s="4">
        <v>12282.106</v>
      </c>
      <c r="AG4" s="4">
        <v>3965.7179999999998</v>
      </c>
      <c r="AH4" s="4">
        <v>4400.5069999999996</v>
      </c>
      <c r="AI4" s="4">
        <v>4564.8599999999997</v>
      </c>
      <c r="AJ4" s="4">
        <v>479.74099999999999</v>
      </c>
      <c r="AK4" s="4">
        <v>433.15</v>
      </c>
      <c r="AL4" s="4">
        <v>3313.4560000000001</v>
      </c>
      <c r="AM4" s="4">
        <v>2784.2840000000001</v>
      </c>
      <c r="AN4" s="4">
        <v>9961.73</v>
      </c>
      <c r="AO4" s="4">
        <v>4930.8220000000001</v>
      </c>
      <c r="AP4" s="4">
        <v>788.50900000000001</v>
      </c>
      <c r="AQ4" s="4">
        <v>4167.4799999999996</v>
      </c>
      <c r="AR4" s="4">
        <v>1894.0609999999999</v>
      </c>
      <c r="AS4" s="4">
        <v>467.39600000000002</v>
      </c>
      <c r="AT4" s="4">
        <v>9353.2369999999992</v>
      </c>
      <c r="AU4" s="4">
        <v>3361.99</v>
      </c>
      <c r="AV4" s="4">
        <v>4099.6559999999999</v>
      </c>
      <c r="AW4" s="4">
        <v>2551.9720000000002</v>
      </c>
      <c r="AX4" s="4">
        <v>8227.4030000000002</v>
      </c>
      <c r="AY4" s="4">
        <v>10164.525</v>
      </c>
      <c r="AZ4" s="4">
        <v>15348.839</v>
      </c>
      <c r="BA4" s="4">
        <v>12210.291999999999</v>
      </c>
      <c r="BB4" s="4">
        <v>3162.482</v>
      </c>
      <c r="BC4" s="4">
        <v>8344.0849999999991</v>
      </c>
      <c r="BD4" s="4">
        <v>4161.3620000000001</v>
      </c>
      <c r="BE4" s="4">
        <v>1797.211</v>
      </c>
      <c r="BF4" s="4">
        <v>8152.2939999999999</v>
      </c>
      <c r="BG4" s="4">
        <v>14098.041999999999</v>
      </c>
      <c r="BH4" s="4">
        <v>6023.96</v>
      </c>
      <c r="BI4" s="4">
        <v>8812.1949999999997</v>
      </c>
      <c r="BJ4" s="4">
        <v>11089.226000000001</v>
      </c>
      <c r="BK4" s="4">
        <v>1379.31</v>
      </c>
      <c r="BL4" s="4">
        <v>207.91900000000001</v>
      </c>
      <c r="BM4" s="4">
        <v>13630.938</v>
      </c>
      <c r="BN4" s="4">
        <v>14413.817999999999</v>
      </c>
      <c r="BO4" s="4">
        <v>10828.067999999999</v>
      </c>
      <c r="BP4" s="4">
        <v>433250.81199999998</v>
      </c>
    </row>
    <row r="5" spans="1:68" ht="15" customHeight="1" x14ac:dyDescent="0.25">
      <c r="A5" s="26">
        <v>45931</v>
      </c>
      <c r="B5" s="4">
        <v>7489.5510000000004</v>
      </c>
      <c r="C5" s="4">
        <v>10298.611000000001</v>
      </c>
      <c r="D5" s="4">
        <v>6863.1459999999997</v>
      </c>
      <c r="E5" s="4">
        <v>6431.8370000000004</v>
      </c>
      <c r="F5" s="4">
        <v>4553.4870000000001</v>
      </c>
      <c r="G5" s="4">
        <v>13201.623</v>
      </c>
      <c r="H5" s="4">
        <v>4306.4690000000001</v>
      </c>
      <c r="I5" s="4">
        <v>1528.405</v>
      </c>
      <c r="J5" s="4">
        <v>2670.4479999999999</v>
      </c>
      <c r="K5" s="4">
        <v>7474.942</v>
      </c>
      <c r="L5" s="4">
        <v>11676.621999999999</v>
      </c>
      <c r="M5" s="4">
        <v>6905.741</v>
      </c>
      <c r="N5" s="4">
        <v>763.13300000000004</v>
      </c>
      <c r="O5" s="4">
        <v>3319.038</v>
      </c>
      <c r="P5" s="4">
        <v>1733.2950000000001</v>
      </c>
      <c r="Q5" s="4">
        <v>4774.3360000000002</v>
      </c>
      <c r="R5" s="4">
        <v>5424.8509999999997</v>
      </c>
      <c r="S5" s="4">
        <v>15107.134</v>
      </c>
      <c r="T5" s="4">
        <v>8046.277</v>
      </c>
      <c r="U5" s="4">
        <v>11458.732</v>
      </c>
      <c r="V5" s="4">
        <v>10845.308999999999</v>
      </c>
      <c r="W5" s="4">
        <v>2120.2939999999999</v>
      </c>
      <c r="X5" s="4">
        <v>2127.2750000000001</v>
      </c>
      <c r="Y5" s="4">
        <v>15196.368</v>
      </c>
      <c r="Z5" s="4">
        <v>184.27699999999999</v>
      </c>
      <c r="AA5" s="4">
        <v>6289.9530000000004</v>
      </c>
      <c r="AB5" s="4">
        <v>11724.439</v>
      </c>
      <c r="AC5" s="4">
        <v>3160.0070000000001</v>
      </c>
      <c r="AD5" s="4">
        <v>12150.703</v>
      </c>
      <c r="AE5" s="4">
        <v>14413.834000000001</v>
      </c>
      <c r="AF5" s="4">
        <v>11119.388000000001</v>
      </c>
      <c r="AG5" s="4">
        <v>3961.0709999999999</v>
      </c>
      <c r="AH5" s="4">
        <v>3638.7330000000002</v>
      </c>
      <c r="AI5" s="4">
        <v>5563.6549999999997</v>
      </c>
      <c r="AJ5" s="4">
        <v>599.41600000000005</v>
      </c>
      <c r="AK5" s="4">
        <v>446.01900000000001</v>
      </c>
      <c r="AL5" s="4">
        <v>3242.5320000000002</v>
      </c>
      <c r="AM5" s="4">
        <v>2452.259</v>
      </c>
      <c r="AN5" s="4">
        <v>10706.871999999999</v>
      </c>
      <c r="AO5" s="4">
        <v>4691.5370000000003</v>
      </c>
      <c r="AP5" s="4">
        <v>900.82299999999998</v>
      </c>
      <c r="AQ5" s="4">
        <v>4276.8819999999996</v>
      </c>
      <c r="AR5" s="4">
        <v>2207.34</v>
      </c>
      <c r="AS5" s="4">
        <v>432.54199999999997</v>
      </c>
      <c r="AT5" s="4">
        <v>9820.8790000000008</v>
      </c>
      <c r="AU5" s="4">
        <v>4186.3760000000002</v>
      </c>
      <c r="AV5" s="4">
        <v>4178.3119999999999</v>
      </c>
      <c r="AW5" s="4">
        <v>3073.91</v>
      </c>
      <c r="AX5" s="4">
        <v>8121.0870000000004</v>
      </c>
      <c r="AY5" s="4">
        <v>13524.200999999999</v>
      </c>
      <c r="AZ5" s="4">
        <v>12208.183000000001</v>
      </c>
      <c r="BA5" s="4">
        <v>15251.396000000001</v>
      </c>
      <c r="BB5" s="4">
        <v>3296.194</v>
      </c>
      <c r="BC5" s="4">
        <v>9606.5750000000007</v>
      </c>
      <c r="BD5" s="4">
        <v>3768.6610000000001</v>
      </c>
      <c r="BE5" s="4">
        <v>2165.14</v>
      </c>
      <c r="BF5" s="4">
        <v>7409.9719999999998</v>
      </c>
      <c r="BG5" s="4">
        <v>14199.5</v>
      </c>
      <c r="BH5" s="4">
        <v>5877.1750000000002</v>
      </c>
      <c r="BI5" s="4">
        <v>8318.1849999999995</v>
      </c>
      <c r="BJ5" s="4">
        <v>12977.242</v>
      </c>
      <c r="BK5" s="4">
        <v>1144.364</v>
      </c>
      <c r="BL5" s="4">
        <v>203.05500000000001</v>
      </c>
      <c r="BM5" s="4">
        <v>11272.852000000001</v>
      </c>
      <c r="BN5" s="4">
        <v>14765.119000000001</v>
      </c>
      <c r="BO5" s="4">
        <v>9491.5740000000005</v>
      </c>
      <c r="BP5" s="4">
        <v>441339.15500000003</v>
      </c>
    </row>
    <row r="6" spans="1:68" ht="15" customHeight="1" x14ac:dyDescent="0.25">
      <c r="A6" s="26">
        <v>45962</v>
      </c>
      <c r="B6" s="4">
        <v>7486.0770000000002</v>
      </c>
      <c r="C6" s="4">
        <v>8975.0879999999997</v>
      </c>
      <c r="D6" s="4">
        <v>8061.7650000000003</v>
      </c>
      <c r="E6" s="4">
        <v>7021.6350000000002</v>
      </c>
      <c r="F6" s="4">
        <v>5139.0450000000001</v>
      </c>
      <c r="G6" s="4">
        <v>13839.888999999999</v>
      </c>
      <c r="H6" s="4">
        <v>3498.8440000000001</v>
      </c>
      <c r="I6" s="4">
        <v>1567.877</v>
      </c>
      <c r="J6" s="4">
        <v>2578.1709999999998</v>
      </c>
      <c r="K6" s="4">
        <v>8883.7669999999998</v>
      </c>
      <c r="L6" s="4">
        <v>13833.364</v>
      </c>
      <c r="M6" s="4">
        <v>7984.7610000000004</v>
      </c>
      <c r="N6" s="4">
        <v>774.68</v>
      </c>
      <c r="O6" s="4">
        <v>4352.3959999999997</v>
      </c>
      <c r="P6" s="4">
        <v>1492.1669999999999</v>
      </c>
      <c r="Q6" s="4">
        <v>4126.6540000000005</v>
      </c>
      <c r="R6" s="4">
        <v>4709.5010000000002</v>
      </c>
      <c r="S6" s="4">
        <v>14060.159</v>
      </c>
      <c r="T6" s="4">
        <v>6395.85</v>
      </c>
      <c r="U6" s="4">
        <v>13429.625</v>
      </c>
      <c r="V6" s="4">
        <v>11889.15</v>
      </c>
      <c r="W6" s="4">
        <v>1836.538</v>
      </c>
      <c r="X6" s="4">
        <v>2001.2080000000001</v>
      </c>
      <c r="Y6" s="4">
        <v>15981.724</v>
      </c>
      <c r="Z6" s="4">
        <v>158.03899999999999</v>
      </c>
      <c r="AA6" s="4">
        <v>7665.4170000000004</v>
      </c>
      <c r="AB6" s="4">
        <v>11120.659</v>
      </c>
      <c r="AC6" s="4">
        <v>3851.7489999999998</v>
      </c>
      <c r="AD6" s="4">
        <v>10510.450999999999</v>
      </c>
      <c r="AE6" s="4">
        <v>12989.169</v>
      </c>
      <c r="AF6" s="4">
        <v>14310.163</v>
      </c>
      <c r="AG6" s="4">
        <v>4417.53</v>
      </c>
      <c r="AH6" s="4">
        <v>4119.1549999999997</v>
      </c>
      <c r="AI6" s="4">
        <v>5291.9260000000004</v>
      </c>
      <c r="AJ6" s="4">
        <v>543.41899999999998</v>
      </c>
      <c r="AK6" s="4">
        <v>445.88600000000002</v>
      </c>
      <c r="AL6" s="4">
        <v>4122.0330000000004</v>
      </c>
      <c r="AM6" s="4">
        <v>2730.7339999999999</v>
      </c>
      <c r="AN6" s="4">
        <v>9908.0669999999991</v>
      </c>
      <c r="AO6" s="4">
        <v>5532.0680000000002</v>
      </c>
      <c r="AP6" s="4">
        <v>1025.729</v>
      </c>
      <c r="AQ6" s="4">
        <v>5125.7619999999997</v>
      </c>
      <c r="AR6" s="4">
        <v>2026.673</v>
      </c>
      <c r="AS6" s="4">
        <v>384.45499999999998</v>
      </c>
      <c r="AT6" s="4">
        <v>9967.3459999999995</v>
      </c>
      <c r="AU6" s="4">
        <v>3377.79</v>
      </c>
      <c r="AV6" s="4">
        <v>3755.8530000000001</v>
      </c>
      <c r="AW6" s="4">
        <v>3245.7710000000002</v>
      </c>
      <c r="AX6" s="4">
        <v>9137.4369999999999</v>
      </c>
      <c r="AY6" s="4">
        <v>13647.896000000001</v>
      </c>
      <c r="AZ6" s="4">
        <v>15740.205</v>
      </c>
      <c r="BA6" s="4">
        <v>13679.325000000001</v>
      </c>
      <c r="BB6" s="4">
        <v>4091.797</v>
      </c>
      <c r="BC6" s="4">
        <v>10458.522999999999</v>
      </c>
      <c r="BD6" s="4">
        <v>3730.4090000000001</v>
      </c>
      <c r="BE6" s="4">
        <v>1790.925</v>
      </c>
      <c r="BF6" s="4">
        <v>6485.9809999999998</v>
      </c>
      <c r="BG6" s="4">
        <v>16075.598</v>
      </c>
      <c r="BH6" s="4">
        <v>4820.8239999999996</v>
      </c>
      <c r="BI6" s="4">
        <v>8184.6180000000004</v>
      </c>
      <c r="BJ6" s="4">
        <v>11855.182000000001</v>
      </c>
      <c r="BK6" s="4">
        <v>1163.279</v>
      </c>
      <c r="BL6" s="4">
        <v>178.46100000000001</v>
      </c>
      <c r="BM6" s="4">
        <v>14612.739</v>
      </c>
      <c r="BN6" s="4">
        <v>12797.589</v>
      </c>
      <c r="BO6" s="4">
        <v>9141.7070000000003</v>
      </c>
      <c r="BP6" s="4">
        <v>454138.27600000001</v>
      </c>
    </row>
    <row r="7" spans="1:68" ht="15" customHeight="1" x14ac:dyDescent="0.25">
      <c r="A7" s="26">
        <v>45992</v>
      </c>
      <c r="B7" s="4">
        <v>9317.598</v>
      </c>
      <c r="C7" s="4">
        <v>11077.956</v>
      </c>
      <c r="D7" s="4">
        <v>7116.2439999999997</v>
      </c>
      <c r="E7" s="4">
        <v>8084.8509999999997</v>
      </c>
      <c r="F7" s="4">
        <v>5282.0630000000001</v>
      </c>
      <c r="G7" s="4">
        <v>11993.522000000001</v>
      </c>
      <c r="H7" s="4">
        <v>4351.3999999999996</v>
      </c>
      <c r="I7" s="4">
        <v>1349.3320000000001</v>
      </c>
      <c r="J7" s="4">
        <v>2648.3110000000001</v>
      </c>
      <c r="K7" s="4">
        <v>7869.3990000000003</v>
      </c>
      <c r="L7" s="4">
        <v>11212.953</v>
      </c>
      <c r="M7" s="4">
        <v>9110.2880000000005</v>
      </c>
      <c r="N7" s="4">
        <v>761.95799999999997</v>
      </c>
      <c r="O7" s="4">
        <v>4083.0430000000001</v>
      </c>
      <c r="P7" s="4">
        <v>1776.018</v>
      </c>
      <c r="Q7" s="4">
        <v>5215.5349999999999</v>
      </c>
      <c r="R7" s="4">
        <v>5300.3220000000001</v>
      </c>
      <c r="S7" s="4">
        <v>12775.281999999999</v>
      </c>
      <c r="T7" s="4">
        <v>6439.4189999999999</v>
      </c>
      <c r="U7" s="4">
        <v>13050.325000000001</v>
      </c>
      <c r="V7" s="4">
        <v>10734.303</v>
      </c>
      <c r="W7" s="4">
        <v>1699.345</v>
      </c>
      <c r="X7" s="4">
        <v>2364.9250000000002</v>
      </c>
      <c r="Y7" s="4">
        <v>15928.870999999999</v>
      </c>
      <c r="Z7" s="4">
        <v>154.63</v>
      </c>
      <c r="AA7" s="4">
        <v>6108.1080000000002</v>
      </c>
      <c r="AB7" s="4">
        <v>13390.888999999999</v>
      </c>
      <c r="AC7" s="4">
        <v>3368.0830000000001</v>
      </c>
      <c r="AD7" s="4">
        <v>10280.129999999999</v>
      </c>
      <c r="AE7" s="4">
        <v>13227.697</v>
      </c>
      <c r="AF7" s="4">
        <v>11695.133</v>
      </c>
      <c r="AG7" s="4">
        <v>4794.3029999999999</v>
      </c>
      <c r="AH7" s="4">
        <v>3835.288</v>
      </c>
      <c r="AI7" s="4">
        <v>5222.8609999999999</v>
      </c>
      <c r="AJ7" s="4">
        <v>562.13900000000001</v>
      </c>
      <c r="AK7" s="4">
        <v>392.37</v>
      </c>
      <c r="AL7" s="4">
        <v>3994.027</v>
      </c>
      <c r="AM7" s="4">
        <v>2916.9630000000002</v>
      </c>
      <c r="AN7" s="4">
        <v>11013.665000000001</v>
      </c>
      <c r="AO7" s="4">
        <v>4794.1949999999997</v>
      </c>
      <c r="AP7" s="4">
        <v>816.36400000000003</v>
      </c>
      <c r="AQ7" s="4">
        <v>4536.6819999999998</v>
      </c>
      <c r="AR7" s="4">
        <v>2215.143</v>
      </c>
      <c r="AS7" s="4">
        <v>398.03300000000002</v>
      </c>
      <c r="AT7" s="4">
        <v>10365.411</v>
      </c>
      <c r="AU7" s="4">
        <v>3798.2539999999999</v>
      </c>
      <c r="AV7" s="4">
        <v>3654.904</v>
      </c>
      <c r="AW7" s="4">
        <v>2686.3539999999998</v>
      </c>
      <c r="AX7" s="4">
        <v>9052.7649999999994</v>
      </c>
      <c r="AY7" s="4">
        <v>13499.796</v>
      </c>
      <c r="AZ7" s="4">
        <v>15782.985000000001</v>
      </c>
      <c r="BA7" s="4">
        <v>12446.441000000001</v>
      </c>
      <c r="BB7" s="4">
        <v>3649.779</v>
      </c>
      <c r="BC7" s="4">
        <v>9853.7039999999997</v>
      </c>
      <c r="BD7" s="4">
        <v>4129.9920000000002</v>
      </c>
      <c r="BE7" s="4">
        <v>2040.537</v>
      </c>
      <c r="BF7" s="4">
        <v>7580.9709999999995</v>
      </c>
      <c r="BG7" s="4">
        <v>15826.965</v>
      </c>
      <c r="BH7" s="4">
        <v>5609.5119999999997</v>
      </c>
      <c r="BI7" s="4">
        <v>6999.9</v>
      </c>
      <c r="BJ7" s="4">
        <v>12496.225</v>
      </c>
      <c r="BK7" s="4">
        <v>1318.317</v>
      </c>
      <c r="BL7" s="4">
        <v>159.96100000000001</v>
      </c>
      <c r="BM7" s="4">
        <v>13366.569</v>
      </c>
      <c r="BN7" s="4">
        <v>13303.025</v>
      </c>
      <c r="BO7" s="4">
        <v>8520.9969999999994</v>
      </c>
      <c r="BP7" s="4">
        <v>449403.33100000001</v>
      </c>
    </row>
    <row r="8" spans="1:68" ht="15" customHeight="1" x14ac:dyDescent="0.25">
      <c r="A8" s="26">
        <v>46023</v>
      </c>
      <c r="B8" s="4">
        <v>10067.384</v>
      </c>
      <c r="C8" s="4">
        <v>11752.892</v>
      </c>
      <c r="D8" s="4">
        <v>8175.5119999999997</v>
      </c>
      <c r="E8" s="4">
        <v>7071.8320000000003</v>
      </c>
      <c r="F8" s="4">
        <v>5755.1229999999996</v>
      </c>
      <c r="G8" s="4">
        <v>12914.552</v>
      </c>
      <c r="H8" s="4">
        <v>3871.4459999999999</v>
      </c>
      <c r="I8" s="4">
        <v>1756.175</v>
      </c>
      <c r="J8" s="4">
        <v>2744.2489999999998</v>
      </c>
      <c r="K8" s="4">
        <v>7323.1109999999999</v>
      </c>
      <c r="L8" s="4">
        <v>13881.928</v>
      </c>
      <c r="M8" s="4">
        <v>7703.7719999999999</v>
      </c>
      <c r="N8" s="4">
        <v>729.75</v>
      </c>
      <c r="O8" s="4">
        <v>3905.578</v>
      </c>
      <c r="P8" s="4">
        <v>1557.068</v>
      </c>
      <c r="Q8" s="4">
        <v>4898.09</v>
      </c>
      <c r="R8" s="4">
        <v>5029.7629999999999</v>
      </c>
      <c r="S8" s="4">
        <v>15251.638999999999</v>
      </c>
      <c r="T8" s="4">
        <v>8243.2759999999998</v>
      </c>
      <c r="U8" s="4">
        <v>12948.016</v>
      </c>
      <c r="V8" s="4">
        <v>13047.047</v>
      </c>
      <c r="W8" s="4">
        <v>2112.433</v>
      </c>
      <c r="X8" s="4">
        <v>2222.029</v>
      </c>
      <c r="Y8" s="4">
        <v>14907.991</v>
      </c>
      <c r="Z8" s="4">
        <v>169.57</v>
      </c>
      <c r="AA8" s="4">
        <v>6991.0860000000002</v>
      </c>
      <c r="AB8" s="4">
        <v>10895.279</v>
      </c>
      <c r="AC8" s="4">
        <v>4083.7550000000001</v>
      </c>
      <c r="AD8" s="4">
        <v>9714.6200000000008</v>
      </c>
      <c r="AE8" s="4">
        <v>13551.787</v>
      </c>
      <c r="AF8" s="4">
        <v>13663.332</v>
      </c>
      <c r="AG8" s="4">
        <v>4430.4110000000001</v>
      </c>
      <c r="AH8" s="4">
        <v>3870.402</v>
      </c>
      <c r="AI8" s="4">
        <v>4827.4089999999997</v>
      </c>
      <c r="AJ8" s="4">
        <v>641.51300000000003</v>
      </c>
      <c r="AK8" s="4">
        <v>396.89299999999997</v>
      </c>
      <c r="AL8" s="4">
        <v>3327.7820000000002</v>
      </c>
      <c r="AM8" s="4">
        <v>2563.067</v>
      </c>
      <c r="AN8" s="4">
        <v>11676.933999999999</v>
      </c>
      <c r="AO8" s="4">
        <v>4872.982</v>
      </c>
      <c r="AP8" s="4">
        <v>986.11599999999999</v>
      </c>
      <c r="AQ8" s="4">
        <v>4597.6589999999997</v>
      </c>
      <c r="AR8" s="4">
        <v>1734.6890000000001</v>
      </c>
      <c r="AS8" s="4">
        <v>442.935</v>
      </c>
      <c r="AT8" s="4">
        <v>9560.9709999999995</v>
      </c>
      <c r="AU8" s="4">
        <v>4104.4639999999999</v>
      </c>
      <c r="AV8" s="4">
        <v>3989.2289999999998</v>
      </c>
      <c r="AW8" s="4">
        <v>3285.221</v>
      </c>
      <c r="AX8" s="4">
        <v>7794.3850000000002</v>
      </c>
      <c r="AY8" s="4">
        <v>12102.471</v>
      </c>
      <c r="AZ8" s="4">
        <v>13736.549000000001</v>
      </c>
      <c r="BA8" s="4">
        <v>12362.894</v>
      </c>
      <c r="BB8" s="4">
        <v>3150.3879999999999</v>
      </c>
      <c r="BC8" s="4">
        <v>8166.2349999999997</v>
      </c>
      <c r="BD8" s="4">
        <v>4095.4589999999998</v>
      </c>
      <c r="BE8" s="4">
        <v>1928.7860000000001</v>
      </c>
      <c r="BF8" s="4">
        <v>8432.4750000000004</v>
      </c>
      <c r="BG8" s="4">
        <v>15178.999</v>
      </c>
      <c r="BH8" s="4">
        <v>5621.9139999999998</v>
      </c>
      <c r="BI8" s="4">
        <v>7473.5889999999999</v>
      </c>
      <c r="BJ8" s="4">
        <v>10580.264999999999</v>
      </c>
      <c r="BK8" s="4">
        <v>1150.749</v>
      </c>
      <c r="BL8" s="4">
        <v>170.03899999999999</v>
      </c>
      <c r="BM8" s="4">
        <v>13576.395</v>
      </c>
      <c r="BN8" s="4">
        <v>13517.198</v>
      </c>
      <c r="BO8" s="4">
        <v>8489.9449999999997</v>
      </c>
      <c r="BP8" s="4">
        <v>449777.49599999998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25"/>
  <sheetViews>
    <sheetView zoomScaleNormal="100" workbookViewId="0"/>
  </sheetViews>
  <sheetFormatPr defaultColWidth="8.7109375" defaultRowHeight="15" x14ac:dyDescent="0.25"/>
  <cols>
    <col min="1" max="1" width="15" customWidth="1"/>
  </cols>
  <sheetData>
    <row r="1" spans="1:3" ht="15" customHeight="1" x14ac:dyDescent="0.25">
      <c r="A1" s="5" t="s">
        <v>69</v>
      </c>
      <c r="C1" s="5" t="s">
        <v>70</v>
      </c>
    </row>
    <row r="2" spans="1:3" ht="15" customHeight="1" x14ac:dyDescent="0.25">
      <c r="A2" s="26">
        <f>IFERROR(IF(Acct1_Raw!$A$3="","",Acct1_Raw!$A$3),"")</f>
        <v>45870</v>
      </c>
      <c r="C2" s="3">
        <f>COUNTA(A2:A25)</f>
        <v>24</v>
      </c>
    </row>
    <row r="3" spans="1:3" ht="15" customHeight="1" x14ac:dyDescent="0.25">
      <c r="A3" s="26">
        <f>IFERROR(IF(Acct1_Raw!$A$4="","",Acct1_Raw!$A$4),"")</f>
        <v>45901</v>
      </c>
    </row>
    <row r="4" spans="1:3" ht="15" customHeight="1" x14ac:dyDescent="0.25">
      <c r="A4" s="26">
        <f>IFERROR(IF(Acct1_Raw!$A$5="","",Acct1_Raw!$A$5),"")</f>
        <v>45931</v>
      </c>
    </row>
    <row r="5" spans="1:3" ht="15" customHeight="1" x14ac:dyDescent="0.25">
      <c r="A5" s="26">
        <f>IFERROR(IF(Acct1_Raw!$A$6="","",Acct1_Raw!$A$6),"")</f>
        <v>45962</v>
      </c>
    </row>
    <row r="6" spans="1:3" ht="15" customHeight="1" x14ac:dyDescent="0.25">
      <c r="A6" s="26">
        <f>IFERROR(IF(Acct1_Raw!$A$7="","",Acct1_Raw!$A$7),"")</f>
        <v>45992</v>
      </c>
    </row>
    <row r="7" spans="1:3" ht="15" customHeight="1" x14ac:dyDescent="0.25">
      <c r="A7" s="26">
        <f>IFERROR(IF(Acct1_Raw!$A$8="","",Acct1_Raw!$A$8),"")</f>
        <v>46023</v>
      </c>
    </row>
    <row r="8" spans="1:3" ht="15" customHeight="1" x14ac:dyDescent="0.25">
      <c r="A8" s="26" t="str">
        <f>IFERROR(IF(Acct1_Raw!$A$9="","",Acct1_Raw!$A$9),"")</f>
        <v/>
      </c>
    </row>
    <row r="9" spans="1:3" ht="15" customHeight="1" x14ac:dyDescent="0.25">
      <c r="A9" s="26" t="str">
        <f>IFERROR(IF(Acct1_Raw!$A$10="","",Acct1_Raw!$A$10),"")</f>
        <v/>
      </c>
    </row>
    <row r="10" spans="1:3" ht="15" customHeight="1" x14ac:dyDescent="0.25">
      <c r="A10" s="26" t="str">
        <f>IFERROR(IF(Acct1_Raw!$A$11="","",Acct1_Raw!$A$11),"")</f>
        <v/>
      </c>
    </row>
    <row r="11" spans="1:3" ht="15" customHeight="1" x14ac:dyDescent="0.25">
      <c r="A11" s="26" t="str">
        <f>IFERROR(IF(Acct1_Raw!$A$12="","",Acct1_Raw!$A$12),"")</f>
        <v/>
      </c>
    </row>
    <row r="12" spans="1:3" ht="15" customHeight="1" x14ac:dyDescent="0.25">
      <c r="A12" s="26" t="str">
        <f>IFERROR(IF(Acct1_Raw!$A$13="","",Acct1_Raw!$A$13),"")</f>
        <v/>
      </c>
    </row>
    <row r="13" spans="1:3" ht="15" customHeight="1" x14ac:dyDescent="0.25">
      <c r="A13" s="26" t="str">
        <f>IFERROR(IF(Acct1_Raw!$A$14="","",Acct1_Raw!$A$14),"")</f>
        <v/>
      </c>
    </row>
    <row r="14" spans="1:3" ht="15" customHeight="1" x14ac:dyDescent="0.25">
      <c r="A14" s="26" t="str">
        <f>IFERROR(IF(Acct1_Raw!$A$15="","",Acct1_Raw!$A$15),"")</f>
        <v/>
      </c>
    </row>
    <row r="15" spans="1:3" ht="15" customHeight="1" x14ac:dyDescent="0.25">
      <c r="A15" s="26" t="str">
        <f>IFERROR(IF(Acct1_Raw!$A$16="","",Acct1_Raw!$A$16),"")</f>
        <v/>
      </c>
    </row>
    <row r="16" spans="1:3" ht="15" customHeight="1" x14ac:dyDescent="0.25">
      <c r="A16" s="26" t="str">
        <f>IFERROR(IF(Acct1_Raw!$A$17="","",Acct1_Raw!$A$17),"")</f>
        <v/>
      </c>
    </row>
    <row r="17" spans="1:1" ht="15" customHeight="1" x14ac:dyDescent="0.25">
      <c r="A17" s="26" t="str">
        <f>IFERROR(IF(Acct1_Raw!$A$18="","",Acct1_Raw!$A$18),"")</f>
        <v/>
      </c>
    </row>
    <row r="18" spans="1:1" ht="15" customHeight="1" x14ac:dyDescent="0.25">
      <c r="A18" s="26" t="str">
        <f>IFERROR(IF(Acct1_Raw!$A$19="","",Acct1_Raw!$A$19),"")</f>
        <v/>
      </c>
    </row>
    <row r="19" spans="1:1" ht="15" customHeight="1" x14ac:dyDescent="0.25">
      <c r="A19" s="26" t="str">
        <f>IFERROR(IF(Acct1_Raw!$A$20="","",Acct1_Raw!$A$20),"")</f>
        <v/>
      </c>
    </row>
    <row r="20" spans="1:1" ht="15" customHeight="1" x14ac:dyDescent="0.25">
      <c r="A20" s="26" t="str">
        <f>IFERROR(IF(Acct1_Raw!$A$21="","",Acct1_Raw!$A$21),"")</f>
        <v/>
      </c>
    </row>
    <row r="21" spans="1:1" ht="15" customHeight="1" x14ac:dyDescent="0.25">
      <c r="A21" s="26" t="str">
        <f>IFERROR(IF(Acct1_Raw!$A$22="","",Acct1_Raw!$A$22),"")</f>
        <v/>
      </c>
    </row>
    <row r="22" spans="1:1" ht="15" customHeight="1" x14ac:dyDescent="0.25">
      <c r="A22" s="26" t="str">
        <f>IFERROR(IF(Acct1_Raw!$A$23="","",Acct1_Raw!$A$23),"")</f>
        <v/>
      </c>
    </row>
    <row r="23" spans="1:1" ht="15" customHeight="1" x14ac:dyDescent="0.25">
      <c r="A23" s="26" t="str">
        <f>IFERROR(IF(Acct1_Raw!$A$24="","",Acct1_Raw!$A$24),"")</f>
        <v/>
      </c>
    </row>
    <row r="24" spans="1:1" ht="15" customHeight="1" x14ac:dyDescent="0.25">
      <c r="A24" s="26" t="str">
        <f>IFERROR(IF(Acct1_Raw!$A$25="","",Acct1_Raw!$A$25),"")</f>
        <v/>
      </c>
    </row>
    <row r="25" spans="1:1" ht="15" customHeight="1" x14ac:dyDescent="0.25">
      <c r="A25" s="26" t="str">
        <f>IFERROR(IF(Acct1_Raw!$A$26="","",Acct1_Raw!$A$26),"")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S67"/>
  <sheetViews>
    <sheetView zoomScaleNormal="100" workbookViewId="0"/>
  </sheetViews>
  <sheetFormatPr defaultColWidth="8.7109375" defaultRowHeight="15" x14ac:dyDescent="0.25"/>
  <cols>
    <col min="1" max="1" width="36" customWidth="1"/>
    <col min="2" max="19" width="14" customWidth="1"/>
  </cols>
  <sheetData>
    <row r="1" spans="1:19" ht="15" customHeight="1" x14ac:dyDescent="0.25">
      <c r="A1" s="6" t="s">
        <v>0</v>
      </c>
      <c r="B1" s="7" t="str">
        <f>IF(Months_Ref!$A$2="","—","A1_"&amp;TEXT(Months_Ref!$A$2,"mmm-yy"))</f>
        <v>A1_Aug-25</v>
      </c>
      <c r="C1" s="7" t="str">
        <f>IF(Months_Ref!$A$3="","—","A1_"&amp;TEXT(Months_Ref!$A$3,"mmm-yy"))</f>
        <v>A1_Sep-25</v>
      </c>
      <c r="D1" s="7" t="str">
        <f>IF(Months_Ref!$A$4="","—","A1_"&amp;TEXT(Months_Ref!$A$4,"mmm-yy"))</f>
        <v>A1_Oct-25</v>
      </c>
      <c r="E1" s="7" t="str">
        <f>IF(Months_Ref!$A$5="","—","A1_"&amp;TEXT(Months_Ref!$A$5,"mmm-yy"))</f>
        <v>A1_Nov-25</v>
      </c>
      <c r="F1" s="7" t="str">
        <f>IF(Months_Ref!$A$6="","—","A1_"&amp;TEXT(Months_Ref!$A$6,"mmm-yy"))</f>
        <v>A1_Dec-25</v>
      </c>
      <c r="G1" s="7" t="str">
        <f>IF(Months_Ref!$A$7="","—","A1_"&amp;TEXT(Months_Ref!$A$7,"mmm-yy"))</f>
        <v>A1_Jan-26</v>
      </c>
      <c r="H1" s="8" t="str">
        <f>IF(Months_Ref!$A$2="","—","A2_"&amp;TEXT(Months_Ref!$A$2,"mmm-yy"))</f>
        <v>A2_Aug-25</v>
      </c>
      <c r="I1" s="8" t="str">
        <f>IF(Months_Ref!$A$3="","—","A2_"&amp;TEXT(Months_Ref!$A$3,"mmm-yy"))</f>
        <v>A2_Sep-25</v>
      </c>
      <c r="J1" s="8" t="str">
        <f>IF(Months_Ref!$A$4="","—","A2_"&amp;TEXT(Months_Ref!$A$4,"mmm-yy"))</f>
        <v>A2_Oct-25</v>
      </c>
      <c r="K1" s="8" t="str">
        <f>IF(Months_Ref!$A$5="","—","A2_"&amp;TEXT(Months_Ref!$A$5,"mmm-yy"))</f>
        <v>A2_Nov-25</v>
      </c>
      <c r="L1" s="8" t="str">
        <f>IF(Months_Ref!$A$6="","—","A2_"&amp;TEXT(Months_Ref!$A$6,"mmm-yy"))</f>
        <v>A2_Dec-25</v>
      </c>
      <c r="M1" s="8" t="str">
        <f>IF(Months_Ref!$A$7="","—","A2_"&amp;TEXT(Months_Ref!$A$7,"mmm-yy"))</f>
        <v>A2_Jan-26</v>
      </c>
      <c r="N1" s="9" t="str">
        <f>IF(Months_Ref!$A$2="","—","CB_"&amp;TEXT(Months_Ref!$A$2,"mmm-yy"))</f>
        <v>CB_Aug-25</v>
      </c>
      <c r="O1" s="9" t="str">
        <f>IF(Months_Ref!$A$3="","—","CB_"&amp;TEXT(Months_Ref!$A$3,"mmm-yy"))</f>
        <v>CB_Sep-25</v>
      </c>
      <c r="P1" s="9" t="str">
        <f>IF(Months_Ref!$A$4="","—","CB_"&amp;TEXT(Months_Ref!$A$4,"mmm-yy"))</f>
        <v>CB_Oct-25</v>
      </c>
      <c r="Q1" s="9" t="str">
        <f>IF(Months_Ref!$A$5="","—","CB_"&amp;TEXT(Months_Ref!$A$5,"mmm-yy"))</f>
        <v>CB_Nov-25</v>
      </c>
      <c r="R1" s="9" t="str">
        <f>IF(Months_Ref!$A$6="","—","CB_"&amp;TEXT(Months_Ref!$A$6,"mmm-yy"))</f>
        <v>CB_Dec-25</v>
      </c>
      <c r="S1" s="9" t="str">
        <f>IF(Months_Ref!$A$7="","—","CB_"&amp;TEXT(Months_Ref!$A$7,"mmm-yy"))</f>
        <v>CB_Jan-26</v>
      </c>
    </row>
    <row r="2" spans="1:19" ht="15" customHeight="1" x14ac:dyDescent="0.25">
      <c r="A2" s="3" t="s">
        <v>48</v>
      </c>
      <c r="B2" s="4">
        <f>IFERROR(IF(Months_Ref!$A$2="",0,INDEX(Acct1_Raw!$B$3:$BO$26,MATCH(Months_Ref!$A$2,Acct1_Raw!$A$3:$A$26,0),MATCH($A2,Acct1_Raw!$B$1:$BO$1,0))),0)</f>
        <v>4199.8440000000001</v>
      </c>
      <c r="C2" s="4">
        <f>IFERROR(IF(Months_Ref!$A$3="",0,INDEX(Acct1_Raw!$B$3:$BO$26,MATCH(Months_Ref!$A$3,Acct1_Raw!$A$3:$A$26,0),MATCH($A2,Acct1_Raw!$B$1:$BO$1,0))),0)</f>
        <v>4516.92</v>
      </c>
      <c r="D2" s="4">
        <f>IFERROR(IF(Months_Ref!$A$4="",0,INDEX(Acct1_Raw!$B$3:$BO$26,MATCH(Months_Ref!$A$4,Acct1_Raw!$A$3:$A$26,0),MATCH($A2,Acct1_Raw!$B$1:$BO$1,0))),0)</f>
        <v>3872.8670000000002</v>
      </c>
      <c r="E2" s="4">
        <f>IFERROR(IF(Months_Ref!$A$5="",0,INDEX(Acct1_Raw!$B$3:$BO$26,MATCH(Months_Ref!$A$5,Acct1_Raw!$A$3:$A$26,0),MATCH($A2,Acct1_Raw!$B$1:$BO$1,0))),0)</f>
        <v>4025.7289999999998</v>
      </c>
      <c r="F2" s="4">
        <f>IFERROR(IF(Months_Ref!$A$6="",0,INDEX(Acct1_Raw!$B$3:$BO$26,MATCH(Months_Ref!$A$6,Acct1_Raw!$A$3:$A$26,0),MATCH($A2,Acct1_Raw!$B$1:$BO$1,0))),0)</f>
        <v>4814.5010000000002</v>
      </c>
      <c r="G2" s="4">
        <f>IFERROR(IF(Months_Ref!$A$7="",0,INDEX(Acct1_Raw!$B$3:$BO$26,MATCH(Months_Ref!$A$7,Acct1_Raw!$A$3:$A$26,0),MATCH($A2,Acct1_Raw!$B$1:$BO$1,0))),0)</f>
        <v>4087.9609999999998</v>
      </c>
      <c r="H2" s="4">
        <f>IFERROR(IF(Months_Ref!$A$2="",0,INDEX(Acct2_Raw!$B$3:$BO$26,MATCH(Months_Ref!$A$2,Acct2_Raw!$A$3:$A$26,0),MATCH($A2,Acct2_Raw!$B$1:$BO$1,0))),0)</f>
        <v>2886.4769999999999</v>
      </c>
      <c r="I2" s="4">
        <f>IFERROR(IF(Months_Ref!$A$3="",0,INDEX(Acct2_Raw!$B$3:$BO$26,MATCH(Months_Ref!$A$3,Acct2_Raw!$A$3:$A$26,0),MATCH($A2,Acct2_Raw!$B$1:$BO$1,0))),0)</f>
        <v>2551.9720000000002</v>
      </c>
      <c r="J2" s="4">
        <f>IFERROR(IF(Months_Ref!$A$4="",0,INDEX(Acct2_Raw!$B$3:$BO$26,MATCH(Months_Ref!$A$4,Acct2_Raw!$A$3:$A$26,0),MATCH($A2,Acct2_Raw!$B$1:$BO$1,0))),0)</f>
        <v>3073.91</v>
      </c>
      <c r="K2" s="4">
        <f>IFERROR(IF(Months_Ref!$A$5="",0,INDEX(Acct2_Raw!$B$3:$BO$26,MATCH(Months_Ref!$A$5,Acct2_Raw!$A$3:$A$26,0),MATCH($A2,Acct2_Raw!$B$1:$BO$1,0))),0)</f>
        <v>3245.7710000000002</v>
      </c>
      <c r="L2" s="4">
        <f>IFERROR(IF(Months_Ref!$A$6="",0,INDEX(Acct2_Raw!$B$3:$BO$26,MATCH(Months_Ref!$A$6,Acct2_Raw!$A$3:$A$26,0),MATCH($A2,Acct2_Raw!$B$1:$BO$1,0))),0)</f>
        <v>2686.3539999999998</v>
      </c>
      <c r="M2" s="4">
        <f>IFERROR(IF(Months_Ref!$A$7="",0,INDEX(Acct2_Raw!$B$3:$BO$26,MATCH(Months_Ref!$A$7,Acct2_Raw!$A$3:$A$26,0),MATCH($A2,Acct2_Raw!$B$1:$BO$1,0))),0)</f>
        <v>3285.221</v>
      </c>
      <c r="N2" s="4">
        <f t="shared" ref="N2:N33" si="0">B2+H2</f>
        <v>7086.3209999999999</v>
      </c>
      <c r="O2" s="4">
        <f t="shared" ref="O2:O33" si="1">C2+I2</f>
        <v>7068.8919999999998</v>
      </c>
      <c r="P2" s="4">
        <f t="shared" ref="P2:P33" si="2">D2+J2</f>
        <v>6946.777</v>
      </c>
      <c r="Q2" s="4">
        <f t="shared" ref="Q2:Q33" si="3">E2+K2</f>
        <v>7271.5</v>
      </c>
      <c r="R2" s="4">
        <f t="shared" ref="R2:R33" si="4">F2+L2</f>
        <v>7500.8549999999996</v>
      </c>
      <c r="S2" s="4">
        <f t="shared" ref="S2:S33" si="5">G2+M2</f>
        <v>7373.1819999999998</v>
      </c>
    </row>
    <row r="3" spans="1:19" ht="15" customHeight="1" x14ac:dyDescent="0.25">
      <c r="A3" s="3" t="s">
        <v>19</v>
      </c>
      <c r="B3" s="4">
        <f>IFERROR(IF(Months_Ref!$A$2="",0,INDEX(Acct1_Raw!$B$3:$BO$26,MATCH(Months_Ref!$A$2,Acct1_Raw!$A$3:$A$26,0),MATCH($A3,Acct1_Raw!$B$1:$BO$1,0))),0)</f>
        <v>13966.895</v>
      </c>
      <c r="C3" s="4">
        <f>IFERROR(IF(Months_Ref!$A$3="",0,INDEX(Acct1_Raw!$B$3:$BO$26,MATCH(Months_Ref!$A$3,Acct1_Raw!$A$3:$A$26,0),MATCH($A3,Acct1_Raw!$B$1:$BO$1,0))),0)</f>
        <v>12363.965</v>
      </c>
      <c r="D3" s="4">
        <f>IFERROR(IF(Months_Ref!$A$4="",0,INDEX(Acct1_Raw!$B$3:$BO$26,MATCH(Months_Ref!$A$4,Acct1_Raw!$A$3:$A$26,0),MATCH($A3,Acct1_Raw!$B$1:$BO$1,0))),0)</f>
        <v>12650.235000000001</v>
      </c>
      <c r="E3" s="4">
        <f>IFERROR(IF(Months_Ref!$A$5="",0,INDEX(Acct1_Raw!$B$3:$BO$26,MATCH(Months_Ref!$A$5,Acct1_Raw!$A$3:$A$26,0),MATCH($A3,Acct1_Raw!$B$1:$BO$1,0))),0)</f>
        <v>12676.661</v>
      </c>
      <c r="F3" s="4">
        <f>IFERROR(IF(Months_Ref!$A$6="",0,INDEX(Acct1_Raw!$B$3:$BO$26,MATCH(Months_Ref!$A$6,Acct1_Raw!$A$3:$A$26,0),MATCH($A3,Acct1_Raw!$B$1:$BO$1,0))),0)</f>
        <v>11062.893</v>
      </c>
      <c r="G3" s="4">
        <f>IFERROR(IF(Months_Ref!$A$7="",0,INDEX(Acct1_Raw!$B$3:$BO$26,MATCH(Months_Ref!$A$7,Acct1_Raw!$A$3:$A$26,0),MATCH($A3,Acct1_Raw!$B$1:$BO$1,0))),0)</f>
        <v>11724.125</v>
      </c>
      <c r="H3" s="4">
        <f>IFERROR(IF(Months_Ref!$A$2="",0,INDEX(Acct2_Raw!$B$3:$BO$26,MATCH(Months_Ref!$A$2,Acct2_Raw!$A$3:$A$26,0),MATCH($A3,Acct2_Raw!$B$1:$BO$1,0))),0)</f>
        <v>7216.7269999999999</v>
      </c>
      <c r="I3" s="4">
        <f>IFERROR(IF(Months_Ref!$A$3="",0,INDEX(Acct2_Raw!$B$3:$BO$26,MATCH(Months_Ref!$A$3,Acct2_Raw!$A$3:$A$26,0),MATCH($A3,Acct2_Raw!$B$1:$BO$1,0))),0)</f>
        <v>6337.6809999999996</v>
      </c>
      <c r="J3" s="4">
        <f>IFERROR(IF(Months_Ref!$A$4="",0,INDEX(Acct2_Raw!$B$3:$BO$26,MATCH(Months_Ref!$A$4,Acct2_Raw!$A$3:$A$26,0),MATCH($A3,Acct2_Raw!$B$1:$BO$1,0))),0)</f>
        <v>8046.277</v>
      </c>
      <c r="K3" s="4">
        <f>IFERROR(IF(Months_Ref!$A$5="",0,INDEX(Acct2_Raw!$B$3:$BO$26,MATCH(Months_Ref!$A$5,Acct2_Raw!$A$3:$A$26,0),MATCH($A3,Acct2_Raw!$B$1:$BO$1,0))),0)</f>
        <v>6395.85</v>
      </c>
      <c r="L3" s="4">
        <f>IFERROR(IF(Months_Ref!$A$6="",0,INDEX(Acct2_Raw!$B$3:$BO$26,MATCH(Months_Ref!$A$6,Acct2_Raw!$A$3:$A$26,0),MATCH($A3,Acct2_Raw!$B$1:$BO$1,0))),0)</f>
        <v>6439.4189999999999</v>
      </c>
      <c r="M3" s="4">
        <f>IFERROR(IF(Months_Ref!$A$7="",0,INDEX(Acct2_Raw!$B$3:$BO$26,MATCH(Months_Ref!$A$7,Acct2_Raw!$A$3:$A$26,0),MATCH($A3,Acct2_Raw!$B$1:$BO$1,0))),0)</f>
        <v>8243.2759999999998</v>
      </c>
      <c r="N3" s="4">
        <f t="shared" si="0"/>
        <v>21183.621999999999</v>
      </c>
      <c r="O3" s="4">
        <f t="shared" si="1"/>
        <v>18701.646000000001</v>
      </c>
      <c r="P3" s="4">
        <f t="shared" si="2"/>
        <v>20696.512000000002</v>
      </c>
      <c r="Q3" s="4">
        <f t="shared" si="3"/>
        <v>19072.510999999999</v>
      </c>
      <c r="R3" s="4">
        <f t="shared" si="4"/>
        <v>17502.311999999998</v>
      </c>
      <c r="S3" s="4">
        <f t="shared" si="5"/>
        <v>19967.400999999998</v>
      </c>
    </row>
    <row r="4" spans="1:19" ht="15" customHeight="1" x14ac:dyDescent="0.25">
      <c r="A4" s="3" t="s">
        <v>57</v>
      </c>
      <c r="B4" s="4">
        <f>IFERROR(IF(Months_Ref!$A$2="",0,INDEX(Acct1_Raw!$B$3:$BO$26,MATCH(Months_Ref!$A$2,Acct1_Raw!$A$3:$A$26,0),MATCH($A4,Acct1_Raw!$B$1:$BO$1,0))),0)</f>
        <v>2403.6849999999999</v>
      </c>
      <c r="C4" s="4">
        <f>IFERROR(IF(Months_Ref!$A$3="",0,INDEX(Acct1_Raw!$B$3:$BO$26,MATCH(Months_Ref!$A$3,Acct1_Raw!$A$3:$A$26,0),MATCH($A4,Acct1_Raw!$B$1:$BO$1,0))),0)</f>
        <v>3046.232</v>
      </c>
      <c r="D4" s="4">
        <f>IFERROR(IF(Months_Ref!$A$4="",0,INDEX(Acct1_Raw!$B$3:$BO$26,MATCH(Months_Ref!$A$4,Acct1_Raw!$A$3:$A$26,0),MATCH($A4,Acct1_Raw!$B$1:$BO$1,0))),0)</f>
        <v>2939.8240000000001</v>
      </c>
      <c r="E4" s="4">
        <f>IFERROR(IF(Months_Ref!$A$5="",0,INDEX(Acct1_Raw!$B$3:$BO$26,MATCH(Months_Ref!$A$5,Acct1_Raw!$A$3:$A$26,0),MATCH($A4,Acct1_Raw!$B$1:$BO$1,0))),0)</f>
        <v>2353.663</v>
      </c>
      <c r="F4" s="4">
        <f>IFERROR(IF(Months_Ref!$A$6="",0,INDEX(Acct1_Raw!$B$3:$BO$26,MATCH(Months_Ref!$A$6,Acct1_Raw!$A$3:$A$26,0),MATCH($A4,Acct1_Raw!$B$1:$BO$1,0))),0)</f>
        <v>2629.8319999999999</v>
      </c>
      <c r="G4" s="4">
        <f>IFERROR(IF(Months_Ref!$A$7="",0,INDEX(Acct1_Raw!$B$3:$BO$26,MATCH(Months_Ref!$A$7,Acct1_Raw!$A$3:$A$26,0),MATCH($A4,Acct1_Raw!$B$1:$BO$1,0))),0)</f>
        <v>2267.88</v>
      </c>
      <c r="H4" s="4">
        <f>IFERROR(IF(Months_Ref!$A$2="",0,INDEX(Acct2_Raw!$B$3:$BO$26,MATCH(Months_Ref!$A$2,Acct2_Raw!$A$3:$A$26,0),MATCH($A4,Acct2_Raw!$B$1:$BO$1,0))),0)</f>
        <v>7148.8630000000003</v>
      </c>
      <c r="I4" s="4">
        <f>IFERROR(IF(Months_Ref!$A$3="",0,INDEX(Acct2_Raw!$B$3:$BO$26,MATCH(Months_Ref!$A$3,Acct2_Raw!$A$3:$A$26,0),MATCH($A4,Acct2_Raw!$B$1:$BO$1,0))),0)</f>
        <v>8152.2939999999999</v>
      </c>
      <c r="J4" s="4">
        <f>IFERROR(IF(Months_Ref!$A$4="",0,INDEX(Acct2_Raw!$B$3:$BO$26,MATCH(Months_Ref!$A$4,Acct2_Raw!$A$3:$A$26,0),MATCH($A4,Acct2_Raw!$B$1:$BO$1,0))),0)</f>
        <v>7409.9719999999998</v>
      </c>
      <c r="K4" s="4">
        <f>IFERROR(IF(Months_Ref!$A$5="",0,INDEX(Acct2_Raw!$B$3:$BO$26,MATCH(Months_Ref!$A$5,Acct2_Raw!$A$3:$A$26,0),MATCH($A4,Acct2_Raw!$B$1:$BO$1,0))),0)</f>
        <v>6485.9809999999998</v>
      </c>
      <c r="L4" s="4">
        <f>IFERROR(IF(Months_Ref!$A$6="",0,INDEX(Acct2_Raw!$B$3:$BO$26,MATCH(Months_Ref!$A$6,Acct2_Raw!$A$3:$A$26,0),MATCH($A4,Acct2_Raw!$B$1:$BO$1,0))),0)</f>
        <v>7580.9709999999995</v>
      </c>
      <c r="M4" s="4">
        <f>IFERROR(IF(Months_Ref!$A$7="",0,INDEX(Acct2_Raw!$B$3:$BO$26,MATCH(Months_Ref!$A$7,Acct2_Raw!$A$3:$A$26,0),MATCH($A4,Acct2_Raw!$B$1:$BO$1,0))),0)</f>
        <v>8432.4750000000004</v>
      </c>
      <c r="N4" s="4">
        <f t="shared" si="0"/>
        <v>9552.5480000000007</v>
      </c>
      <c r="O4" s="4">
        <f t="shared" si="1"/>
        <v>11198.526</v>
      </c>
      <c r="P4" s="4">
        <f t="shared" si="2"/>
        <v>10349.796</v>
      </c>
      <c r="Q4" s="4">
        <f t="shared" si="3"/>
        <v>8839.6440000000002</v>
      </c>
      <c r="R4" s="4">
        <f t="shared" si="4"/>
        <v>10210.803</v>
      </c>
      <c r="S4" s="4">
        <f t="shared" si="5"/>
        <v>10700.355</v>
      </c>
    </row>
    <row r="5" spans="1:19" ht="15" customHeight="1" x14ac:dyDescent="0.25">
      <c r="A5" s="3" t="s">
        <v>36</v>
      </c>
      <c r="B5" s="4">
        <f>IFERROR(IF(Months_Ref!$A$2="",0,INDEX(Acct1_Raw!$B$3:$BO$26,MATCH(Months_Ref!$A$2,Acct1_Raw!$A$3:$A$26,0),MATCH($A5,Acct1_Raw!$B$1:$BO$1,0))),0)</f>
        <v>8747.4480000000003</v>
      </c>
      <c r="C5" s="4">
        <f>IFERROR(IF(Months_Ref!$A$3="",0,INDEX(Acct1_Raw!$B$3:$BO$26,MATCH(Months_Ref!$A$3,Acct1_Raw!$A$3:$A$26,0),MATCH($A5,Acct1_Raw!$B$1:$BO$1,0))),0)</f>
        <v>8763.02</v>
      </c>
      <c r="D5" s="4">
        <f>IFERROR(IF(Months_Ref!$A$4="",0,INDEX(Acct1_Raw!$B$3:$BO$26,MATCH(Months_Ref!$A$4,Acct1_Raw!$A$3:$A$26,0),MATCH($A5,Acct1_Raw!$B$1:$BO$1,0))),0)</f>
        <v>9282.26</v>
      </c>
      <c r="E5" s="4">
        <f>IFERROR(IF(Months_Ref!$A$5="",0,INDEX(Acct1_Raw!$B$3:$BO$26,MATCH(Months_Ref!$A$5,Acct1_Raw!$A$3:$A$26,0),MATCH($A5,Acct1_Raw!$B$1:$BO$1,0))),0)</f>
        <v>8516.6929999999993</v>
      </c>
      <c r="F5" s="4">
        <f>IFERROR(IF(Months_Ref!$A$6="",0,INDEX(Acct1_Raw!$B$3:$BO$26,MATCH(Months_Ref!$A$6,Acct1_Raw!$A$3:$A$26,0),MATCH($A5,Acct1_Raw!$B$1:$BO$1,0))),0)</f>
        <v>8138.4489999999996</v>
      </c>
      <c r="G5" s="4">
        <f>IFERROR(IF(Months_Ref!$A$7="",0,INDEX(Acct1_Raw!$B$3:$BO$26,MATCH(Months_Ref!$A$7,Acct1_Raw!$A$3:$A$26,0),MATCH($A5,Acct1_Raw!$B$1:$BO$1,0))),0)</f>
        <v>7488.8140000000003</v>
      </c>
      <c r="H5" s="4">
        <f>IFERROR(IF(Months_Ref!$A$2="",0,INDEX(Acct2_Raw!$B$3:$BO$26,MATCH(Months_Ref!$A$2,Acct2_Raw!$A$3:$A$26,0),MATCH($A5,Acct2_Raw!$B$1:$BO$1,0))),0)</f>
        <v>487.01900000000001</v>
      </c>
      <c r="I5" s="4">
        <f>IFERROR(IF(Months_Ref!$A$3="",0,INDEX(Acct2_Raw!$B$3:$BO$26,MATCH(Months_Ref!$A$3,Acct2_Raw!$A$3:$A$26,0),MATCH($A5,Acct2_Raw!$B$1:$BO$1,0))),0)</f>
        <v>433.15</v>
      </c>
      <c r="J5" s="4">
        <f>IFERROR(IF(Months_Ref!$A$4="",0,INDEX(Acct2_Raw!$B$3:$BO$26,MATCH(Months_Ref!$A$4,Acct2_Raw!$A$3:$A$26,0),MATCH($A5,Acct2_Raw!$B$1:$BO$1,0))),0)</f>
        <v>446.01900000000001</v>
      </c>
      <c r="K5" s="4">
        <f>IFERROR(IF(Months_Ref!$A$5="",0,INDEX(Acct2_Raw!$B$3:$BO$26,MATCH(Months_Ref!$A$5,Acct2_Raw!$A$3:$A$26,0),MATCH($A5,Acct2_Raw!$B$1:$BO$1,0))),0)</f>
        <v>445.88600000000002</v>
      </c>
      <c r="L5" s="4">
        <f>IFERROR(IF(Months_Ref!$A$6="",0,INDEX(Acct2_Raw!$B$3:$BO$26,MATCH(Months_Ref!$A$6,Acct2_Raw!$A$3:$A$26,0),MATCH($A5,Acct2_Raw!$B$1:$BO$1,0))),0)</f>
        <v>392.37</v>
      </c>
      <c r="M5" s="4">
        <f>IFERROR(IF(Months_Ref!$A$7="",0,INDEX(Acct2_Raw!$B$3:$BO$26,MATCH(Months_Ref!$A$7,Acct2_Raw!$A$3:$A$26,0),MATCH($A5,Acct2_Raw!$B$1:$BO$1,0))),0)</f>
        <v>396.89299999999997</v>
      </c>
      <c r="N5" s="4">
        <f t="shared" si="0"/>
        <v>9234.4670000000006</v>
      </c>
      <c r="O5" s="4">
        <f t="shared" si="1"/>
        <v>9196.17</v>
      </c>
      <c r="P5" s="4">
        <f t="shared" si="2"/>
        <v>9728.2790000000005</v>
      </c>
      <c r="Q5" s="4">
        <f t="shared" si="3"/>
        <v>8962.5789999999997</v>
      </c>
      <c r="R5" s="4">
        <f t="shared" si="4"/>
        <v>8530.8189999999995</v>
      </c>
      <c r="S5" s="4">
        <f t="shared" si="5"/>
        <v>7885.7070000000003</v>
      </c>
    </row>
    <row r="6" spans="1:19" ht="15" customHeight="1" x14ac:dyDescent="0.25">
      <c r="A6" s="3" t="s">
        <v>58</v>
      </c>
      <c r="B6" s="4">
        <f>IFERROR(IF(Months_Ref!$A$2="",0,INDEX(Acct1_Raw!$B$3:$BO$26,MATCH(Months_Ref!$A$2,Acct1_Raw!$A$3:$A$26,0),MATCH($A6,Acct1_Raw!$B$1:$BO$1,0))),0)</f>
        <v>10794.968999999999</v>
      </c>
      <c r="C6" s="4">
        <f>IFERROR(IF(Months_Ref!$A$3="",0,INDEX(Acct1_Raw!$B$3:$BO$26,MATCH(Months_Ref!$A$3,Acct1_Raw!$A$3:$A$26,0),MATCH($A6,Acct1_Raw!$B$1:$BO$1,0))),0)</f>
        <v>12595.748</v>
      </c>
      <c r="D6" s="4">
        <f>IFERROR(IF(Months_Ref!$A$4="",0,INDEX(Acct1_Raw!$B$3:$BO$26,MATCH(Months_Ref!$A$4,Acct1_Raw!$A$3:$A$26,0),MATCH($A6,Acct1_Raw!$B$1:$BO$1,0))),0)</f>
        <v>12530.325000000001</v>
      </c>
      <c r="E6" s="4">
        <f>IFERROR(IF(Months_Ref!$A$5="",0,INDEX(Acct1_Raw!$B$3:$BO$26,MATCH(Months_Ref!$A$5,Acct1_Raw!$A$3:$A$26,0),MATCH($A6,Acct1_Raw!$B$1:$BO$1,0))),0)</f>
        <v>10702.322</v>
      </c>
      <c r="F6" s="4">
        <f>IFERROR(IF(Months_Ref!$A$6="",0,INDEX(Acct1_Raw!$B$3:$BO$26,MATCH(Months_Ref!$A$6,Acct1_Raw!$A$3:$A$26,0),MATCH($A6,Acct1_Raw!$B$1:$BO$1,0))),0)</f>
        <v>10171.923000000001</v>
      </c>
      <c r="G6" s="4">
        <f>IFERROR(IF(Months_Ref!$A$7="",0,INDEX(Acct1_Raw!$B$3:$BO$26,MATCH(Months_Ref!$A$7,Acct1_Raw!$A$3:$A$26,0),MATCH($A6,Acct1_Raw!$B$1:$BO$1,0))),0)</f>
        <v>11093.646000000001</v>
      </c>
      <c r="H6" s="4">
        <f>IFERROR(IF(Months_Ref!$A$2="",0,INDEX(Acct2_Raw!$B$3:$BO$26,MATCH(Months_Ref!$A$2,Acct2_Raw!$A$3:$A$26,0),MATCH($A6,Acct2_Raw!$B$1:$BO$1,0))),0)</f>
        <v>14367.663</v>
      </c>
      <c r="I6" s="4">
        <f>IFERROR(IF(Months_Ref!$A$3="",0,INDEX(Acct2_Raw!$B$3:$BO$26,MATCH(Months_Ref!$A$3,Acct2_Raw!$A$3:$A$26,0),MATCH($A6,Acct2_Raw!$B$1:$BO$1,0))),0)</f>
        <v>14098.041999999999</v>
      </c>
      <c r="J6" s="4">
        <f>IFERROR(IF(Months_Ref!$A$4="",0,INDEX(Acct2_Raw!$B$3:$BO$26,MATCH(Months_Ref!$A$4,Acct2_Raw!$A$3:$A$26,0),MATCH($A6,Acct2_Raw!$B$1:$BO$1,0))),0)</f>
        <v>14199.5</v>
      </c>
      <c r="K6" s="4">
        <f>IFERROR(IF(Months_Ref!$A$5="",0,INDEX(Acct2_Raw!$B$3:$BO$26,MATCH(Months_Ref!$A$5,Acct2_Raw!$A$3:$A$26,0),MATCH($A6,Acct2_Raw!$B$1:$BO$1,0))),0)</f>
        <v>16075.598</v>
      </c>
      <c r="L6" s="4">
        <f>IFERROR(IF(Months_Ref!$A$6="",0,INDEX(Acct2_Raw!$B$3:$BO$26,MATCH(Months_Ref!$A$6,Acct2_Raw!$A$3:$A$26,0),MATCH($A6,Acct2_Raw!$B$1:$BO$1,0))),0)</f>
        <v>15826.965</v>
      </c>
      <c r="M6" s="4">
        <f>IFERROR(IF(Months_Ref!$A$7="",0,INDEX(Acct2_Raw!$B$3:$BO$26,MATCH(Months_Ref!$A$7,Acct2_Raw!$A$3:$A$26,0),MATCH($A6,Acct2_Raw!$B$1:$BO$1,0))),0)</f>
        <v>15178.999</v>
      </c>
      <c r="N6" s="4">
        <f t="shared" si="0"/>
        <v>25162.631999999998</v>
      </c>
      <c r="O6" s="4">
        <f t="shared" si="1"/>
        <v>26693.79</v>
      </c>
      <c r="P6" s="4">
        <f t="shared" si="2"/>
        <v>26729.825000000001</v>
      </c>
      <c r="Q6" s="4">
        <f t="shared" si="3"/>
        <v>26777.919999999998</v>
      </c>
      <c r="R6" s="4">
        <f t="shared" si="4"/>
        <v>25998.887999999999</v>
      </c>
      <c r="S6" s="4">
        <f t="shared" si="5"/>
        <v>26272.645</v>
      </c>
    </row>
    <row r="7" spans="1:19" ht="15" customHeight="1" x14ac:dyDescent="0.25">
      <c r="A7" s="3" t="s">
        <v>22</v>
      </c>
      <c r="B7" s="4">
        <f>IFERROR(IF(Months_Ref!$A$2="",0,INDEX(Acct1_Raw!$B$3:$BO$26,MATCH(Months_Ref!$A$2,Acct1_Raw!$A$3:$A$26,0),MATCH($A7,Acct1_Raw!$B$1:$BO$1,0))),0)</f>
        <v>10557.653</v>
      </c>
      <c r="C7" s="4">
        <f>IFERROR(IF(Months_Ref!$A$3="",0,INDEX(Acct1_Raw!$B$3:$BO$26,MATCH(Months_Ref!$A$3,Acct1_Raw!$A$3:$A$26,0),MATCH($A7,Acct1_Raw!$B$1:$BO$1,0))),0)</f>
        <v>9861.768</v>
      </c>
      <c r="D7" s="4">
        <f>IFERROR(IF(Months_Ref!$A$4="",0,INDEX(Acct1_Raw!$B$3:$BO$26,MATCH(Months_Ref!$A$4,Acct1_Raw!$A$3:$A$26,0),MATCH($A7,Acct1_Raw!$B$1:$BO$1,0))),0)</f>
        <v>11779.364</v>
      </c>
      <c r="E7" s="4">
        <f>IFERROR(IF(Months_Ref!$A$5="",0,INDEX(Acct1_Raw!$B$3:$BO$26,MATCH(Months_Ref!$A$5,Acct1_Raw!$A$3:$A$26,0),MATCH($A7,Acct1_Raw!$B$1:$BO$1,0))),0)</f>
        <v>10616.380999999999</v>
      </c>
      <c r="F7" s="4">
        <f>IFERROR(IF(Months_Ref!$A$6="",0,INDEX(Acct1_Raw!$B$3:$BO$26,MATCH(Months_Ref!$A$6,Acct1_Raw!$A$3:$A$26,0),MATCH($A7,Acct1_Raw!$B$1:$BO$1,0))),0)</f>
        <v>10423.939</v>
      </c>
      <c r="G7" s="4">
        <f>IFERROR(IF(Months_Ref!$A$7="",0,INDEX(Acct1_Raw!$B$3:$BO$26,MATCH(Months_Ref!$A$7,Acct1_Raw!$A$3:$A$26,0),MATCH($A7,Acct1_Raw!$B$1:$BO$1,0))),0)</f>
        <v>11300.897000000001</v>
      </c>
      <c r="H7" s="4">
        <f>IFERROR(IF(Months_Ref!$A$2="",0,INDEX(Acct2_Raw!$B$3:$BO$26,MATCH(Months_Ref!$A$2,Acct2_Raw!$A$3:$A$26,0),MATCH($A7,Acct2_Raw!$B$1:$BO$1,0))),0)</f>
        <v>2053.3009999999999</v>
      </c>
      <c r="I7" s="4">
        <f>IFERROR(IF(Months_Ref!$A$3="",0,INDEX(Acct2_Raw!$B$3:$BO$26,MATCH(Months_Ref!$A$3,Acct2_Raw!$A$3:$A$26,0),MATCH($A7,Acct2_Raw!$B$1:$BO$1,0))),0)</f>
        <v>1654.192</v>
      </c>
      <c r="J7" s="4">
        <f>IFERROR(IF(Months_Ref!$A$4="",0,INDEX(Acct2_Raw!$B$3:$BO$26,MATCH(Months_Ref!$A$4,Acct2_Raw!$A$3:$A$26,0),MATCH($A7,Acct2_Raw!$B$1:$BO$1,0))),0)</f>
        <v>2120.2939999999999</v>
      </c>
      <c r="K7" s="4">
        <f>IFERROR(IF(Months_Ref!$A$5="",0,INDEX(Acct2_Raw!$B$3:$BO$26,MATCH(Months_Ref!$A$5,Acct2_Raw!$A$3:$A$26,0),MATCH($A7,Acct2_Raw!$B$1:$BO$1,0))),0)</f>
        <v>1836.538</v>
      </c>
      <c r="L7" s="4">
        <f>IFERROR(IF(Months_Ref!$A$6="",0,INDEX(Acct2_Raw!$B$3:$BO$26,MATCH(Months_Ref!$A$6,Acct2_Raw!$A$3:$A$26,0),MATCH($A7,Acct2_Raw!$B$1:$BO$1,0))),0)</f>
        <v>1699.345</v>
      </c>
      <c r="M7" s="4">
        <f>IFERROR(IF(Months_Ref!$A$7="",0,INDEX(Acct2_Raw!$B$3:$BO$26,MATCH(Months_Ref!$A$7,Acct2_Raw!$A$3:$A$26,0),MATCH($A7,Acct2_Raw!$B$1:$BO$1,0))),0)</f>
        <v>2112.433</v>
      </c>
      <c r="N7" s="4">
        <f t="shared" si="0"/>
        <v>12610.954</v>
      </c>
      <c r="O7" s="4">
        <f t="shared" si="1"/>
        <v>11515.96</v>
      </c>
      <c r="P7" s="4">
        <f t="shared" si="2"/>
        <v>13899.657999999999</v>
      </c>
      <c r="Q7" s="4">
        <f t="shared" si="3"/>
        <v>12452.919</v>
      </c>
      <c r="R7" s="4">
        <f t="shared" si="4"/>
        <v>12123.284</v>
      </c>
      <c r="S7" s="4">
        <f t="shared" si="5"/>
        <v>13413.330000000002</v>
      </c>
    </row>
    <row r="8" spans="1:19" ht="15" customHeight="1" x14ac:dyDescent="0.25">
      <c r="A8" s="3" t="s">
        <v>66</v>
      </c>
      <c r="B8" s="4">
        <f>IFERROR(IF(Months_Ref!$A$2="",0,INDEX(Acct1_Raw!$B$3:$BO$26,MATCH(Months_Ref!$A$2,Acct1_Raw!$A$3:$A$26,0),MATCH($A8,Acct1_Raw!$B$1:$BO$1,0))),0)</f>
        <v>10090.032999999999</v>
      </c>
      <c r="C8" s="4">
        <f>IFERROR(IF(Months_Ref!$A$3="",0,INDEX(Acct1_Raw!$B$3:$BO$26,MATCH(Months_Ref!$A$3,Acct1_Raw!$A$3:$A$26,0),MATCH($A8,Acct1_Raw!$B$1:$BO$1,0))),0)</f>
        <v>10464.950999999999</v>
      </c>
      <c r="D8" s="4">
        <f>IFERROR(IF(Months_Ref!$A$4="",0,INDEX(Acct1_Raw!$B$3:$BO$26,MATCH(Months_Ref!$A$4,Acct1_Raw!$A$3:$A$26,0),MATCH($A8,Acct1_Raw!$B$1:$BO$1,0))),0)</f>
        <v>12936.156999999999</v>
      </c>
      <c r="E8" s="4">
        <f>IFERROR(IF(Months_Ref!$A$5="",0,INDEX(Acct1_Raw!$B$3:$BO$26,MATCH(Months_Ref!$A$5,Acct1_Raw!$A$3:$A$26,0),MATCH($A8,Acct1_Raw!$B$1:$BO$1,0))),0)</f>
        <v>10916.87</v>
      </c>
      <c r="F8" s="4">
        <f>IFERROR(IF(Months_Ref!$A$6="",0,INDEX(Acct1_Raw!$B$3:$BO$26,MATCH(Months_Ref!$A$6,Acct1_Raw!$A$3:$A$26,0),MATCH($A8,Acct1_Raw!$B$1:$BO$1,0))),0)</f>
        <v>10912.722</v>
      </c>
      <c r="G8" s="4">
        <f>IFERROR(IF(Months_Ref!$A$7="",0,INDEX(Acct1_Raw!$B$3:$BO$26,MATCH(Months_Ref!$A$7,Acct1_Raw!$A$3:$A$26,0),MATCH($A8,Acct1_Raw!$B$1:$BO$1,0))),0)</f>
        <v>10610.546</v>
      </c>
      <c r="H8" s="4">
        <f>IFERROR(IF(Months_Ref!$A$2="",0,INDEX(Acct2_Raw!$B$3:$BO$26,MATCH(Months_Ref!$A$2,Acct2_Raw!$A$3:$A$26,0),MATCH($A8,Acct2_Raw!$B$1:$BO$1,0))),0)</f>
        <v>9030.6180000000004</v>
      </c>
      <c r="I8" s="4">
        <f>IFERROR(IF(Months_Ref!$A$3="",0,INDEX(Acct2_Raw!$B$3:$BO$26,MATCH(Months_Ref!$A$3,Acct2_Raw!$A$3:$A$26,0),MATCH($A8,Acct2_Raw!$B$1:$BO$1,0))),0)</f>
        <v>10828.067999999999</v>
      </c>
      <c r="J8" s="4">
        <f>IFERROR(IF(Months_Ref!$A$4="",0,INDEX(Acct2_Raw!$B$3:$BO$26,MATCH(Months_Ref!$A$4,Acct2_Raw!$A$3:$A$26,0),MATCH($A8,Acct2_Raw!$B$1:$BO$1,0))),0)</f>
        <v>9491.5740000000005</v>
      </c>
      <c r="K8" s="4">
        <f>IFERROR(IF(Months_Ref!$A$5="",0,INDEX(Acct2_Raw!$B$3:$BO$26,MATCH(Months_Ref!$A$5,Acct2_Raw!$A$3:$A$26,0),MATCH($A8,Acct2_Raw!$B$1:$BO$1,0))),0)</f>
        <v>9141.7070000000003</v>
      </c>
      <c r="L8" s="4">
        <f>IFERROR(IF(Months_Ref!$A$6="",0,INDEX(Acct2_Raw!$B$3:$BO$26,MATCH(Months_Ref!$A$6,Acct2_Raw!$A$3:$A$26,0),MATCH($A8,Acct2_Raw!$B$1:$BO$1,0))),0)</f>
        <v>8520.9969999999994</v>
      </c>
      <c r="M8" s="4">
        <f>IFERROR(IF(Months_Ref!$A$7="",0,INDEX(Acct2_Raw!$B$3:$BO$26,MATCH(Months_Ref!$A$7,Acct2_Raw!$A$3:$A$26,0),MATCH($A8,Acct2_Raw!$B$1:$BO$1,0))),0)</f>
        <v>8489.9449999999997</v>
      </c>
      <c r="N8" s="4">
        <f t="shared" si="0"/>
        <v>19120.650999999998</v>
      </c>
      <c r="O8" s="4">
        <f t="shared" si="1"/>
        <v>21293.019</v>
      </c>
      <c r="P8" s="4">
        <f t="shared" si="2"/>
        <v>22427.731</v>
      </c>
      <c r="Q8" s="4">
        <f t="shared" si="3"/>
        <v>20058.577000000001</v>
      </c>
      <c r="R8" s="4">
        <f t="shared" si="4"/>
        <v>19433.718999999997</v>
      </c>
      <c r="S8" s="4">
        <f t="shared" si="5"/>
        <v>19100.491000000002</v>
      </c>
    </row>
    <row r="9" spans="1:19" ht="15" customHeight="1" x14ac:dyDescent="0.25">
      <c r="A9" s="3" t="s">
        <v>61</v>
      </c>
      <c r="B9" s="4">
        <f>IFERROR(IF(Months_Ref!$A$2="",0,INDEX(Acct1_Raw!$B$3:$BO$26,MATCH(Months_Ref!$A$2,Acct1_Raw!$A$3:$A$26,0),MATCH($A9,Acct1_Raw!$B$1:$BO$1,0))),0)</f>
        <v>13729.744000000001</v>
      </c>
      <c r="C9" s="4">
        <f>IFERROR(IF(Months_Ref!$A$3="",0,INDEX(Acct1_Raw!$B$3:$BO$26,MATCH(Months_Ref!$A$3,Acct1_Raw!$A$3:$A$26,0),MATCH($A9,Acct1_Raw!$B$1:$BO$1,0))),0)</f>
        <v>13798.296</v>
      </c>
      <c r="D9" s="4">
        <f>IFERROR(IF(Months_Ref!$A$4="",0,INDEX(Acct1_Raw!$B$3:$BO$26,MATCH(Months_Ref!$A$4,Acct1_Raw!$A$3:$A$26,0),MATCH($A9,Acct1_Raw!$B$1:$BO$1,0))),0)</f>
        <v>12727.691000000001</v>
      </c>
      <c r="E9" s="4">
        <f>IFERROR(IF(Months_Ref!$A$5="",0,INDEX(Acct1_Raw!$B$3:$BO$26,MATCH(Months_Ref!$A$5,Acct1_Raw!$A$3:$A$26,0),MATCH($A9,Acct1_Raw!$B$1:$BO$1,0))),0)</f>
        <v>16637.659</v>
      </c>
      <c r="F9" s="4">
        <f>IFERROR(IF(Months_Ref!$A$6="",0,INDEX(Acct1_Raw!$B$3:$BO$26,MATCH(Months_Ref!$A$6,Acct1_Raw!$A$3:$A$26,0),MATCH($A9,Acct1_Raw!$B$1:$BO$1,0))),0)</f>
        <v>16027.611000000001</v>
      </c>
      <c r="G9" s="4">
        <f>IFERROR(IF(Months_Ref!$A$7="",0,INDEX(Acct1_Raw!$B$3:$BO$26,MATCH(Months_Ref!$A$7,Acct1_Raw!$A$3:$A$26,0),MATCH($A9,Acct1_Raw!$B$1:$BO$1,0))),0)</f>
        <v>15512.514999999999</v>
      </c>
      <c r="H9" s="4">
        <f>IFERROR(IF(Months_Ref!$A$2="",0,INDEX(Acct2_Raw!$B$3:$BO$26,MATCH(Months_Ref!$A$2,Acct2_Raw!$A$3:$A$26,0),MATCH($A9,Acct2_Raw!$B$1:$BO$1,0))),0)</f>
        <v>12410.901</v>
      </c>
      <c r="I9" s="4">
        <f>IFERROR(IF(Months_Ref!$A$3="",0,INDEX(Acct2_Raw!$B$3:$BO$26,MATCH(Months_Ref!$A$3,Acct2_Raw!$A$3:$A$26,0),MATCH($A9,Acct2_Raw!$B$1:$BO$1,0))),0)</f>
        <v>11089.226000000001</v>
      </c>
      <c r="J9" s="4">
        <f>IFERROR(IF(Months_Ref!$A$4="",0,INDEX(Acct2_Raw!$B$3:$BO$26,MATCH(Months_Ref!$A$4,Acct2_Raw!$A$3:$A$26,0),MATCH($A9,Acct2_Raw!$B$1:$BO$1,0))),0)</f>
        <v>12977.242</v>
      </c>
      <c r="K9" s="4">
        <f>IFERROR(IF(Months_Ref!$A$5="",0,INDEX(Acct2_Raw!$B$3:$BO$26,MATCH(Months_Ref!$A$5,Acct2_Raw!$A$3:$A$26,0),MATCH($A9,Acct2_Raw!$B$1:$BO$1,0))),0)</f>
        <v>11855.182000000001</v>
      </c>
      <c r="L9" s="4">
        <f>IFERROR(IF(Months_Ref!$A$6="",0,INDEX(Acct2_Raw!$B$3:$BO$26,MATCH(Months_Ref!$A$6,Acct2_Raw!$A$3:$A$26,0),MATCH($A9,Acct2_Raw!$B$1:$BO$1,0))),0)</f>
        <v>12496.225</v>
      </c>
      <c r="M9" s="4">
        <f>IFERROR(IF(Months_Ref!$A$7="",0,INDEX(Acct2_Raw!$B$3:$BO$26,MATCH(Months_Ref!$A$7,Acct2_Raw!$A$3:$A$26,0),MATCH($A9,Acct2_Raw!$B$1:$BO$1,0))),0)</f>
        <v>10580.264999999999</v>
      </c>
      <c r="N9" s="4">
        <f t="shared" si="0"/>
        <v>26140.645</v>
      </c>
      <c r="O9" s="4">
        <f t="shared" si="1"/>
        <v>24887.522000000001</v>
      </c>
      <c r="P9" s="4">
        <f t="shared" si="2"/>
        <v>25704.933000000001</v>
      </c>
      <c r="Q9" s="4">
        <f t="shared" si="3"/>
        <v>28492.841</v>
      </c>
      <c r="R9" s="4">
        <f t="shared" si="4"/>
        <v>28523.836000000003</v>
      </c>
      <c r="S9" s="4">
        <f t="shared" si="5"/>
        <v>26092.78</v>
      </c>
    </row>
    <row r="10" spans="1:19" ht="15" customHeight="1" x14ac:dyDescent="0.25">
      <c r="A10" s="3" t="s">
        <v>34</v>
      </c>
      <c r="B10" s="4">
        <f>IFERROR(IF(Months_Ref!$A$2="",0,INDEX(Acct1_Raw!$B$3:$BO$26,MATCH(Months_Ref!$A$2,Acct1_Raw!$A$3:$A$26,0),MATCH($A10,Acct1_Raw!$B$1:$BO$1,0))),0)</f>
        <v>12719.853999999999</v>
      </c>
      <c r="C10" s="4">
        <f>IFERROR(IF(Months_Ref!$A$3="",0,INDEX(Acct1_Raw!$B$3:$BO$26,MATCH(Months_Ref!$A$3,Acct1_Raw!$A$3:$A$26,0),MATCH($A10,Acct1_Raw!$B$1:$BO$1,0))),0)</f>
        <v>13223.392</v>
      </c>
      <c r="D10" s="4">
        <f>IFERROR(IF(Months_Ref!$A$4="",0,INDEX(Acct1_Raw!$B$3:$BO$26,MATCH(Months_Ref!$A$4,Acct1_Raw!$A$3:$A$26,0),MATCH($A10,Acct1_Raw!$B$1:$BO$1,0))),0)</f>
        <v>12451.862999999999</v>
      </c>
      <c r="E10" s="4">
        <f>IFERROR(IF(Months_Ref!$A$5="",0,INDEX(Acct1_Raw!$B$3:$BO$26,MATCH(Months_Ref!$A$5,Acct1_Raw!$A$3:$A$26,0),MATCH($A10,Acct1_Raw!$B$1:$BO$1,0))),0)</f>
        <v>14649.456</v>
      </c>
      <c r="F10" s="4">
        <f>IFERROR(IF(Months_Ref!$A$6="",0,INDEX(Acct1_Raw!$B$3:$BO$26,MATCH(Months_Ref!$A$6,Acct1_Raw!$A$3:$A$26,0),MATCH($A10,Acct1_Raw!$B$1:$BO$1,0))),0)</f>
        <v>15782.181</v>
      </c>
      <c r="G10" s="4">
        <f>IFERROR(IF(Months_Ref!$A$7="",0,INDEX(Acct1_Raw!$B$3:$BO$26,MATCH(Months_Ref!$A$7,Acct1_Raw!$A$3:$A$26,0),MATCH($A10,Acct1_Raw!$B$1:$BO$1,0))),0)</f>
        <v>15384.035</v>
      </c>
      <c r="H10" s="4">
        <f>IFERROR(IF(Months_Ref!$A$2="",0,INDEX(Acct2_Raw!$B$3:$BO$26,MATCH(Months_Ref!$A$2,Acct2_Raw!$A$3:$A$26,0),MATCH($A10,Acct2_Raw!$B$1:$BO$1,0))),0)</f>
        <v>5216.5069999999996</v>
      </c>
      <c r="I10" s="4">
        <f>IFERROR(IF(Months_Ref!$A$3="",0,INDEX(Acct2_Raw!$B$3:$BO$26,MATCH(Months_Ref!$A$3,Acct2_Raw!$A$3:$A$26,0),MATCH($A10,Acct2_Raw!$B$1:$BO$1,0))),0)</f>
        <v>4564.8599999999997</v>
      </c>
      <c r="J10" s="4">
        <f>IFERROR(IF(Months_Ref!$A$4="",0,INDEX(Acct2_Raw!$B$3:$BO$26,MATCH(Months_Ref!$A$4,Acct2_Raw!$A$3:$A$26,0),MATCH($A10,Acct2_Raw!$B$1:$BO$1,0))),0)</f>
        <v>5563.6549999999997</v>
      </c>
      <c r="K10" s="4">
        <f>IFERROR(IF(Months_Ref!$A$5="",0,INDEX(Acct2_Raw!$B$3:$BO$26,MATCH(Months_Ref!$A$5,Acct2_Raw!$A$3:$A$26,0),MATCH($A10,Acct2_Raw!$B$1:$BO$1,0))),0)</f>
        <v>5291.9260000000004</v>
      </c>
      <c r="L10" s="4">
        <f>IFERROR(IF(Months_Ref!$A$6="",0,INDEX(Acct2_Raw!$B$3:$BO$26,MATCH(Months_Ref!$A$6,Acct2_Raw!$A$3:$A$26,0),MATCH($A10,Acct2_Raw!$B$1:$BO$1,0))),0)</f>
        <v>5222.8609999999999</v>
      </c>
      <c r="M10" s="4">
        <f>IFERROR(IF(Months_Ref!$A$7="",0,INDEX(Acct2_Raw!$B$3:$BO$26,MATCH(Months_Ref!$A$7,Acct2_Raw!$A$3:$A$26,0),MATCH($A10,Acct2_Raw!$B$1:$BO$1,0))),0)</f>
        <v>4827.4089999999997</v>
      </c>
      <c r="N10" s="4">
        <f t="shared" si="0"/>
        <v>17936.360999999997</v>
      </c>
      <c r="O10" s="4">
        <f t="shared" si="1"/>
        <v>17788.252</v>
      </c>
      <c r="P10" s="4">
        <f t="shared" si="2"/>
        <v>18015.518</v>
      </c>
      <c r="Q10" s="4">
        <f t="shared" si="3"/>
        <v>19941.382000000001</v>
      </c>
      <c r="R10" s="4">
        <f t="shared" si="4"/>
        <v>21005.042000000001</v>
      </c>
      <c r="S10" s="4">
        <f t="shared" si="5"/>
        <v>20211.444</v>
      </c>
    </row>
    <row r="11" spans="1:19" ht="15" customHeight="1" x14ac:dyDescent="0.25">
      <c r="A11" s="3" t="s">
        <v>7</v>
      </c>
      <c r="B11" s="4">
        <f>IFERROR(IF(Months_Ref!$A$2="",0,INDEX(Acct1_Raw!$B$3:$BO$26,MATCH(Months_Ref!$A$2,Acct1_Raw!$A$3:$A$26,0),MATCH($A11,Acct1_Raw!$B$1:$BO$1,0))),0)</f>
        <v>14461.61</v>
      </c>
      <c r="C11" s="4">
        <f>IFERROR(IF(Months_Ref!$A$3="",0,INDEX(Acct1_Raw!$B$3:$BO$26,MATCH(Months_Ref!$A$3,Acct1_Raw!$A$3:$A$26,0),MATCH($A11,Acct1_Raw!$B$1:$BO$1,0))),0)</f>
        <v>13335.781000000001</v>
      </c>
      <c r="D11" s="4">
        <f>IFERROR(IF(Months_Ref!$A$4="",0,INDEX(Acct1_Raw!$B$3:$BO$26,MATCH(Months_Ref!$A$4,Acct1_Raw!$A$3:$A$26,0),MATCH($A11,Acct1_Raw!$B$1:$BO$1,0))),0)</f>
        <v>14667.614</v>
      </c>
      <c r="E11" s="4">
        <f>IFERROR(IF(Months_Ref!$A$5="",0,INDEX(Acct1_Raw!$B$3:$BO$26,MATCH(Months_Ref!$A$5,Acct1_Raw!$A$3:$A$26,0),MATCH($A11,Acct1_Raw!$B$1:$BO$1,0))),0)</f>
        <v>12278.201999999999</v>
      </c>
      <c r="F11" s="4">
        <f>IFERROR(IF(Months_Ref!$A$6="",0,INDEX(Acct1_Raw!$B$3:$BO$26,MATCH(Months_Ref!$A$6,Acct1_Raw!$A$3:$A$26,0),MATCH($A11,Acct1_Raw!$B$1:$BO$1,0))),0)</f>
        <v>13285.736999999999</v>
      </c>
      <c r="G11" s="4">
        <f>IFERROR(IF(Months_Ref!$A$7="",0,INDEX(Acct1_Raw!$B$3:$BO$26,MATCH(Months_Ref!$A$7,Acct1_Raw!$A$3:$A$26,0),MATCH($A11,Acct1_Raw!$B$1:$BO$1,0))),0)</f>
        <v>14222.876</v>
      </c>
      <c r="H11" s="4">
        <f>IFERROR(IF(Months_Ref!$A$2="",0,INDEX(Acct2_Raw!$B$3:$BO$26,MATCH(Months_Ref!$A$2,Acct2_Raw!$A$3:$A$26,0),MATCH($A11,Acct2_Raw!$B$1:$BO$1,0))),0)</f>
        <v>4120.433</v>
      </c>
      <c r="I11" s="4">
        <f>IFERROR(IF(Months_Ref!$A$3="",0,INDEX(Acct2_Raw!$B$3:$BO$26,MATCH(Months_Ref!$A$3,Acct2_Raw!$A$3:$A$26,0),MATCH($A11,Acct2_Raw!$B$1:$BO$1,0))),0)</f>
        <v>3648.681</v>
      </c>
      <c r="J11" s="4">
        <f>IFERROR(IF(Months_Ref!$A$4="",0,INDEX(Acct2_Raw!$B$3:$BO$26,MATCH(Months_Ref!$A$4,Acct2_Raw!$A$3:$A$26,0),MATCH($A11,Acct2_Raw!$B$1:$BO$1,0))),0)</f>
        <v>4306.4690000000001</v>
      </c>
      <c r="K11" s="4">
        <f>IFERROR(IF(Months_Ref!$A$5="",0,INDEX(Acct2_Raw!$B$3:$BO$26,MATCH(Months_Ref!$A$5,Acct2_Raw!$A$3:$A$26,0),MATCH($A11,Acct2_Raw!$B$1:$BO$1,0))),0)</f>
        <v>3498.8440000000001</v>
      </c>
      <c r="L11" s="4">
        <f>IFERROR(IF(Months_Ref!$A$6="",0,INDEX(Acct2_Raw!$B$3:$BO$26,MATCH(Months_Ref!$A$6,Acct2_Raw!$A$3:$A$26,0),MATCH($A11,Acct2_Raw!$B$1:$BO$1,0))),0)</f>
        <v>4351.3999999999996</v>
      </c>
      <c r="M11" s="4">
        <f>IFERROR(IF(Months_Ref!$A$7="",0,INDEX(Acct2_Raw!$B$3:$BO$26,MATCH(Months_Ref!$A$7,Acct2_Raw!$A$3:$A$26,0),MATCH($A11,Acct2_Raw!$B$1:$BO$1,0))),0)</f>
        <v>3871.4459999999999</v>
      </c>
      <c r="N11" s="4">
        <f t="shared" si="0"/>
        <v>18582.043000000001</v>
      </c>
      <c r="O11" s="4">
        <f t="shared" si="1"/>
        <v>16984.462</v>
      </c>
      <c r="P11" s="4">
        <f t="shared" si="2"/>
        <v>18974.082999999999</v>
      </c>
      <c r="Q11" s="4">
        <f t="shared" si="3"/>
        <v>15777.045999999998</v>
      </c>
      <c r="R11" s="4">
        <f t="shared" si="4"/>
        <v>17637.136999999999</v>
      </c>
      <c r="S11" s="4">
        <f t="shared" si="5"/>
        <v>18094.322</v>
      </c>
    </row>
    <row r="12" spans="1:19" ht="15" customHeight="1" x14ac:dyDescent="0.25">
      <c r="A12" s="3" t="s">
        <v>44</v>
      </c>
      <c r="B12" s="4">
        <f>IFERROR(IF(Months_Ref!$A$2="",0,INDEX(Acct1_Raw!$B$3:$BO$26,MATCH(Months_Ref!$A$2,Acct1_Raw!$A$3:$A$26,0),MATCH($A12,Acct1_Raw!$B$1:$BO$1,0))),0)</f>
        <v>4002.1179999999999</v>
      </c>
      <c r="C12" s="4">
        <f>IFERROR(IF(Months_Ref!$A$3="",0,INDEX(Acct1_Raw!$B$3:$BO$26,MATCH(Months_Ref!$A$3,Acct1_Raw!$A$3:$A$26,0),MATCH($A12,Acct1_Raw!$B$1:$BO$1,0))),0)</f>
        <v>4522.6260000000002</v>
      </c>
      <c r="D12" s="4">
        <f>IFERROR(IF(Months_Ref!$A$4="",0,INDEX(Acct1_Raw!$B$3:$BO$26,MATCH(Months_Ref!$A$4,Acct1_Raw!$A$3:$A$26,0),MATCH($A12,Acct1_Raw!$B$1:$BO$1,0))),0)</f>
        <v>4939.9579999999996</v>
      </c>
      <c r="E12" s="4">
        <f>IFERROR(IF(Months_Ref!$A$5="",0,INDEX(Acct1_Raw!$B$3:$BO$26,MATCH(Months_Ref!$A$5,Acct1_Raw!$A$3:$A$26,0),MATCH($A12,Acct1_Raw!$B$1:$BO$1,0))),0)</f>
        <v>4637.7179999999998</v>
      </c>
      <c r="F12" s="4">
        <f>IFERROR(IF(Months_Ref!$A$6="",0,INDEX(Acct1_Raw!$B$3:$BO$26,MATCH(Months_Ref!$A$6,Acct1_Raw!$A$3:$A$26,0),MATCH($A12,Acct1_Raw!$B$1:$BO$1,0))),0)</f>
        <v>4810.8249999999998</v>
      </c>
      <c r="G12" s="4">
        <f>IFERROR(IF(Months_Ref!$A$7="",0,INDEX(Acct1_Raw!$B$3:$BO$26,MATCH(Months_Ref!$A$7,Acct1_Raw!$A$3:$A$26,0),MATCH($A12,Acct1_Raw!$B$1:$BO$1,0))),0)</f>
        <v>4600.8190000000004</v>
      </c>
      <c r="H12" s="4">
        <f>IFERROR(IF(Months_Ref!$A$2="",0,INDEX(Acct2_Raw!$B$3:$BO$26,MATCH(Months_Ref!$A$2,Acct2_Raw!$A$3:$A$26,0),MATCH($A12,Acct2_Raw!$B$1:$BO$1,0))),0)</f>
        <v>401.20600000000002</v>
      </c>
      <c r="I12" s="4">
        <f>IFERROR(IF(Months_Ref!$A$3="",0,INDEX(Acct2_Raw!$B$3:$BO$26,MATCH(Months_Ref!$A$3,Acct2_Raw!$A$3:$A$26,0),MATCH($A12,Acct2_Raw!$B$1:$BO$1,0))),0)</f>
        <v>467.39600000000002</v>
      </c>
      <c r="J12" s="4">
        <f>IFERROR(IF(Months_Ref!$A$4="",0,INDEX(Acct2_Raw!$B$3:$BO$26,MATCH(Months_Ref!$A$4,Acct2_Raw!$A$3:$A$26,0),MATCH($A12,Acct2_Raw!$B$1:$BO$1,0))),0)</f>
        <v>432.54199999999997</v>
      </c>
      <c r="K12" s="4">
        <f>IFERROR(IF(Months_Ref!$A$5="",0,INDEX(Acct2_Raw!$B$3:$BO$26,MATCH(Months_Ref!$A$5,Acct2_Raw!$A$3:$A$26,0),MATCH($A12,Acct2_Raw!$B$1:$BO$1,0))),0)</f>
        <v>384.45499999999998</v>
      </c>
      <c r="L12" s="4">
        <f>IFERROR(IF(Months_Ref!$A$6="",0,INDEX(Acct2_Raw!$B$3:$BO$26,MATCH(Months_Ref!$A$6,Acct2_Raw!$A$3:$A$26,0),MATCH($A12,Acct2_Raw!$B$1:$BO$1,0))),0)</f>
        <v>398.03300000000002</v>
      </c>
      <c r="M12" s="4">
        <f>IFERROR(IF(Months_Ref!$A$7="",0,INDEX(Acct2_Raw!$B$3:$BO$26,MATCH(Months_Ref!$A$7,Acct2_Raw!$A$3:$A$26,0),MATCH($A12,Acct2_Raw!$B$1:$BO$1,0))),0)</f>
        <v>442.935</v>
      </c>
      <c r="N12" s="4">
        <f t="shared" si="0"/>
        <v>4403.3239999999996</v>
      </c>
      <c r="O12" s="4">
        <f t="shared" si="1"/>
        <v>4990.0219999999999</v>
      </c>
      <c r="P12" s="4">
        <f t="shared" si="2"/>
        <v>5372.5</v>
      </c>
      <c r="Q12" s="4">
        <f t="shared" si="3"/>
        <v>5022.1729999999998</v>
      </c>
      <c r="R12" s="4">
        <f t="shared" si="4"/>
        <v>5208.8580000000002</v>
      </c>
      <c r="S12" s="4">
        <f t="shared" si="5"/>
        <v>5043.7540000000008</v>
      </c>
    </row>
    <row r="13" spans="1:19" ht="15" customHeight="1" x14ac:dyDescent="0.25">
      <c r="A13" s="3" t="s">
        <v>9</v>
      </c>
      <c r="B13" s="4">
        <f>IFERROR(IF(Months_Ref!$A$2="",0,INDEX(Acct1_Raw!$B$3:$BO$26,MATCH(Months_Ref!$A$2,Acct1_Raw!$A$3:$A$26,0),MATCH($A13,Acct1_Raw!$B$1:$BO$1,0))),0)</f>
        <v>6339.2759999999998</v>
      </c>
      <c r="C13" s="4">
        <f>IFERROR(IF(Months_Ref!$A$3="",0,INDEX(Acct1_Raw!$B$3:$BO$26,MATCH(Months_Ref!$A$3,Acct1_Raw!$A$3:$A$26,0),MATCH($A13,Acct1_Raw!$B$1:$BO$1,0))),0)</f>
        <v>6197.0290000000005</v>
      </c>
      <c r="D13" s="4">
        <f>IFERROR(IF(Months_Ref!$A$4="",0,INDEX(Acct1_Raw!$B$3:$BO$26,MATCH(Months_Ref!$A$4,Acct1_Raw!$A$3:$A$26,0),MATCH($A13,Acct1_Raw!$B$1:$BO$1,0))),0)</f>
        <v>6699.6859999999997</v>
      </c>
      <c r="E13" s="4">
        <f>IFERROR(IF(Months_Ref!$A$5="",0,INDEX(Acct1_Raw!$B$3:$BO$26,MATCH(Months_Ref!$A$5,Acct1_Raw!$A$3:$A$26,0),MATCH($A13,Acct1_Raw!$B$1:$BO$1,0))),0)</f>
        <v>6310.576</v>
      </c>
      <c r="F13" s="4">
        <f>IFERROR(IF(Months_Ref!$A$6="",0,INDEX(Acct1_Raw!$B$3:$BO$26,MATCH(Months_Ref!$A$6,Acct1_Raw!$A$3:$A$26,0),MATCH($A13,Acct1_Raw!$B$1:$BO$1,0))),0)</f>
        <v>6953.8159999999998</v>
      </c>
      <c r="G13" s="4">
        <f>IFERROR(IF(Months_Ref!$A$7="",0,INDEX(Acct1_Raw!$B$3:$BO$26,MATCH(Months_Ref!$A$7,Acct1_Raw!$A$3:$A$26,0),MATCH($A13,Acct1_Raw!$B$1:$BO$1,0))),0)</f>
        <v>6209.5959999999995</v>
      </c>
      <c r="H13" s="4">
        <f>IFERROR(IF(Months_Ref!$A$2="",0,INDEX(Acct2_Raw!$B$3:$BO$26,MATCH(Months_Ref!$A$2,Acct2_Raw!$A$3:$A$26,0),MATCH($A13,Acct2_Raw!$B$1:$BO$1,0))),0)</f>
        <v>2748.3960000000002</v>
      </c>
      <c r="I13" s="4">
        <f>IFERROR(IF(Months_Ref!$A$3="",0,INDEX(Acct2_Raw!$B$3:$BO$26,MATCH(Months_Ref!$A$3,Acct2_Raw!$A$3:$A$26,0),MATCH($A13,Acct2_Raw!$B$1:$BO$1,0))),0)</f>
        <v>2463.4609999999998</v>
      </c>
      <c r="J13" s="4">
        <f>IFERROR(IF(Months_Ref!$A$4="",0,INDEX(Acct2_Raw!$B$3:$BO$26,MATCH(Months_Ref!$A$4,Acct2_Raw!$A$3:$A$26,0),MATCH($A13,Acct2_Raw!$B$1:$BO$1,0))),0)</f>
        <v>2670.4479999999999</v>
      </c>
      <c r="K13" s="4">
        <f>IFERROR(IF(Months_Ref!$A$5="",0,INDEX(Acct2_Raw!$B$3:$BO$26,MATCH(Months_Ref!$A$5,Acct2_Raw!$A$3:$A$26,0),MATCH($A13,Acct2_Raw!$B$1:$BO$1,0))),0)</f>
        <v>2578.1709999999998</v>
      </c>
      <c r="L13" s="4">
        <f>IFERROR(IF(Months_Ref!$A$6="",0,INDEX(Acct2_Raw!$B$3:$BO$26,MATCH(Months_Ref!$A$6,Acct2_Raw!$A$3:$A$26,0),MATCH($A13,Acct2_Raw!$B$1:$BO$1,0))),0)</f>
        <v>2648.3110000000001</v>
      </c>
      <c r="M13" s="4">
        <f>IFERROR(IF(Months_Ref!$A$7="",0,INDEX(Acct2_Raw!$B$3:$BO$26,MATCH(Months_Ref!$A$7,Acct2_Raw!$A$3:$A$26,0),MATCH($A13,Acct2_Raw!$B$1:$BO$1,0))),0)</f>
        <v>2744.2489999999998</v>
      </c>
      <c r="N13" s="4">
        <f t="shared" si="0"/>
        <v>9087.6720000000005</v>
      </c>
      <c r="O13" s="4">
        <f t="shared" si="1"/>
        <v>8660.49</v>
      </c>
      <c r="P13" s="4">
        <f t="shared" si="2"/>
        <v>9370.134</v>
      </c>
      <c r="Q13" s="4">
        <f t="shared" si="3"/>
        <v>8888.7469999999994</v>
      </c>
      <c r="R13" s="4">
        <f t="shared" si="4"/>
        <v>9602.1270000000004</v>
      </c>
      <c r="S13" s="4">
        <f t="shared" si="5"/>
        <v>8953.8449999999993</v>
      </c>
    </row>
    <row r="14" spans="1:19" ht="15" customHeight="1" x14ac:dyDescent="0.25">
      <c r="A14" s="3" t="s">
        <v>54</v>
      </c>
      <c r="B14" s="4">
        <f>IFERROR(IF(Months_Ref!$A$2="",0,INDEX(Acct1_Raw!$B$3:$BO$26,MATCH(Months_Ref!$A$2,Acct1_Raw!$A$3:$A$26,0),MATCH($A14,Acct1_Raw!$B$1:$BO$1,0))),0)</f>
        <v>13378.517</v>
      </c>
      <c r="C14" s="4">
        <f>IFERROR(IF(Months_Ref!$A$3="",0,INDEX(Acct1_Raw!$B$3:$BO$26,MATCH(Months_Ref!$A$3,Acct1_Raw!$A$3:$A$26,0),MATCH($A14,Acct1_Raw!$B$1:$BO$1,0))),0)</f>
        <v>15118.227000000001</v>
      </c>
      <c r="D14" s="4">
        <f>IFERROR(IF(Months_Ref!$A$4="",0,INDEX(Acct1_Raw!$B$3:$BO$26,MATCH(Months_Ref!$A$4,Acct1_Raw!$A$3:$A$26,0),MATCH($A14,Acct1_Raw!$B$1:$BO$1,0))),0)</f>
        <v>14564.964</v>
      </c>
      <c r="E14" s="4">
        <f>IFERROR(IF(Months_Ref!$A$5="",0,INDEX(Acct1_Raw!$B$3:$BO$26,MATCH(Months_Ref!$A$5,Acct1_Raw!$A$3:$A$26,0),MATCH($A14,Acct1_Raw!$B$1:$BO$1,0))),0)</f>
        <v>13669.86</v>
      </c>
      <c r="F14" s="4">
        <f>IFERROR(IF(Months_Ref!$A$6="",0,INDEX(Acct1_Raw!$B$3:$BO$26,MATCH(Months_Ref!$A$6,Acct1_Raw!$A$3:$A$26,0),MATCH($A14,Acct1_Raw!$B$1:$BO$1,0))),0)</f>
        <v>14258.022000000001</v>
      </c>
      <c r="G14" s="4">
        <f>IFERROR(IF(Months_Ref!$A$7="",0,INDEX(Acct1_Raw!$B$3:$BO$26,MATCH(Months_Ref!$A$7,Acct1_Raw!$A$3:$A$26,0),MATCH($A14,Acct1_Raw!$B$1:$BO$1,0))),0)</f>
        <v>15455.826999999999</v>
      </c>
      <c r="H14" s="4">
        <f>IFERROR(IF(Months_Ref!$A$2="",0,INDEX(Acct2_Raw!$B$3:$BO$26,MATCH(Months_Ref!$A$2,Acct2_Raw!$A$3:$A$26,0),MATCH($A14,Acct2_Raw!$B$1:$BO$1,0))),0)</f>
        <v>9929.5470000000005</v>
      </c>
      <c r="I14" s="4">
        <f>IFERROR(IF(Months_Ref!$A$3="",0,INDEX(Acct2_Raw!$B$3:$BO$26,MATCH(Months_Ref!$A$3,Acct2_Raw!$A$3:$A$26,0),MATCH($A14,Acct2_Raw!$B$1:$BO$1,0))),0)</f>
        <v>8344.0849999999991</v>
      </c>
      <c r="J14" s="4">
        <f>IFERROR(IF(Months_Ref!$A$4="",0,INDEX(Acct2_Raw!$B$3:$BO$26,MATCH(Months_Ref!$A$4,Acct2_Raw!$A$3:$A$26,0),MATCH($A14,Acct2_Raw!$B$1:$BO$1,0))),0)</f>
        <v>9606.5750000000007</v>
      </c>
      <c r="K14" s="4">
        <f>IFERROR(IF(Months_Ref!$A$5="",0,INDEX(Acct2_Raw!$B$3:$BO$26,MATCH(Months_Ref!$A$5,Acct2_Raw!$A$3:$A$26,0),MATCH($A14,Acct2_Raw!$B$1:$BO$1,0))),0)</f>
        <v>10458.522999999999</v>
      </c>
      <c r="L14" s="4">
        <f>IFERROR(IF(Months_Ref!$A$6="",0,INDEX(Acct2_Raw!$B$3:$BO$26,MATCH(Months_Ref!$A$6,Acct2_Raw!$A$3:$A$26,0),MATCH($A14,Acct2_Raw!$B$1:$BO$1,0))),0)</f>
        <v>9853.7039999999997</v>
      </c>
      <c r="M14" s="4">
        <f>IFERROR(IF(Months_Ref!$A$7="",0,INDEX(Acct2_Raw!$B$3:$BO$26,MATCH(Months_Ref!$A$7,Acct2_Raw!$A$3:$A$26,0),MATCH($A14,Acct2_Raw!$B$1:$BO$1,0))),0)</f>
        <v>8166.2349999999997</v>
      </c>
      <c r="N14" s="4">
        <f t="shared" si="0"/>
        <v>23308.063999999998</v>
      </c>
      <c r="O14" s="4">
        <f t="shared" si="1"/>
        <v>23462.311999999998</v>
      </c>
      <c r="P14" s="4">
        <f t="shared" si="2"/>
        <v>24171.539000000001</v>
      </c>
      <c r="Q14" s="4">
        <f t="shared" si="3"/>
        <v>24128.383000000002</v>
      </c>
      <c r="R14" s="4">
        <f t="shared" si="4"/>
        <v>24111.726000000002</v>
      </c>
      <c r="S14" s="4">
        <f t="shared" si="5"/>
        <v>23622.061999999998</v>
      </c>
    </row>
    <row r="15" spans="1:19" ht="15" customHeight="1" x14ac:dyDescent="0.25">
      <c r="A15" s="3" t="s">
        <v>56</v>
      </c>
      <c r="B15" s="4">
        <f>IFERROR(IF(Months_Ref!$A$2="",0,INDEX(Acct1_Raw!$B$3:$BO$26,MATCH(Months_Ref!$A$2,Acct1_Raw!$A$3:$A$26,0),MATCH($A15,Acct1_Raw!$B$1:$BO$1,0))),0)</f>
        <v>8484.1489999999994</v>
      </c>
      <c r="C15" s="4">
        <f>IFERROR(IF(Months_Ref!$A$3="",0,INDEX(Acct1_Raw!$B$3:$BO$26,MATCH(Months_Ref!$A$3,Acct1_Raw!$A$3:$A$26,0),MATCH($A15,Acct1_Raw!$B$1:$BO$1,0))),0)</f>
        <v>9061.2199999999993</v>
      </c>
      <c r="D15" s="4">
        <f>IFERROR(IF(Months_Ref!$A$4="",0,INDEX(Acct1_Raw!$B$3:$BO$26,MATCH(Months_Ref!$A$4,Acct1_Raw!$A$3:$A$26,0),MATCH($A15,Acct1_Raw!$B$1:$BO$1,0))),0)</f>
        <v>10359.434999999999</v>
      </c>
      <c r="E15" s="4">
        <f>IFERROR(IF(Months_Ref!$A$5="",0,INDEX(Acct1_Raw!$B$3:$BO$26,MATCH(Months_Ref!$A$5,Acct1_Raw!$A$3:$A$26,0),MATCH($A15,Acct1_Raw!$B$1:$BO$1,0))),0)</f>
        <v>8613.5280000000002</v>
      </c>
      <c r="F15" s="4">
        <f>IFERROR(IF(Months_Ref!$A$6="",0,INDEX(Acct1_Raw!$B$3:$BO$26,MATCH(Months_Ref!$A$6,Acct1_Raw!$A$3:$A$26,0),MATCH($A15,Acct1_Raw!$B$1:$BO$1,0))),0)</f>
        <v>9846.7900000000009</v>
      </c>
      <c r="G15" s="4">
        <f>IFERROR(IF(Months_Ref!$A$7="",0,INDEX(Acct1_Raw!$B$3:$BO$26,MATCH(Months_Ref!$A$7,Acct1_Raw!$A$3:$A$26,0),MATCH($A15,Acct1_Raw!$B$1:$BO$1,0))),0)</f>
        <v>8025.1170000000002</v>
      </c>
      <c r="H15" s="4">
        <f>IFERROR(IF(Months_Ref!$A$2="",0,INDEX(Acct2_Raw!$B$3:$BO$26,MATCH(Months_Ref!$A$2,Acct2_Raw!$A$3:$A$26,0),MATCH($A15,Acct2_Raw!$B$1:$BO$1,0))),0)</f>
        <v>1950.759</v>
      </c>
      <c r="I15" s="4">
        <f>IFERROR(IF(Months_Ref!$A$3="",0,INDEX(Acct2_Raw!$B$3:$BO$26,MATCH(Months_Ref!$A$3,Acct2_Raw!$A$3:$A$26,0),MATCH($A15,Acct2_Raw!$B$1:$BO$1,0))),0)</f>
        <v>1797.211</v>
      </c>
      <c r="J15" s="4">
        <f>IFERROR(IF(Months_Ref!$A$4="",0,INDEX(Acct2_Raw!$B$3:$BO$26,MATCH(Months_Ref!$A$4,Acct2_Raw!$A$3:$A$26,0),MATCH($A15,Acct2_Raw!$B$1:$BO$1,0))),0)</f>
        <v>2165.14</v>
      </c>
      <c r="K15" s="4">
        <f>IFERROR(IF(Months_Ref!$A$5="",0,INDEX(Acct2_Raw!$B$3:$BO$26,MATCH(Months_Ref!$A$5,Acct2_Raw!$A$3:$A$26,0),MATCH($A15,Acct2_Raw!$B$1:$BO$1,0))),0)</f>
        <v>1790.925</v>
      </c>
      <c r="L15" s="4">
        <f>IFERROR(IF(Months_Ref!$A$6="",0,INDEX(Acct2_Raw!$B$3:$BO$26,MATCH(Months_Ref!$A$6,Acct2_Raw!$A$3:$A$26,0),MATCH($A15,Acct2_Raw!$B$1:$BO$1,0))),0)</f>
        <v>2040.537</v>
      </c>
      <c r="M15" s="4">
        <f>IFERROR(IF(Months_Ref!$A$7="",0,INDEX(Acct2_Raw!$B$3:$BO$26,MATCH(Months_Ref!$A$7,Acct2_Raw!$A$3:$A$26,0),MATCH($A15,Acct2_Raw!$B$1:$BO$1,0))),0)</f>
        <v>1928.7860000000001</v>
      </c>
      <c r="N15" s="4">
        <f t="shared" si="0"/>
        <v>10434.907999999999</v>
      </c>
      <c r="O15" s="4">
        <f t="shared" si="1"/>
        <v>10858.430999999999</v>
      </c>
      <c r="P15" s="4">
        <f t="shared" si="2"/>
        <v>12524.574999999999</v>
      </c>
      <c r="Q15" s="4">
        <f t="shared" si="3"/>
        <v>10404.453</v>
      </c>
      <c r="R15" s="4">
        <f t="shared" si="4"/>
        <v>11887.327000000001</v>
      </c>
      <c r="S15" s="4">
        <f t="shared" si="5"/>
        <v>9953.9030000000002</v>
      </c>
    </row>
    <row r="16" spans="1:19" ht="15" customHeight="1" x14ac:dyDescent="0.25">
      <c r="A16" s="3" t="s">
        <v>55</v>
      </c>
      <c r="B16" s="4">
        <f>IFERROR(IF(Months_Ref!$A$2="",0,INDEX(Acct1_Raw!$B$3:$BO$26,MATCH(Months_Ref!$A$2,Acct1_Raw!$A$3:$A$26,0),MATCH($A16,Acct1_Raw!$B$1:$BO$1,0))),0)</f>
        <v>10814.241</v>
      </c>
      <c r="C16" s="4">
        <f>IFERROR(IF(Months_Ref!$A$3="",0,INDEX(Acct1_Raw!$B$3:$BO$26,MATCH(Months_Ref!$A$3,Acct1_Raw!$A$3:$A$26,0),MATCH($A16,Acct1_Raw!$B$1:$BO$1,0))),0)</f>
        <v>8504.6810000000005</v>
      </c>
      <c r="D16" s="4">
        <f>IFERROR(IF(Months_Ref!$A$4="",0,INDEX(Acct1_Raw!$B$3:$BO$26,MATCH(Months_Ref!$A$4,Acct1_Raw!$A$3:$A$26,0),MATCH($A16,Acct1_Raw!$B$1:$BO$1,0))),0)</f>
        <v>8744.7019999999993</v>
      </c>
      <c r="E16" s="4">
        <f>IFERROR(IF(Months_Ref!$A$5="",0,INDEX(Acct1_Raw!$B$3:$BO$26,MATCH(Months_Ref!$A$5,Acct1_Raw!$A$3:$A$26,0),MATCH($A16,Acct1_Raw!$B$1:$BO$1,0))),0)</f>
        <v>9470.0810000000001</v>
      </c>
      <c r="F16" s="4">
        <f>IFERROR(IF(Months_Ref!$A$6="",0,INDEX(Acct1_Raw!$B$3:$BO$26,MATCH(Months_Ref!$A$6,Acct1_Raw!$A$3:$A$26,0),MATCH($A16,Acct1_Raw!$B$1:$BO$1,0))),0)</f>
        <v>10918.243</v>
      </c>
      <c r="G16" s="4">
        <f>IFERROR(IF(Months_Ref!$A$7="",0,INDEX(Acct1_Raw!$B$3:$BO$26,MATCH(Months_Ref!$A$7,Acct1_Raw!$A$3:$A$26,0),MATCH($A16,Acct1_Raw!$B$1:$BO$1,0))),0)</f>
        <v>9030.6959999999999</v>
      </c>
      <c r="H16" s="4">
        <f>IFERROR(IF(Months_Ref!$A$2="",0,INDEX(Acct2_Raw!$B$3:$BO$26,MATCH(Months_Ref!$A$2,Acct2_Raw!$A$3:$A$26,0),MATCH($A16,Acct2_Raw!$B$1:$BO$1,0))),0)</f>
        <v>4299.51</v>
      </c>
      <c r="I16" s="4">
        <f>IFERROR(IF(Months_Ref!$A$3="",0,INDEX(Acct2_Raw!$B$3:$BO$26,MATCH(Months_Ref!$A$3,Acct2_Raw!$A$3:$A$26,0),MATCH($A16,Acct2_Raw!$B$1:$BO$1,0))),0)</f>
        <v>4161.3620000000001</v>
      </c>
      <c r="J16" s="4">
        <f>IFERROR(IF(Months_Ref!$A$4="",0,INDEX(Acct2_Raw!$B$3:$BO$26,MATCH(Months_Ref!$A$4,Acct2_Raw!$A$3:$A$26,0),MATCH($A16,Acct2_Raw!$B$1:$BO$1,0))),0)</f>
        <v>3768.6610000000001</v>
      </c>
      <c r="K16" s="4">
        <f>IFERROR(IF(Months_Ref!$A$5="",0,INDEX(Acct2_Raw!$B$3:$BO$26,MATCH(Months_Ref!$A$5,Acct2_Raw!$A$3:$A$26,0),MATCH($A16,Acct2_Raw!$B$1:$BO$1,0))),0)</f>
        <v>3730.4090000000001</v>
      </c>
      <c r="L16" s="4">
        <f>IFERROR(IF(Months_Ref!$A$6="",0,INDEX(Acct2_Raw!$B$3:$BO$26,MATCH(Months_Ref!$A$6,Acct2_Raw!$A$3:$A$26,0),MATCH($A16,Acct2_Raw!$B$1:$BO$1,0))),0)</f>
        <v>4129.9920000000002</v>
      </c>
      <c r="M16" s="4">
        <f>IFERROR(IF(Months_Ref!$A$7="",0,INDEX(Acct2_Raw!$B$3:$BO$26,MATCH(Months_Ref!$A$7,Acct2_Raw!$A$3:$A$26,0),MATCH($A16,Acct2_Raw!$B$1:$BO$1,0))),0)</f>
        <v>4095.4589999999998</v>
      </c>
      <c r="N16" s="4">
        <f t="shared" si="0"/>
        <v>15113.751</v>
      </c>
      <c r="O16" s="4">
        <f t="shared" si="1"/>
        <v>12666.043000000001</v>
      </c>
      <c r="P16" s="4">
        <f t="shared" si="2"/>
        <v>12513.362999999999</v>
      </c>
      <c r="Q16" s="4">
        <f t="shared" si="3"/>
        <v>13200.49</v>
      </c>
      <c r="R16" s="4">
        <f t="shared" si="4"/>
        <v>15048.235000000001</v>
      </c>
      <c r="S16" s="4">
        <f t="shared" si="5"/>
        <v>13126.154999999999</v>
      </c>
    </row>
    <row r="17" spans="1:19" ht="15" customHeight="1" x14ac:dyDescent="0.25">
      <c r="A17" s="3" t="s">
        <v>53</v>
      </c>
      <c r="B17" s="4">
        <f>IFERROR(IF(Months_Ref!$A$2="",0,INDEX(Acct1_Raw!$B$3:$BO$26,MATCH(Months_Ref!$A$2,Acct1_Raw!$A$3:$A$26,0),MATCH($A17,Acct1_Raw!$B$1:$BO$1,0))),0)</f>
        <v>3958.837</v>
      </c>
      <c r="C17" s="4">
        <f>IFERROR(IF(Months_Ref!$A$3="",0,INDEX(Acct1_Raw!$B$3:$BO$26,MATCH(Months_Ref!$A$3,Acct1_Raw!$A$3:$A$26,0),MATCH($A17,Acct1_Raw!$B$1:$BO$1,0))),0)</f>
        <v>3853.0819999999999</v>
      </c>
      <c r="D17" s="4">
        <f>IFERROR(IF(Months_Ref!$A$4="",0,INDEX(Acct1_Raw!$B$3:$BO$26,MATCH(Months_Ref!$A$4,Acct1_Raw!$A$3:$A$26,0),MATCH($A17,Acct1_Raw!$B$1:$BO$1,0))),0)</f>
        <v>3963.433</v>
      </c>
      <c r="E17" s="4">
        <f>IFERROR(IF(Months_Ref!$A$5="",0,INDEX(Acct1_Raw!$B$3:$BO$26,MATCH(Months_Ref!$A$5,Acct1_Raw!$A$3:$A$26,0),MATCH($A17,Acct1_Raw!$B$1:$BO$1,0))),0)</f>
        <v>3844.65</v>
      </c>
      <c r="F17" s="4">
        <f>IFERROR(IF(Months_Ref!$A$6="",0,INDEX(Acct1_Raw!$B$3:$BO$26,MATCH(Months_Ref!$A$6,Acct1_Raw!$A$3:$A$26,0),MATCH($A17,Acct1_Raw!$B$1:$BO$1,0))),0)</f>
        <v>4482.3850000000002</v>
      </c>
      <c r="G17" s="4">
        <f>IFERROR(IF(Months_Ref!$A$7="",0,INDEX(Acct1_Raw!$B$3:$BO$26,MATCH(Months_Ref!$A$7,Acct1_Raw!$A$3:$A$26,0),MATCH($A17,Acct1_Raw!$B$1:$BO$1,0))),0)</f>
        <v>4386.2759999999998</v>
      </c>
      <c r="H17" s="4">
        <f>IFERROR(IF(Months_Ref!$A$2="",0,INDEX(Acct2_Raw!$B$3:$BO$26,MATCH(Months_Ref!$A$2,Acct2_Raw!$A$3:$A$26,0),MATCH($A17,Acct2_Raw!$B$1:$BO$1,0))),0)</f>
        <v>3903.4140000000002</v>
      </c>
      <c r="I17" s="4">
        <f>IFERROR(IF(Months_Ref!$A$3="",0,INDEX(Acct2_Raw!$B$3:$BO$26,MATCH(Months_Ref!$A$3,Acct2_Raw!$A$3:$A$26,0),MATCH($A17,Acct2_Raw!$B$1:$BO$1,0))),0)</f>
        <v>3162.482</v>
      </c>
      <c r="J17" s="4">
        <f>IFERROR(IF(Months_Ref!$A$4="",0,INDEX(Acct2_Raw!$B$3:$BO$26,MATCH(Months_Ref!$A$4,Acct2_Raw!$A$3:$A$26,0),MATCH($A17,Acct2_Raw!$B$1:$BO$1,0))),0)</f>
        <v>3296.194</v>
      </c>
      <c r="K17" s="4">
        <f>IFERROR(IF(Months_Ref!$A$5="",0,INDEX(Acct2_Raw!$B$3:$BO$26,MATCH(Months_Ref!$A$5,Acct2_Raw!$A$3:$A$26,0),MATCH($A17,Acct2_Raw!$B$1:$BO$1,0))),0)</f>
        <v>4091.797</v>
      </c>
      <c r="L17" s="4">
        <f>IFERROR(IF(Months_Ref!$A$6="",0,INDEX(Acct2_Raw!$B$3:$BO$26,MATCH(Months_Ref!$A$6,Acct2_Raw!$A$3:$A$26,0),MATCH($A17,Acct2_Raw!$B$1:$BO$1,0))),0)</f>
        <v>3649.779</v>
      </c>
      <c r="M17" s="4">
        <f>IFERROR(IF(Months_Ref!$A$7="",0,INDEX(Acct2_Raw!$B$3:$BO$26,MATCH(Months_Ref!$A$7,Acct2_Raw!$A$3:$A$26,0),MATCH($A17,Acct2_Raw!$B$1:$BO$1,0))),0)</f>
        <v>3150.3879999999999</v>
      </c>
      <c r="N17" s="4">
        <f t="shared" si="0"/>
        <v>7862.2510000000002</v>
      </c>
      <c r="O17" s="4">
        <f t="shared" si="1"/>
        <v>7015.5640000000003</v>
      </c>
      <c r="P17" s="4">
        <f t="shared" si="2"/>
        <v>7259.6270000000004</v>
      </c>
      <c r="Q17" s="4">
        <f t="shared" si="3"/>
        <v>7936.4470000000001</v>
      </c>
      <c r="R17" s="4">
        <f t="shared" si="4"/>
        <v>8132.1640000000007</v>
      </c>
      <c r="S17" s="4">
        <f t="shared" si="5"/>
        <v>7536.6639999999998</v>
      </c>
    </row>
    <row r="18" spans="1:19" ht="15" customHeight="1" x14ac:dyDescent="0.25">
      <c r="A18" s="3" t="s">
        <v>28</v>
      </c>
      <c r="B18" s="4">
        <f>IFERROR(IF(Months_Ref!$A$2="",0,INDEX(Acct1_Raw!$B$3:$BO$26,MATCH(Months_Ref!$A$2,Acct1_Raw!$A$3:$A$26,0),MATCH($A18,Acct1_Raw!$B$1:$BO$1,0))),0)</f>
        <v>1411.7239999999999</v>
      </c>
      <c r="C18" s="4">
        <f>IFERROR(IF(Months_Ref!$A$3="",0,INDEX(Acct1_Raw!$B$3:$BO$26,MATCH(Months_Ref!$A$3,Acct1_Raw!$A$3:$A$26,0),MATCH($A18,Acct1_Raw!$B$1:$BO$1,0))),0)</f>
        <v>1579.991</v>
      </c>
      <c r="D18" s="4">
        <f>IFERROR(IF(Months_Ref!$A$4="",0,INDEX(Acct1_Raw!$B$3:$BO$26,MATCH(Months_Ref!$A$4,Acct1_Raw!$A$3:$A$26,0),MATCH($A18,Acct1_Raw!$B$1:$BO$1,0))),0)</f>
        <v>1666.4179999999999</v>
      </c>
      <c r="E18" s="4">
        <f>IFERROR(IF(Months_Ref!$A$5="",0,INDEX(Acct1_Raw!$B$3:$BO$26,MATCH(Months_Ref!$A$5,Acct1_Raw!$A$3:$A$26,0),MATCH($A18,Acct1_Raw!$B$1:$BO$1,0))),0)</f>
        <v>1432.644</v>
      </c>
      <c r="F18" s="4">
        <f>IFERROR(IF(Months_Ref!$A$6="",0,INDEX(Acct1_Raw!$B$3:$BO$26,MATCH(Months_Ref!$A$6,Acct1_Raw!$A$3:$A$26,0),MATCH($A18,Acct1_Raw!$B$1:$BO$1,0))),0)</f>
        <v>1631.8530000000001</v>
      </c>
      <c r="G18" s="4">
        <f>IFERROR(IF(Months_Ref!$A$7="",0,INDEX(Acct1_Raw!$B$3:$BO$26,MATCH(Months_Ref!$A$7,Acct1_Raw!$A$3:$A$26,0),MATCH($A18,Acct1_Raw!$B$1:$BO$1,0))),0)</f>
        <v>1588.81</v>
      </c>
      <c r="H18" s="4">
        <f>IFERROR(IF(Months_Ref!$A$2="",0,INDEX(Acct2_Raw!$B$3:$BO$26,MATCH(Months_Ref!$A$2,Acct2_Raw!$A$3:$A$26,0),MATCH($A18,Acct2_Raw!$B$1:$BO$1,0))),0)</f>
        <v>3614.8960000000002</v>
      </c>
      <c r="I18" s="4">
        <f>IFERROR(IF(Months_Ref!$A$3="",0,INDEX(Acct2_Raw!$B$3:$BO$26,MATCH(Months_Ref!$A$3,Acct2_Raw!$A$3:$A$26,0),MATCH($A18,Acct2_Raw!$B$1:$BO$1,0))),0)</f>
        <v>3207.623</v>
      </c>
      <c r="J18" s="4">
        <f>IFERROR(IF(Months_Ref!$A$4="",0,INDEX(Acct2_Raw!$B$3:$BO$26,MATCH(Months_Ref!$A$4,Acct2_Raw!$A$3:$A$26,0),MATCH($A18,Acct2_Raw!$B$1:$BO$1,0))),0)</f>
        <v>3160.0070000000001</v>
      </c>
      <c r="K18" s="4">
        <f>IFERROR(IF(Months_Ref!$A$5="",0,INDEX(Acct2_Raw!$B$3:$BO$26,MATCH(Months_Ref!$A$5,Acct2_Raw!$A$3:$A$26,0),MATCH($A18,Acct2_Raw!$B$1:$BO$1,0))),0)</f>
        <v>3851.7489999999998</v>
      </c>
      <c r="L18" s="4">
        <f>IFERROR(IF(Months_Ref!$A$6="",0,INDEX(Acct2_Raw!$B$3:$BO$26,MATCH(Months_Ref!$A$6,Acct2_Raw!$A$3:$A$26,0),MATCH($A18,Acct2_Raw!$B$1:$BO$1,0))),0)</f>
        <v>3368.0830000000001</v>
      </c>
      <c r="M18" s="4">
        <f>IFERROR(IF(Months_Ref!$A$7="",0,INDEX(Acct2_Raw!$B$3:$BO$26,MATCH(Months_Ref!$A$7,Acct2_Raw!$A$3:$A$26,0),MATCH($A18,Acct2_Raw!$B$1:$BO$1,0))),0)</f>
        <v>4083.7550000000001</v>
      </c>
      <c r="N18" s="4">
        <f t="shared" si="0"/>
        <v>5026.62</v>
      </c>
      <c r="O18" s="4">
        <f t="shared" si="1"/>
        <v>4787.6139999999996</v>
      </c>
      <c r="P18" s="4">
        <f t="shared" si="2"/>
        <v>4826.4250000000002</v>
      </c>
      <c r="Q18" s="4">
        <f t="shared" si="3"/>
        <v>5284.393</v>
      </c>
      <c r="R18" s="4">
        <f t="shared" si="4"/>
        <v>4999.9359999999997</v>
      </c>
      <c r="S18" s="4">
        <f t="shared" si="5"/>
        <v>5672.5650000000005</v>
      </c>
    </row>
    <row r="19" spans="1:19" ht="15" customHeight="1" x14ac:dyDescent="0.25">
      <c r="A19" s="3" t="s">
        <v>43</v>
      </c>
      <c r="B19" s="4">
        <f>IFERROR(IF(Months_Ref!$A$2="",0,INDEX(Acct1_Raw!$B$3:$BO$26,MATCH(Months_Ref!$A$2,Acct1_Raw!$A$3:$A$26,0),MATCH($A19,Acct1_Raw!$B$1:$BO$1,0))),0)</f>
        <v>3818.1579999999999</v>
      </c>
      <c r="C19" s="4">
        <f>IFERROR(IF(Months_Ref!$A$3="",0,INDEX(Acct1_Raw!$B$3:$BO$26,MATCH(Months_Ref!$A$3,Acct1_Raw!$A$3:$A$26,0),MATCH($A19,Acct1_Raw!$B$1:$BO$1,0))),0)</f>
        <v>3410.9749999999999</v>
      </c>
      <c r="D19" s="4">
        <f>IFERROR(IF(Months_Ref!$A$4="",0,INDEX(Acct1_Raw!$B$3:$BO$26,MATCH(Months_Ref!$A$4,Acct1_Raw!$A$3:$A$26,0),MATCH($A19,Acct1_Raw!$B$1:$BO$1,0))),0)</f>
        <v>3294.6039999999998</v>
      </c>
      <c r="E19" s="4">
        <f>IFERROR(IF(Months_Ref!$A$5="",0,INDEX(Acct1_Raw!$B$3:$BO$26,MATCH(Months_Ref!$A$5,Acct1_Raw!$A$3:$A$26,0),MATCH($A19,Acct1_Raw!$B$1:$BO$1,0))),0)</f>
        <v>3749.4189999999999</v>
      </c>
      <c r="F19" s="4">
        <f>IFERROR(IF(Months_Ref!$A$6="",0,INDEX(Acct1_Raw!$B$3:$BO$26,MATCH(Months_Ref!$A$6,Acct1_Raw!$A$3:$A$26,0),MATCH($A19,Acct1_Raw!$B$1:$BO$1,0))),0)</f>
        <v>3450.0259999999998</v>
      </c>
      <c r="G19" s="4">
        <f>IFERROR(IF(Months_Ref!$A$7="",0,INDEX(Acct1_Raw!$B$3:$BO$26,MATCH(Months_Ref!$A$7,Acct1_Raw!$A$3:$A$26,0),MATCH($A19,Acct1_Raw!$B$1:$BO$1,0))),0)</f>
        <v>2999.7539999999999</v>
      </c>
      <c r="H19" s="4">
        <f>IFERROR(IF(Months_Ref!$A$2="",0,INDEX(Acct2_Raw!$B$3:$BO$26,MATCH(Months_Ref!$A$2,Acct2_Raw!$A$3:$A$26,0),MATCH($A19,Acct2_Raw!$B$1:$BO$1,0))),0)</f>
        <v>1988.796</v>
      </c>
      <c r="I19" s="4">
        <f>IFERROR(IF(Months_Ref!$A$3="",0,INDEX(Acct2_Raw!$B$3:$BO$26,MATCH(Months_Ref!$A$3,Acct2_Raw!$A$3:$A$26,0),MATCH($A19,Acct2_Raw!$B$1:$BO$1,0))),0)</f>
        <v>1894.0609999999999</v>
      </c>
      <c r="J19" s="4">
        <f>IFERROR(IF(Months_Ref!$A$4="",0,INDEX(Acct2_Raw!$B$3:$BO$26,MATCH(Months_Ref!$A$4,Acct2_Raw!$A$3:$A$26,0),MATCH($A19,Acct2_Raw!$B$1:$BO$1,0))),0)</f>
        <v>2207.34</v>
      </c>
      <c r="K19" s="4">
        <f>IFERROR(IF(Months_Ref!$A$5="",0,INDEX(Acct2_Raw!$B$3:$BO$26,MATCH(Months_Ref!$A$5,Acct2_Raw!$A$3:$A$26,0),MATCH($A19,Acct2_Raw!$B$1:$BO$1,0))),0)</f>
        <v>2026.673</v>
      </c>
      <c r="L19" s="4">
        <f>IFERROR(IF(Months_Ref!$A$6="",0,INDEX(Acct2_Raw!$B$3:$BO$26,MATCH(Months_Ref!$A$6,Acct2_Raw!$A$3:$A$26,0),MATCH($A19,Acct2_Raw!$B$1:$BO$1,0))),0)</f>
        <v>2215.143</v>
      </c>
      <c r="M19" s="4">
        <f>IFERROR(IF(Months_Ref!$A$7="",0,INDEX(Acct2_Raw!$B$3:$BO$26,MATCH(Months_Ref!$A$7,Acct2_Raw!$A$3:$A$26,0),MATCH($A19,Acct2_Raw!$B$1:$BO$1,0))),0)</f>
        <v>1734.6890000000001</v>
      </c>
      <c r="N19" s="4">
        <f t="shared" si="0"/>
        <v>5806.9539999999997</v>
      </c>
      <c r="O19" s="4">
        <f t="shared" si="1"/>
        <v>5305.0360000000001</v>
      </c>
      <c r="P19" s="4">
        <f t="shared" si="2"/>
        <v>5501.9439999999995</v>
      </c>
      <c r="Q19" s="4">
        <f t="shared" si="3"/>
        <v>5776.0919999999996</v>
      </c>
      <c r="R19" s="4">
        <f t="shared" si="4"/>
        <v>5665.1689999999999</v>
      </c>
      <c r="S19" s="4">
        <f t="shared" si="5"/>
        <v>4734.4430000000002</v>
      </c>
    </row>
    <row r="20" spans="1:19" ht="15" customHeight="1" x14ac:dyDescent="0.25">
      <c r="A20" s="3" t="s">
        <v>33</v>
      </c>
      <c r="B20" s="4">
        <f>IFERROR(IF(Months_Ref!$A$2="",0,INDEX(Acct1_Raw!$B$3:$BO$26,MATCH(Months_Ref!$A$2,Acct1_Raw!$A$3:$A$26,0),MATCH($A20,Acct1_Raw!$B$1:$BO$1,0))),0)</f>
        <v>8962.6119999999992</v>
      </c>
      <c r="C20" s="4">
        <f>IFERROR(IF(Months_Ref!$A$3="",0,INDEX(Acct1_Raw!$B$3:$BO$26,MATCH(Months_Ref!$A$3,Acct1_Raw!$A$3:$A$26,0),MATCH($A20,Acct1_Raw!$B$1:$BO$1,0))),0)</f>
        <v>7070.7539999999999</v>
      </c>
      <c r="D20" s="4">
        <f>IFERROR(IF(Months_Ref!$A$4="",0,INDEX(Acct1_Raw!$B$3:$BO$26,MATCH(Months_Ref!$A$4,Acct1_Raw!$A$3:$A$26,0),MATCH($A20,Acct1_Raw!$B$1:$BO$1,0))),0)</f>
        <v>7914.299</v>
      </c>
      <c r="E20" s="4">
        <f>IFERROR(IF(Months_Ref!$A$5="",0,INDEX(Acct1_Raw!$B$3:$BO$26,MATCH(Months_Ref!$A$5,Acct1_Raw!$A$3:$A$26,0),MATCH($A20,Acct1_Raw!$B$1:$BO$1,0))),0)</f>
        <v>8347.5609999999997</v>
      </c>
      <c r="F20" s="4">
        <f>IFERROR(IF(Months_Ref!$A$6="",0,INDEX(Acct1_Raw!$B$3:$BO$26,MATCH(Months_Ref!$A$6,Acct1_Raw!$A$3:$A$26,0),MATCH($A20,Acct1_Raw!$B$1:$BO$1,0))),0)</f>
        <v>8698.8739999999998</v>
      </c>
      <c r="G20" s="4">
        <f>IFERROR(IF(Months_Ref!$A$7="",0,INDEX(Acct1_Raw!$B$3:$BO$26,MATCH(Months_Ref!$A$7,Acct1_Raw!$A$3:$A$26,0),MATCH($A20,Acct1_Raw!$B$1:$BO$1,0))),0)</f>
        <v>7692.0950000000003</v>
      </c>
      <c r="H20" s="4">
        <f>IFERROR(IF(Months_Ref!$A$2="",0,INDEX(Acct2_Raw!$B$3:$BO$26,MATCH(Months_Ref!$A$2,Acct2_Raw!$A$3:$A$26,0),MATCH($A20,Acct2_Raw!$B$1:$BO$1,0))),0)</f>
        <v>3803.23</v>
      </c>
      <c r="I20" s="4">
        <f>IFERROR(IF(Months_Ref!$A$3="",0,INDEX(Acct2_Raw!$B$3:$BO$26,MATCH(Months_Ref!$A$3,Acct2_Raw!$A$3:$A$26,0),MATCH($A20,Acct2_Raw!$B$1:$BO$1,0))),0)</f>
        <v>4400.5069999999996</v>
      </c>
      <c r="J20" s="4">
        <f>IFERROR(IF(Months_Ref!$A$4="",0,INDEX(Acct2_Raw!$B$3:$BO$26,MATCH(Months_Ref!$A$4,Acct2_Raw!$A$3:$A$26,0),MATCH($A20,Acct2_Raw!$B$1:$BO$1,0))),0)</f>
        <v>3638.7330000000002</v>
      </c>
      <c r="K20" s="4">
        <f>IFERROR(IF(Months_Ref!$A$5="",0,INDEX(Acct2_Raw!$B$3:$BO$26,MATCH(Months_Ref!$A$5,Acct2_Raw!$A$3:$A$26,0),MATCH($A20,Acct2_Raw!$B$1:$BO$1,0))),0)</f>
        <v>4119.1549999999997</v>
      </c>
      <c r="L20" s="4">
        <f>IFERROR(IF(Months_Ref!$A$6="",0,INDEX(Acct2_Raw!$B$3:$BO$26,MATCH(Months_Ref!$A$6,Acct2_Raw!$A$3:$A$26,0),MATCH($A20,Acct2_Raw!$B$1:$BO$1,0))),0)</f>
        <v>3835.288</v>
      </c>
      <c r="M20" s="4">
        <f>IFERROR(IF(Months_Ref!$A$7="",0,INDEX(Acct2_Raw!$B$3:$BO$26,MATCH(Months_Ref!$A$7,Acct2_Raw!$A$3:$A$26,0),MATCH($A20,Acct2_Raw!$B$1:$BO$1,0))),0)</f>
        <v>3870.402</v>
      </c>
      <c r="N20" s="4">
        <f t="shared" si="0"/>
        <v>12765.841999999999</v>
      </c>
      <c r="O20" s="4">
        <f t="shared" si="1"/>
        <v>11471.260999999999</v>
      </c>
      <c r="P20" s="4">
        <f t="shared" si="2"/>
        <v>11553.031999999999</v>
      </c>
      <c r="Q20" s="4">
        <f t="shared" si="3"/>
        <v>12466.716</v>
      </c>
      <c r="R20" s="4">
        <f t="shared" si="4"/>
        <v>12534.162</v>
      </c>
      <c r="S20" s="4">
        <f t="shared" si="5"/>
        <v>11562.496999999999</v>
      </c>
    </row>
    <row r="21" spans="1:19" ht="15" customHeight="1" x14ac:dyDescent="0.25">
      <c r="A21" s="3" t="s">
        <v>51</v>
      </c>
      <c r="B21" s="4">
        <f>IFERROR(IF(Months_Ref!$A$2="",0,INDEX(Acct1_Raw!$B$3:$BO$26,MATCH(Months_Ref!$A$2,Acct1_Raw!$A$3:$A$26,0),MATCH($A21,Acct1_Raw!$B$1:$BO$1,0))),0)</f>
        <v>6431.3739999999998</v>
      </c>
      <c r="C21" s="4">
        <f>IFERROR(IF(Months_Ref!$A$3="",0,INDEX(Acct1_Raw!$B$3:$BO$26,MATCH(Months_Ref!$A$3,Acct1_Raw!$A$3:$A$26,0),MATCH($A21,Acct1_Raw!$B$1:$BO$1,0))),0)</f>
        <v>5904.9440000000004</v>
      </c>
      <c r="D21" s="4">
        <f>IFERROR(IF(Months_Ref!$A$4="",0,INDEX(Acct1_Raw!$B$3:$BO$26,MATCH(Months_Ref!$A$4,Acct1_Raw!$A$3:$A$26,0),MATCH($A21,Acct1_Raw!$B$1:$BO$1,0))),0)</f>
        <v>6087.6109999999999</v>
      </c>
      <c r="E21" s="4">
        <f>IFERROR(IF(Months_Ref!$A$5="",0,INDEX(Acct1_Raw!$B$3:$BO$26,MATCH(Months_Ref!$A$5,Acct1_Raw!$A$3:$A$26,0),MATCH($A21,Acct1_Raw!$B$1:$BO$1,0))),0)</f>
        <v>5985.9179999999997</v>
      </c>
      <c r="F21" s="4">
        <f>IFERROR(IF(Months_Ref!$A$6="",0,INDEX(Acct1_Raw!$B$3:$BO$26,MATCH(Months_Ref!$A$6,Acct1_Raw!$A$3:$A$26,0),MATCH($A21,Acct1_Raw!$B$1:$BO$1,0))),0)</f>
        <v>5985.1090000000004</v>
      </c>
      <c r="G21" s="4">
        <f>IFERROR(IF(Months_Ref!$A$7="",0,INDEX(Acct1_Raw!$B$3:$BO$26,MATCH(Months_Ref!$A$7,Acct1_Raw!$A$3:$A$26,0),MATCH($A21,Acct1_Raw!$B$1:$BO$1,0))),0)</f>
        <v>6055.7920000000004</v>
      </c>
      <c r="H21" s="4">
        <f>IFERROR(IF(Months_Ref!$A$2="",0,INDEX(Acct2_Raw!$B$3:$BO$26,MATCH(Months_Ref!$A$2,Acct2_Raw!$A$3:$A$26,0),MATCH($A21,Acct2_Raw!$B$1:$BO$1,0))),0)</f>
        <v>12572.796</v>
      </c>
      <c r="I21" s="4">
        <f>IFERROR(IF(Months_Ref!$A$3="",0,INDEX(Acct2_Raw!$B$3:$BO$26,MATCH(Months_Ref!$A$3,Acct2_Raw!$A$3:$A$26,0),MATCH($A21,Acct2_Raw!$B$1:$BO$1,0))),0)</f>
        <v>15348.839</v>
      </c>
      <c r="J21" s="4">
        <f>IFERROR(IF(Months_Ref!$A$4="",0,INDEX(Acct2_Raw!$B$3:$BO$26,MATCH(Months_Ref!$A$4,Acct2_Raw!$A$3:$A$26,0),MATCH($A21,Acct2_Raw!$B$1:$BO$1,0))),0)</f>
        <v>12208.183000000001</v>
      </c>
      <c r="K21" s="4">
        <f>IFERROR(IF(Months_Ref!$A$5="",0,INDEX(Acct2_Raw!$B$3:$BO$26,MATCH(Months_Ref!$A$5,Acct2_Raw!$A$3:$A$26,0),MATCH($A21,Acct2_Raw!$B$1:$BO$1,0))),0)</f>
        <v>15740.205</v>
      </c>
      <c r="L21" s="4">
        <f>IFERROR(IF(Months_Ref!$A$6="",0,INDEX(Acct2_Raw!$B$3:$BO$26,MATCH(Months_Ref!$A$6,Acct2_Raw!$A$3:$A$26,0),MATCH($A21,Acct2_Raw!$B$1:$BO$1,0))),0)</f>
        <v>15782.985000000001</v>
      </c>
      <c r="M21" s="4">
        <f>IFERROR(IF(Months_Ref!$A$7="",0,INDEX(Acct2_Raw!$B$3:$BO$26,MATCH(Months_Ref!$A$7,Acct2_Raw!$A$3:$A$26,0),MATCH($A21,Acct2_Raw!$B$1:$BO$1,0))),0)</f>
        <v>13736.549000000001</v>
      </c>
      <c r="N21" s="4">
        <f t="shared" si="0"/>
        <v>19004.169999999998</v>
      </c>
      <c r="O21" s="4">
        <f t="shared" si="1"/>
        <v>21253.782999999999</v>
      </c>
      <c r="P21" s="4">
        <f t="shared" si="2"/>
        <v>18295.794000000002</v>
      </c>
      <c r="Q21" s="4">
        <f t="shared" si="3"/>
        <v>21726.123</v>
      </c>
      <c r="R21" s="4">
        <f t="shared" si="4"/>
        <v>21768.094000000001</v>
      </c>
      <c r="S21" s="4">
        <f t="shared" si="5"/>
        <v>19792.341</v>
      </c>
    </row>
    <row r="22" spans="1:19" ht="15" customHeight="1" x14ac:dyDescent="0.25">
      <c r="A22" s="3" t="s">
        <v>3</v>
      </c>
      <c r="B22" s="4">
        <f>IFERROR(IF(Months_Ref!$A$2="",0,INDEX(Acct1_Raw!$B$3:$BO$26,MATCH(Months_Ref!$A$2,Acct1_Raw!$A$3:$A$26,0),MATCH($A22,Acct1_Raw!$B$1:$BO$1,0))),0)</f>
        <v>3676.1170000000002</v>
      </c>
      <c r="C22" s="4">
        <f>IFERROR(IF(Months_Ref!$A$3="",0,INDEX(Acct1_Raw!$B$3:$BO$26,MATCH(Months_Ref!$A$3,Acct1_Raw!$A$3:$A$26,0),MATCH($A22,Acct1_Raw!$B$1:$BO$1,0))),0)</f>
        <v>4788.5820000000003</v>
      </c>
      <c r="D22" s="4">
        <f>IFERROR(IF(Months_Ref!$A$4="",0,INDEX(Acct1_Raw!$B$3:$BO$26,MATCH(Months_Ref!$A$4,Acct1_Raw!$A$3:$A$26,0),MATCH($A22,Acct1_Raw!$B$1:$BO$1,0))),0)</f>
        <v>4338.5820000000003</v>
      </c>
      <c r="E22" s="4">
        <f>IFERROR(IF(Months_Ref!$A$5="",0,INDEX(Acct1_Raw!$B$3:$BO$26,MATCH(Months_Ref!$A$5,Acct1_Raw!$A$3:$A$26,0),MATCH($A22,Acct1_Raw!$B$1:$BO$1,0))),0)</f>
        <v>4559.8509999999997</v>
      </c>
      <c r="F22" s="4">
        <f>IFERROR(IF(Months_Ref!$A$6="",0,INDEX(Acct1_Raw!$B$3:$BO$26,MATCH(Months_Ref!$A$6,Acct1_Raw!$A$3:$A$26,0),MATCH($A22,Acct1_Raw!$B$1:$BO$1,0))),0)</f>
        <v>4392.7700000000004</v>
      </c>
      <c r="G22" s="4">
        <f>IFERROR(IF(Months_Ref!$A$7="",0,INDEX(Acct1_Raw!$B$3:$BO$26,MATCH(Months_Ref!$A$7,Acct1_Raw!$A$3:$A$26,0),MATCH($A22,Acct1_Raw!$B$1:$BO$1,0))),0)</f>
        <v>4248.5039999999999</v>
      </c>
      <c r="H22" s="4">
        <f>IFERROR(IF(Months_Ref!$A$2="",0,INDEX(Acct2_Raw!$B$3:$BO$26,MATCH(Months_Ref!$A$2,Acct2_Raw!$A$3:$A$26,0),MATCH($A22,Acct2_Raw!$B$1:$BO$1,0))),0)</f>
        <v>7967.424</v>
      </c>
      <c r="I22" s="4">
        <f>IFERROR(IF(Months_Ref!$A$3="",0,INDEX(Acct2_Raw!$B$3:$BO$26,MATCH(Months_Ref!$A$3,Acct2_Raw!$A$3:$A$26,0),MATCH($A22,Acct2_Raw!$B$1:$BO$1,0))),0)</f>
        <v>6790.9319999999998</v>
      </c>
      <c r="J22" s="4">
        <f>IFERROR(IF(Months_Ref!$A$4="",0,INDEX(Acct2_Raw!$B$3:$BO$26,MATCH(Months_Ref!$A$4,Acct2_Raw!$A$3:$A$26,0),MATCH($A22,Acct2_Raw!$B$1:$BO$1,0))),0)</f>
        <v>6863.1459999999997</v>
      </c>
      <c r="K22" s="4">
        <f>IFERROR(IF(Months_Ref!$A$5="",0,INDEX(Acct2_Raw!$B$3:$BO$26,MATCH(Months_Ref!$A$5,Acct2_Raw!$A$3:$A$26,0),MATCH($A22,Acct2_Raw!$B$1:$BO$1,0))),0)</f>
        <v>8061.7650000000003</v>
      </c>
      <c r="L22" s="4">
        <f>IFERROR(IF(Months_Ref!$A$6="",0,INDEX(Acct2_Raw!$B$3:$BO$26,MATCH(Months_Ref!$A$6,Acct2_Raw!$A$3:$A$26,0),MATCH($A22,Acct2_Raw!$B$1:$BO$1,0))),0)</f>
        <v>7116.2439999999997</v>
      </c>
      <c r="M22" s="4">
        <f>IFERROR(IF(Months_Ref!$A$7="",0,INDEX(Acct2_Raw!$B$3:$BO$26,MATCH(Months_Ref!$A$7,Acct2_Raw!$A$3:$A$26,0),MATCH($A22,Acct2_Raw!$B$1:$BO$1,0))),0)</f>
        <v>8175.5119999999997</v>
      </c>
      <c r="N22" s="4">
        <f t="shared" si="0"/>
        <v>11643.541000000001</v>
      </c>
      <c r="O22" s="4">
        <f t="shared" si="1"/>
        <v>11579.513999999999</v>
      </c>
      <c r="P22" s="4">
        <f t="shared" si="2"/>
        <v>11201.727999999999</v>
      </c>
      <c r="Q22" s="4">
        <f t="shared" si="3"/>
        <v>12621.616</v>
      </c>
      <c r="R22" s="4">
        <f t="shared" si="4"/>
        <v>11509.013999999999</v>
      </c>
      <c r="S22" s="4">
        <f t="shared" si="5"/>
        <v>12424.016</v>
      </c>
    </row>
    <row r="23" spans="1:19" ht="15" customHeight="1" x14ac:dyDescent="0.25">
      <c r="A23" s="3" t="s">
        <v>65</v>
      </c>
      <c r="B23" s="4">
        <f>IFERROR(IF(Months_Ref!$A$2="",0,INDEX(Acct1_Raw!$B$3:$BO$26,MATCH(Months_Ref!$A$2,Acct1_Raw!$A$3:$A$26,0),MATCH($A23,Acct1_Raw!$B$1:$BO$1,0))),0)</f>
        <v>12849.606</v>
      </c>
      <c r="C23" s="4">
        <f>IFERROR(IF(Months_Ref!$A$3="",0,INDEX(Acct1_Raw!$B$3:$BO$26,MATCH(Months_Ref!$A$3,Acct1_Raw!$A$3:$A$26,0),MATCH($A23,Acct1_Raw!$B$1:$BO$1,0))),0)</f>
        <v>12163.016</v>
      </c>
      <c r="D23" s="4">
        <f>IFERROR(IF(Months_Ref!$A$4="",0,INDEX(Acct1_Raw!$B$3:$BO$26,MATCH(Months_Ref!$A$4,Acct1_Raw!$A$3:$A$26,0),MATCH($A23,Acct1_Raw!$B$1:$BO$1,0))),0)</f>
        <v>13806.245999999999</v>
      </c>
      <c r="E23" s="4">
        <f>IFERROR(IF(Months_Ref!$A$5="",0,INDEX(Acct1_Raw!$B$3:$BO$26,MATCH(Months_Ref!$A$5,Acct1_Raw!$A$3:$A$26,0),MATCH($A23,Acct1_Raw!$B$1:$BO$1,0))),0)</f>
        <v>10761.261</v>
      </c>
      <c r="F23" s="4">
        <f>IFERROR(IF(Months_Ref!$A$6="",0,INDEX(Acct1_Raw!$B$3:$BO$26,MATCH(Months_Ref!$A$6,Acct1_Raw!$A$3:$A$26,0),MATCH($A23,Acct1_Raw!$B$1:$BO$1,0))),0)</f>
        <v>11053.966</v>
      </c>
      <c r="G23" s="4">
        <f>IFERROR(IF(Months_Ref!$A$7="",0,INDEX(Acct1_Raw!$B$3:$BO$26,MATCH(Months_Ref!$A$7,Acct1_Raw!$A$3:$A$26,0),MATCH($A23,Acct1_Raw!$B$1:$BO$1,0))),0)</f>
        <v>14365.915999999999</v>
      </c>
      <c r="H23" s="4">
        <f>IFERROR(IF(Months_Ref!$A$2="",0,INDEX(Acct2_Raw!$B$3:$BO$26,MATCH(Months_Ref!$A$2,Acct2_Raw!$A$3:$A$26,0),MATCH($A23,Acct2_Raw!$B$1:$BO$1,0))),0)</f>
        <v>13090.781999999999</v>
      </c>
      <c r="I23" s="4">
        <f>IFERROR(IF(Months_Ref!$A$3="",0,INDEX(Acct2_Raw!$B$3:$BO$26,MATCH(Months_Ref!$A$3,Acct2_Raw!$A$3:$A$26,0),MATCH($A23,Acct2_Raw!$B$1:$BO$1,0))),0)</f>
        <v>14413.817999999999</v>
      </c>
      <c r="J23" s="4">
        <f>IFERROR(IF(Months_Ref!$A$4="",0,INDEX(Acct2_Raw!$B$3:$BO$26,MATCH(Months_Ref!$A$4,Acct2_Raw!$A$3:$A$26,0),MATCH($A23,Acct2_Raw!$B$1:$BO$1,0))),0)</f>
        <v>14765.119000000001</v>
      </c>
      <c r="K23" s="4">
        <f>IFERROR(IF(Months_Ref!$A$5="",0,INDEX(Acct2_Raw!$B$3:$BO$26,MATCH(Months_Ref!$A$5,Acct2_Raw!$A$3:$A$26,0),MATCH($A23,Acct2_Raw!$B$1:$BO$1,0))),0)</f>
        <v>12797.589</v>
      </c>
      <c r="L23" s="4">
        <f>IFERROR(IF(Months_Ref!$A$6="",0,INDEX(Acct2_Raw!$B$3:$BO$26,MATCH(Months_Ref!$A$6,Acct2_Raw!$A$3:$A$26,0),MATCH($A23,Acct2_Raw!$B$1:$BO$1,0))),0)</f>
        <v>13303.025</v>
      </c>
      <c r="M23" s="4">
        <f>IFERROR(IF(Months_Ref!$A$7="",0,INDEX(Acct2_Raw!$B$3:$BO$26,MATCH(Months_Ref!$A$7,Acct2_Raw!$A$3:$A$26,0),MATCH($A23,Acct2_Raw!$B$1:$BO$1,0))),0)</f>
        <v>13517.198</v>
      </c>
      <c r="N23" s="4">
        <f t="shared" si="0"/>
        <v>25940.387999999999</v>
      </c>
      <c r="O23" s="4">
        <f t="shared" si="1"/>
        <v>26576.833999999999</v>
      </c>
      <c r="P23" s="4">
        <f t="shared" si="2"/>
        <v>28571.364999999998</v>
      </c>
      <c r="Q23" s="4">
        <f t="shared" si="3"/>
        <v>23558.85</v>
      </c>
      <c r="R23" s="4">
        <f t="shared" si="4"/>
        <v>24356.991000000002</v>
      </c>
      <c r="S23" s="4">
        <f t="shared" si="5"/>
        <v>27883.114000000001</v>
      </c>
    </row>
    <row r="24" spans="1:19" ht="15" customHeight="1" x14ac:dyDescent="0.25">
      <c r="A24" s="3" t="s">
        <v>18</v>
      </c>
      <c r="B24" s="4">
        <f>IFERROR(IF(Months_Ref!$A$2="",0,INDEX(Acct1_Raw!$B$3:$BO$26,MATCH(Months_Ref!$A$2,Acct1_Raw!$A$3:$A$26,0),MATCH($A24,Acct1_Raw!$B$1:$BO$1,0))),0)</f>
        <v>8378.4680000000008</v>
      </c>
      <c r="C24" s="4">
        <f>IFERROR(IF(Months_Ref!$A$3="",0,INDEX(Acct1_Raw!$B$3:$BO$26,MATCH(Months_Ref!$A$3,Acct1_Raw!$A$3:$A$26,0),MATCH($A24,Acct1_Raw!$B$1:$BO$1,0))),0)</f>
        <v>10199.873</v>
      </c>
      <c r="D24" s="4">
        <f>IFERROR(IF(Months_Ref!$A$4="",0,INDEX(Acct1_Raw!$B$3:$BO$26,MATCH(Months_Ref!$A$4,Acct1_Raw!$A$3:$A$26,0),MATCH($A24,Acct1_Raw!$B$1:$BO$1,0))),0)</f>
        <v>8090.4369999999999</v>
      </c>
      <c r="E24" s="4">
        <f>IFERROR(IF(Months_Ref!$A$5="",0,INDEX(Acct1_Raw!$B$3:$BO$26,MATCH(Months_Ref!$A$5,Acct1_Raw!$A$3:$A$26,0),MATCH($A24,Acct1_Raw!$B$1:$BO$1,0))),0)</f>
        <v>8291.6440000000002</v>
      </c>
      <c r="F24" s="4">
        <f>IFERROR(IF(Months_Ref!$A$6="",0,INDEX(Acct1_Raw!$B$3:$BO$26,MATCH(Months_Ref!$A$6,Acct1_Raw!$A$3:$A$26,0),MATCH($A24,Acct1_Raw!$B$1:$BO$1,0))),0)</f>
        <v>8146.4970000000003</v>
      </c>
      <c r="G24" s="4">
        <f>IFERROR(IF(Months_Ref!$A$7="",0,INDEX(Acct1_Raw!$B$3:$BO$26,MATCH(Months_Ref!$A$7,Acct1_Raw!$A$3:$A$26,0),MATCH($A24,Acct1_Raw!$B$1:$BO$1,0))),0)</f>
        <v>9587.607</v>
      </c>
      <c r="H24" s="4">
        <f>IFERROR(IF(Months_Ref!$A$2="",0,INDEX(Acct2_Raw!$B$3:$BO$26,MATCH(Months_Ref!$A$2,Acct2_Raw!$A$3:$A$26,0),MATCH($A24,Acct2_Raw!$B$1:$BO$1,0))),0)</f>
        <v>13331.391</v>
      </c>
      <c r="I24" s="4">
        <f>IFERROR(IF(Months_Ref!$A$3="",0,INDEX(Acct2_Raw!$B$3:$BO$26,MATCH(Months_Ref!$A$3,Acct2_Raw!$A$3:$A$26,0),MATCH($A24,Acct2_Raw!$B$1:$BO$1,0))),0)</f>
        <v>12849.22</v>
      </c>
      <c r="J24" s="4">
        <f>IFERROR(IF(Months_Ref!$A$4="",0,INDEX(Acct2_Raw!$B$3:$BO$26,MATCH(Months_Ref!$A$4,Acct2_Raw!$A$3:$A$26,0),MATCH($A24,Acct2_Raw!$B$1:$BO$1,0))),0)</f>
        <v>15107.134</v>
      </c>
      <c r="K24" s="4">
        <f>IFERROR(IF(Months_Ref!$A$5="",0,INDEX(Acct2_Raw!$B$3:$BO$26,MATCH(Months_Ref!$A$5,Acct2_Raw!$A$3:$A$26,0),MATCH($A24,Acct2_Raw!$B$1:$BO$1,0))),0)</f>
        <v>14060.159</v>
      </c>
      <c r="L24" s="4">
        <f>IFERROR(IF(Months_Ref!$A$6="",0,INDEX(Acct2_Raw!$B$3:$BO$26,MATCH(Months_Ref!$A$6,Acct2_Raw!$A$3:$A$26,0),MATCH($A24,Acct2_Raw!$B$1:$BO$1,0))),0)</f>
        <v>12775.281999999999</v>
      </c>
      <c r="M24" s="4">
        <f>IFERROR(IF(Months_Ref!$A$7="",0,INDEX(Acct2_Raw!$B$3:$BO$26,MATCH(Months_Ref!$A$7,Acct2_Raw!$A$3:$A$26,0),MATCH($A24,Acct2_Raw!$B$1:$BO$1,0))),0)</f>
        <v>15251.638999999999</v>
      </c>
      <c r="N24" s="4">
        <f t="shared" si="0"/>
        <v>21709.859</v>
      </c>
      <c r="O24" s="4">
        <f t="shared" si="1"/>
        <v>23049.093000000001</v>
      </c>
      <c r="P24" s="4">
        <f t="shared" si="2"/>
        <v>23197.571</v>
      </c>
      <c r="Q24" s="4">
        <f t="shared" si="3"/>
        <v>22351.803</v>
      </c>
      <c r="R24" s="4">
        <f t="shared" si="4"/>
        <v>20921.778999999999</v>
      </c>
      <c r="S24" s="4">
        <f t="shared" si="5"/>
        <v>24839.245999999999</v>
      </c>
    </row>
    <row r="25" spans="1:19" ht="15" customHeight="1" x14ac:dyDescent="0.25">
      <c r="A25" s="3" t="s">
        <v>12</v>
      </c>
      <c r="B25" s="4">
        <f>IFERROR(IF(Months_Ref!$A$2="",0,INDEX(Acct1_Raw!$B$3:$BO$26,MATCH(Months_Ref!$A$2,Acct1_Raw!$A$3:$A$26,0),MATCH($A25,Acct1_Raw!$B$1:$BO$1,0))),0)</f>
        <v>8482.27</v>
      </c>
      <c r="C25" s="4">
        <f>IFERROR(IF(Months_Ref!$A$3="",0,INDEX(Acct1_Raw!$B$3:$BO$26,MATCH(Months_Ref!$A$3,Acct1_Raw!$A$3:$A$26,0),MATCH($A25,Acct1_Raw!$B$1:$BO$1,0))),0)</f>
        <v>8740.6360000000004</v>
      </c>
      <c r="D25" s="4">
        <f>IFERROR(IF(Months_Ref!$A$4="",0,INDEX(Acct1_Raw!$B$3:$BO$26,MATCH(Months_Ref!$A$4,Acct1_Raw!$A$3:$A$26,0),MATCH($A25,Acct1_Raw!$B$1:$BO$1,0))),0)</f>
        <v>6749.5339999999997</v>
      </c>
      <c r="E25" s="4">
        <f>IFERROR(IF(Months_Ref!$A$5="",0,INDEX(Acct1_Raw!$B$3:$BO$26,MATCH(Months_Ref!$A$5,Acct1_Raw!$A$3:$A$26,0),MATCH($A25,Acct1_Raw!$B$1:$BO$1,0))),0)</f>
        <v>7006.277</v>
      </c>
      <c r="F25" s="4">
        <f>IFERROR(IF(Months_Ref!$A$6="",0,INDEX(Acct1_Raw!$B$3:$BO$26,MATCH(Months_Ref!$A$6,Acct1_Raw!$A$3:$A$26,0),MATCH($A25,Acct1_Raw!$B$1:$BO$1,0))),0)</f>
        <v>7665.1620000000003</v>
      </c>
      <c r="G25" s="4">
        <f>IFERROR(IF(Months_Ref!$A$7="",0,INDEX(Acct1_Raw!$B$3:$BO$26,MATCH(Months_Ref!$A$7,Acct1_Raw!$A$3:$A$26,0),MATCH($A25,Acct1_Raw!$B$1:$BO$1,0))),0)</f>
        <v>6958.7560000000003</v>
      </c>
      <c r="H25" s="4">
        <f>IFERROR(IF(Months_Ref!$A$2="",0,INDEX(Acct2_Raw!$B$3:$BO$26,MATCH(Months_Ref!$A$2,Acct2_Raw!$A$3:$A$26,0),MATCH($A25,Acct2_Raw!$B$1:$BO$1,0))),0)</f>
        <v>9124.3850000000002</v>
      </c>
      <c r="I25" s="4">
        <f>IFERROR(IF(Months_Ref!$A$3="",0,INDEX(Acct2_Raw!$B$3:$BO$26,MATCH(Months_Ref!$A$3,Acct2_Raw!$A$3:$A$26,0),MATCH($A25,Acct2_Raw!$B$1:$BO$1,0))),0)</f>
        <v>7779.7389999999996</v>
      </c>
      <c r="J25" s="4">
        <f>IFERROR(IF(Months_Ref!$A$4="",0,INDEX(Acct2_Raw!$B$3:$BO$26,MATCH(Months_Ref!$A$4,Acct2_Raw!$A$3:$A$26,0),MATCH($A25,Acct2_Raw!$B$1:$BO$1,0))),0)</f>
        <v>6905.741</v>
      </c>
      <c r="K25" s="4">
        <f>IFERROR(IF(Months_Ref!$A$5="",0,INDEX(Acct2_Raw!$B$3:$BO$26,MATCH(Months_Ref!$A$5,Acct2_Raw!$A$3:$A$26,0),MATCH($A25,Acct2_Raw!$B$1:$BO$1,0))),0)</f>
        <v>7984.7610000000004</v>
      </c>
      <c r="L25" s="4">
        <f>IFERROR(IF(Months_Ref!$A$6="",0,INDEX(Acct2_Raw!$B$3:$BO$26,MATCH(Months_Ref!$A$6,Acct2_Raw!$A$3:$A$26,0),MATCH($A25,Acct2_Raw!$B$1:$BO$1,0))),0)</f>
        <v>9110.2880000000005</v>
      </c>
      <c r="M25" s="4">
        <f>IFERROR(IF(Months_Ref!$A$7="",0,INDEX(Acct2_Raw!$B$3:$BO$26,MATCH(Months_Ref!$A$7,Acct2_Raw!$A$3:$A$26,0),MATCH($A25,Acct2_Raw!$B$1:$BO$1,0))),0)</f>
        <v>7703.7719999999999</v>
      </c>
      <c r="N25" s="4">
        <f t="shared" si="0"/>
        <v>17606.654999999999</v>
      </c>
      <c r="O25" s="4">
        <f t="shared" si="1"/>
        <v>16520.375</v>
      </c>
      <c r="P25" s="4">
        <f t="shared" si="2"/>
        <v>13655.275</v>
      </c>
      <c r="Q25" s="4">
        <f t="shared" si="3"/>
        <v>14991.038</v>
      </c>
      <c r="R25" s="4">
        <f t="shared" si="4"/>
        <v>16775.45</v>
      </c>
      <c r="S25" s="4">
        <f t="shared" si="5"/>
        <v>14662.528</v>
      </c>
    </row>
    <row r="26" spans="1:19" ht="15" customHeight="1" x14ac:dyDescent="0.25">
      <c r="A26" s="3" t="s">
        <v>5</v>
      </c>
      <c r="B26" s="4">
        <f>IFERROR(IF(Months_Ref!$A$2="",0,INDEX(Acct1_Raw!$B$3:$BO$26,MATCH(Months_Ref!$A$2,Acct1_Raw!$A$3:$A$26,0),MATCH($A26,Acct1_Raw!$B$1:$BO$1,0))),0)</f>
        <v>9642.3340000000007</v>
      </c>
      <c r="C26" s="4">
        <f>IFERROR(IF(Months_Ref!$A$3="",0,INDEX(Acct1_Raw!$B$3:$BO$26,MATCH(Months_Ref!$A$3,Acct1_Raw!$A$3:$A$26,0),MATCH($A26,Acct1_Raw!$B$1:$BO$1,0))),0)</f>
        <v>12231.798000000001</v>
      </c>
      <c r="D26" s="4">
        <f>IFERROR(IF(Months_Ref!$A$4="",0,INDEX(Acct1_Raw!$B$3:$BO$26,MATCH(Months_Ref!$A$4,Acct1_Raw!$A$3:$A$26,0),MATCH($A26,Acct1_Raw!$B$1:$BO$1,0))),0)</f>
        <v>11584.933999999999</v>
      </c>
      <c r="E26" s="4">
        <f>IFERROR(IF(Months_Ref!$A$5="",0,INDEX(Acct1_Raw!$B$3:$BO$26,MATCH(Months_Ref!$A$5,Acct1_Raw!$A$3:$A$26,0),MATCH($A26,Acct1_Raw!$B$1:$BO$1,0))),0)</f>
        <v>12309.769</v>
      </c>
      <c r="F26" s="4">
        <f>IFERROR(IF(Months_Ref!$A$6="",0,INDEX(Acct1_Raw!$B$3:$BO$26,MATCH(Months_Ref!$A$6,Acct1_Raw!$A$3:$A$26,0),MATCH($A26,Acct1_Raw!$B$1:$BO$1,0))),0)</f>
        <v>10881.273999999999</v>
      </c>
      <c r="G26" s="4">
        <f>IFERROR(IF(Months_Ref!$A$7="",0,INDEX(Acct1_Raw!$B$3:$BO$26,MATCH(Months_Ref!$A$7,Acct1_Raw!$A$3:$A$26,0),MATCH($A26,Acct1_Raw!$B$1:$BO$1,0))),0)</f>
        <v>10180.665000000001</v>
      </c>
      <c r="H26" s="4">
        <f>IFERROR(IF(Months_Ref!$A$2="",0,INDEX(Acct2_Raw!$B$3:$BO$26,MATCH(Months_Ref!$A$2,Acct2_Raw!$A$3:$A$26,0),MATCH($A26,Acct2_Raw!$B$1:$BO$1,0))),0)</f>
        <v>5133.4189999999999</v>
      </c>
      <c r="I26" s="4">
        <f>IFERROR(IF(Months_Ref!$A$3="",0,INDEX(Acct2_Raw!$B$3:$BO$26,MATCH(Months_Ref!$A$3,Acct2_Raw!$A$3:$A$26,0),MATCH($A26,Acct2_Raw!$B$1:$BO$1,0))),0)</f>
        <v>5149.7370000000001</v>
      </c>
      <c r="J26" s="4">
        <f>IFERROR(IF(Months_Ref!$A$4="",0,INDEX(Acct2_Raw!$B$3:$BO$26,MATCH(Months_Ref!$A$4,Acct2_Raw!$A$3:$A$26,0),MATCH($A26,Acct2_Raw!$B$1:$BO$1,0))),0)</f>
        <v>4553.4870000000001</v>
      </c>
      <c r="K26" s="4">
        <f>IFERROR(IF(Months_Ref!$A$5="",0,INDEX(Acct2_Raw!$B$3:$BO$26,MATCH(Months_Ref!$A$5,Acct2_Raw!$A$3:$A$26,0),MATCH($A26,Acct2_Raw!$B$1:$BO$1,0))),0)</f>
        <v>5139.0450000000001</v>
      </c>
      <c r="L26" s="4">
        <f>IFERROR(IF(Months_Ref!$A$6="",0,INDEX(Acct2_Raw!$B$3:$BO$26,MATCH(Months_Ref!$A$6,Acct2_Raw!$A$3:$A$26,0),MATCH($A26,Acct2_Raw!$B$1:$BO$1,0))),0)</f>
        <v>5282.0630000000001</v>
      </c>
      <c r="M26" s="4">
        <f>IFERROR(IF(Months_Ref!$A$7="",0,INDEX(Acct2_Raw!$B$3:$BO$26,MATCH(Months_Ref!$A$7,Acct2_Raw!$A$3:$A$26,0),MATCH($A26,Acct2_Raw!$B$1:$BO$1,0))),0)</f>
        <v>5755.1229999999996</v>
      </c>
      <c r="N26" s="4">
        <f t="shared" si="0"/>
        <v>14775.753000000001</v>
      </c>
      <c r="O26" s="4">
        <f t="shared" si="1"/>
        <v>17381.535</v>
      </c>
      <c r="P26" s="4">
        <f t="shared" si="2"/>
        <v>16138.420999999998</v>
      </c>
      <c r="Q26" s="4">
        <f t="shared" si="3"/>
        <v>17448.813999999998</v>
      </c>
      <c r="R26" s="4">
        <f t="shared" si="4"/>
        <v>16163.337</v>
      </c>
      <c r="S26" s="4">
        <f t="shared" si="5"/>
        <v>15935.788</v>
      </c>
    </row>
    <row r="27" spans="1:19" ht="15" customHeight="1" x14ac:dyDescent="0.25">
      <c r="A27" s="3" t="s">
        <v>16</v>
      </c>
      <c r="B27" s="4">
        <f>IFERROR(IF(Months_Ref!$A$2="",0,INDEX(Acct1_Raw!$B$3:$BO$26,MATCH(Months_Ref!$A$2,Acct1_Raw!$A$3:$A$26,0),MATCH($A27,Acct1_Raw!$B$1:$BO$1,0))),0)</f>
        <v>8786.6119999999992</v>
      </c>
      <c r="C27" s="4">
        <f>IFERROR(IF(Months_Ref!$A$3="",0,INDEX(Acct1_Raw!$B$3:$BO$26,MATCH(Months_Ref!$A$3,Acct1_Raw!$A$3:$A$26,0),MATCH($A27,Acct1_Raw!$B$1:$BO$1,0))),0)</f>
        <v>8029.7730000000001</v>
      </c>
      <c r="D27" s="4">
        <f>IFERROR(IF(Months_Ref!$A$4="",0,INDEX(Acct1_Raw!$B$3:$BO$26,MATCH(Months_Ref!$A$4,Acct1_Raw!$A$3:$A$26,0),MATCH($A27,Acct1_Raw!$B$1:$BO$1,0))),0)</f>
        <v>8478.1270000000004</v>
      </c>
      <c r="E27" s="4">
        <f>IFERROR(IF(Months_Ref!$A$5="",0,INDEX(Acct1_Raw!$B$3:$BO$26,MATCH(Months_Ref!$A$5,Acct1_Raw!$A$3:$A$26,0),MATCH($A27,Acct1_Raw!$B$1:$BO$1,0))),0)</f>
        <v>9118.0820000000003</v>
      </c>
      <c r="F27" s="4">
        <f>IFERROR(IF(Months_Ref!$A$6="",0,INDEX(Acct1_Raw!$B$3:$BO$26,MATCH(Months_Ref!$A$6,Acct1_Raw!$A$3:$A$26,0),MATCH($A27,Acct1_Raw!$B$1:$BO$1,0))),0)</f>
        <v>8838.9069999999992</v>
      </c>
      <c r="G27" s="4">
        <f>IFERROR(IF(Months_Ref!$A$7="",0,INDEX(Acct1_Raw!$B$3:$BO$26,MATCH(Months_Ref!$A$7,Acct1_Raw!$A$3:$A$26,0),MATCH($A27,Acct1_Raw!$B$1:$BO$1,0))),0)</f>
        <v>8701.7659999999996</v>
      </c>
      <c r="H27" s="4">
        <f>IFERROR(IF(Months_Ref!$A$2="",0,INDEX(Acct2_Raw!$B$3:$BO$26,MATCH(Months_Ref!$A$2,Acct2_Raw!$A$3:$A$26,0),MATCH($A27,Acct2_Raw!$B$1:$BO$1,0))),0)</f>
        <v>4912.8130000000001</v>
      </c>
      <c r="I27" s="4">
        <f>IFERROR(IF(Months_Ref!$A$3="",0,INDEX(Acct2_Raw!$B$3:$BO$26,MATCH(Months_Ref!$A$3,Acct2_Raw!$A$3:$A$26,0),MATCH($A27,Acct2_Raw!$B$1:$BO$1,0))),0)</f>
        <v>4420.5020000000004</v>
      </c>
      <c r="J27" s="4">
        <f>IFERROR(IF(Months_Ref!$A$4="",0,INDEX(Acct2_Raw!$B$3:$BO$26,MATCH(Months_Ref!$A$4,Acct2_Raw!$A$3:$A$26,0),MATCH($A27,Acct2_Raw!$B$1:$BO$1,0))),0)</f>
        <v>4774.3360000000002</v>
      </c>
      <c r="K27" s="4">
        <f>IFERROR(IF(Months_Ref!$A$5="",0,INDEX(Acct2_Raw!$B$3:$BO$26,MATCH(Months_Ref!$A$5,Acct2_Raw!$A$3:$A$26,0),MATCH($A27,Acct2_Raw!$B$1:$BO$1,0))),0)</f>
        <v>4126.6540000000005</v>
      </c>
      <c r="L27" s="4">
        <f>IFERROR(IF(Months_Ref!$A$6="",0,INDEX(Acct2_Raw!$B$3:$BO$26,MATCH(Months_Ref!$A$6,Acct2_Raw!$A$3:$A$26,0),MATCH($A27,Acct2_Raw!$B$1:$BO$1,0))),0)</f>
        <v>5215.5349999999999</v>
      </c>
      <c r="M27" s="4">
        <f>IFERROR(IF(Months_Ref!$A$7="",0,INDEX(Acct2_Raw!$B$3:$BO$26,MATCH(Months_Ref!$A$7,Acct2_Raw!$A$3:$A$26,0),MATCH($A27,Acct2_Raw!$B$1:$BO$1,0))),0)</f>
        <v>4898.09</v>
      </c>
      <c r="N27" s="4">
        <f t="shared" si="0"/>
        <v>13699.424999999999</v>
      </c>
      <c r="O27" s="4">
        <f t="shared" si="1"/>
        <v>12450.275000000001</v>
      </c>
      <c r="P27" s="4">
        <f t="shared" si="2"/>
        <v>13252.463</v>
      </c>
      <c r="Q27" s="4">
        <f t="shared" si="3"/>
        <v>13244.736000000001</v>
      </c>
      <c r="R27" s="4">
        <f t="shared" si="4"/>
        <v>14054.441999999999</v>
      </c>
      <c r="S27" s="4">
        <f t="shared" si="5"/>
        <v>13599.856</v>
      </c>
    </row>
    <row r="28" spans="1:19" ht="15" customHeight="1" x14ac:dyDescent="0.25">
      <c r="A28" s="3" t="s">
        <v>14</v>
      </c>
      <c r="B28" s="4">
        <f>IFERROR(IF(Months_Ref!$A$2="",0,INDEX(Acct1_Raw!$B$3:$BO$26,MATCH(Months_Ref!$A$2,Acct1_Raw!$A$3:$A$26,0),MATCH($A28,Acct1_Raw!$B$1:$BO$1,0))),0)</f>
        <v>2797.88</v>
      </c>
      <c r="C28" s="4">
        <f>IFERROR(IF(Months_Ref!$A$3="",0,INDEX(Acct1_Raw!$B$3:$BO$26,MATCH(Months_Ref!$A$3,Acct1_Raw!$A$3:$A$26,0),MATCH($A28,Acct1_Raw!$B$1:$BO$1,0))),0)</f>
        <v>3323.6860000000001</v>
      </c>
      <c r="D28" s="4">
        <f>IFERROR(IF(Months_Ref!$A$4="",0,INDEX(Acct1_Raw!$B$3:$BO$26,MATCH(Months_Ref!$A$4,Acct1_Raw!$A$3:$A$26,0),MATCH($A28,Acct1_Raw!$B$1:$BO$1,0))),0)</f>
        <v>3111.5830000000001</v>
      </c>
      <c r="E28" s="4">
        <f>IFERROR(IF(Months_Ref!$A$5="",0,INDEX(Acct1_Raw!$B$3:$BO$26,MATCH(Months_Ref!$A$5,Acct1_Raw!$A$3:$A$26,0),MATCH($A28,Acct1_Raw!$B$1:$BO$1,0))),0)</f>
        <v>2780.7269999999999</v>
      </c>
      <c r="F28" s="4">
        <f>IFERROR(IF(Months_Ref!$A$6="",0,INDEX(Acct1_Raw!$B$3:$BO$26,MATCH(Months_Ref!$A$6,Acct1_Raw!$A$3:$A$26,0),MATCH($A28,Acct1_Raw!$B$1:$BO$1,0))),0)</f>
        <v>2911.2510000000002</v>
      </c>
      <c r="G28" s="4">
        <f>IFERROR(IF(Months_Ref!$A$7="",0,INDEX(Acct1_Raw!$B$3:$BO$26,MATCH(Months_Ref!$A$7,Acct1_Raw!$A$3:$A$26,0),MATCH($A28,Acct1_Raw!$B$1:$BO$1,0))),0)</f>
        <v>3434.6480000000001</v>
      </c>
      <c r="H28" s="4">
        <f>IFERROR(IF(Months_Ref!$A$2="",0,INDEX(Acct2_Raw!$B$3:$BO$26,MATCH(Months_Ref!$A$2,Acct2_Raw!$A$3:$A$26,0),MATCH($A28,Acct2_Raw!$B$1:$BO$1,0))),0)</f>
        <v>3314.0259999999998</v>
      </c>
      <c r="I28" s="4">
        <f>IFERROR(IF(Months_Ref!$A$3="",0,INDEX(Acct2_Raw!$B$3:$BO$26,MATCH(Months_Ref!$A$3,Acct2_Raw!$A$3:$A$26,0),MATCH($A28,Acct2_Raw!$B$1:$BO$1,0))),0)</f>
        <v>3377.53</v>
      </c>
      <c r="J28" s="4">
        <f>IFERROR(IF(Months_Ref!$A$4="",0,INDEX(Acct2_Raw!$B$3:$BO$26,MATCH(Months_Ref!$A$4,Acct2_Raw!$A$3:$A$26,0),MATCH($A28,Acct2_Raw!$B$1:$BO$1,0))),0)</f>
        <v>3319.038</v>
      </c>
      <c r="K28" s="4">
        <f>IFERROR(IF(Months_Ref!$A$5="",0,INDEX(Acct2_Raw!$B$3:$BO$26,MATCH(Months_Ref!$A$5,Acct2_Raw!$A$3:$A$26,0),MATCH($A28,Acct2_Raw!$B$1:$BO$1,0))),0)</f>
        <v>4352.3959999999997</v>
      </c>
      <c r="L28" s="4">
        <f>IFERROR(IF(Months_Ref!$A$6="",0,INDEX(Acct2_Raw!$B$3:$BO$26,MATCH(Months_Ref!$A$6,Acct2_Raw!$A$3:$A$26,0),MATCH($A28,Acct2_Raw!$B$1:$BO$1,0))),0)</f>
        <v>4083.0430000000001</v>
      </c>
      <c r="M28" s="4">
        <f>IFERROR(IF(Months_Ref!$A$7="",0,INDEX(Acct2_Raw!$B$3:$BO$26,MATCH(Months_Ref!$A$7,Acct2_Raw!$A$3:$A$26,0),MATCH($A28,Acct2_Raw!$B$1:$BO$1,0))),0)</f>
        <v>3905.578</v>
      </c>
      <c r="N28" s="4">
        <f t="shared" si="0"/>
        <v>6111.9059999999999</v>
      </c>
      <c r="O28" s="4">
        <f t="shared" si="1"/>
        <v>6701.2160000000003</v>
      </c>
      <c r="P28" s="4">
        <f t="shared" si="2"/>
        <v>6430.6210000000001</v>
      </c>
      <c r="Q28" s="4">
        <f t="shared" si="3"/>
        <v>7133.1229999999996</v>
      </c>
      <c r="R28" s="4">
        <f t="shared" si="4"/>
        <v>6994.2939999999999</v>
      </c>
      <c r="S28" s="4">
        <f t="shared" si="5"/>
        <v>7340.2260000000006</v>
      </c>
    </row>
    <row r="29" spans="1:19" ht="15" customHeight="1" x14ac:dyDescent="0.25">
      <c r="A29" s="3" t="s">
        <v>15</v>
      </c>
      <c r="B29" s="4">
        <f>IFERROR(IF(Months_Ref!$A$2="",0,INDEX(Acct1_Raw!$B$3:$BO$26,MATCH(Months_Ref!$A$2,Acct1_Raw!$A$3:$A$26,0),MATCH($A29,Acct1_Raw!$B$1:$BO$1,0))),0)</f>
        <v>9898.6110000000008</v>
      </c>
      <c r="C29" s="4">
        <f>IFERROR(IF(Months_Ref!$A$3="",0,INDEX(Acct1_Raw!$B$3:$BO$26,MATCH(Months_Ref!$A$3,Acct1_Raw!$A$3:$A$26,0),MATCH($A29,Acct1_Raw!$B$1:$BO$1,0))),0)</f>
        <v>9651.2279999999992</v>
      </c>
      <c r="D29" s="4">
        <f>IFERROR(IF(Months_Ref!$A$4="",0,INDEX(Acct1_Raw!$B$3:$BO$26,MATCH(Months_Ref!$A$4,Acct1_Raw!$A$3:$A$26,0),MATCH($A29,Acct1_Raw!$B$1:$BO$1,0))),0)</f>
        <v>9115.1239999999998</v>
      </c>
      <c r="E29" s="4">
        <f>IFERROR(IF(Months_Ref!$A$5="",0,INDEX(Acct1_Raw!$B$3:$BO$26,MATCH(Months_Ref!$A$5,Acct1_Raw!$A$3:$A$26,0),MATCH($A29,Acct1_Raw!$B$1:$BO$1,0))),0)</f>
        <v>9279.23</v>
      </c>
      <c r="F29" s="4">
        <f>IFERROR(IF(Months_Ref!$A$6="",0,INDEX(Acct1_Raw!$B$3:$BO$26,MATCH(Months_Ref!$A$6,Acct1_Raw!$A$3:$A$26,0),MATCH($A29,Acct1_Raw!$B$1:$BO$1,0))),0)</f>
        <v>10717.846</v>
      </c>
      <c r="G29" s="4">
        <f>IFERROR(IF(Months_Ref!$A$7="",0,INDEX(Acct1_Raw!$B$3:$BO$26,MATCH(Months_Ref!$A$7,Acct1_Raw!$A$3:$A$26,0),MATCH($A29,Acct1_Raw!$B$1:$BO$1,0))),0)</f>
        <v>10030.049999999999</v>
      </c>
      <c r="H29" s="4">
        <f>IFERROR(IF(Months_Ref!$A$2="",0,INDEX(Acct2_Raw!$B$3:$BO$26,MATCH(Months_Ref!$A$2,Acct2_Raw!$A$3:$A$26,0),MATCH($A29,Acct2_Raw!$B$1:$BO$1,0))),0)</f>
        <v>1514.846</v>
      </c>
      <c r="I29" s="4">
        <f>IFERROR(IF(Months_Ref!$A$3="",0,INDEX(Acct2_Raw!$B$3:$BO$26,MATCH(Months_Ref!$A$3,Acct2_Raw!$A$3:$A$26,0),MATCH($A29,Acct2_Raw!$B$1:$BO$1,0))),0)</f>
        <v>1365.3810000000001</v>
      </c>
      <c r="J29" s="4">
        <f>IFERROR(IF(Months_Ref!$A$4="",0,INDEX(Acct2_Raw!$B$3:$BO$26,MATCH(Months_Ref!$A$4,Acct2_Raw!$A$3:$A$26,0),MATCH($A29,Acct2_Raw!$B$1:$BO$1,0))),0)</f>
        <v>1733.2950000000001</v>
      </c>
      <c r="K29" s="4">
        <f>IFERROR(IF(Months_Ref!$A$5="",0,INDEX(Acct2_Raw!$B$3:$BO$26,MATCH(Months_Ref!$A$5,Acct2_Raw!$A$3:$A$26,0),MATCH($A29,Acct2_Raw!$B$1:$BO$1,0))),0)</f>
        <v>1492.1669999999999</v>
      </c>
      <c r="L29" s="4">
        <f>IFERROR(IF(Months_Ref!$A$6="",0,INDEX(Acct2_Raw!$B$3:$BO$26,MATCH(Months_Ref!$A$6,Acct2_Raw!$A$3:$A$26,0),MATCH($A29,Acct2_Raw!$B$1:$BO$1,0))),0)</f>
        <v>1776.018</v>
      </c>
      <c r="M29" s="4">
        <f>IFERROR(IF(Months_Ref!$A$7="",0,INDEX(Acct2_Raw!$B$3:$BO$26,MATCH(Months_Ref!$A$7,Acct2_Raw!$A$3:$A$26,0),MATCH($A29,Acct2_Raw!$B$1:$BO$1,0))),0)</f>
        <v>1557.068</v>
      </c>
      <c r="N29" s="4">
        <f t="shared" si="0"/>
        <v>11413.457</v>
      </c>
      <c r="O29" s="4">
        <f t="shared" si="1"/>
        <v>11016.608999999999</v>
      </c>
      <c r="P29" s="4">
        <f t="shared" si="2"/>
        <v>10848.419</v>
      </c>
      <c r="Q29" s="4">
        <f t="shared" si="3"/>
        <v>10771.396999999999</v>
      </c>
      <c r="R29" s="4">
        <f t="shared" si="4"/>
        <v>12493.864</v>
      </c>
      <c r="S29" s="4">
        <f t="shared" si="5"/>
        <v>11587.117999999999</v>
      </c>
    </row>
    <row r="30" spans="1:19" ht="15" customHeight="1" x14ac:dyDescent="0.25">
      <c r="A30" s="3" t="s">
        <v>24</v>
      </c>
      <c r="B30" s="4">
        <f>IFERROR(IF(Months_Ref!$A$2="",0,INDEX(Acct1_Raw!$B$3:$BO$26,MATCH(Months_Ref!$A$2,Acct1_Raw!$A$3:$A$26,0),MATCH($A30,Acct1_Raw!$B$1:$BO$1,0))),0)</f>
        <v>2217.0520000000001</v>
      </c>
      <c r="C30" s="4">
        <f>IFERROR(IF(Months_Ref!$A$3="",0,INDEX(Acct1_Raw!$B$3:$BO$26,MATCH(Months_Ref!$A$3,Acct1_Raw!$A$3:$A$26,0),MATCH($A30,Acct1_Raw!$B$1:$BO$1,0))),0)</f>
        <v>2474.0500000000002</v>
      </c>
      <c r="D30" s="4">
        <f>IFERROR(IF(Months_Ref!$A$4="",0,INDEX(Acct1_Raw!$B$3:$BO$26,MATCH(Months_Ref!$A$4,Acct1_Raw!$A$3:$A$26,0),MATCH($A30,Acct1_Raw!$B$1:$BO$1,0))),0)</f>
        <v>2121.0639999999999</v>
      </c>
      <c r="E30" s="4">
        <f>IFERROR(IF(Months_Ref!$A$5="",0,INDEX(Acct1_Raw!$B$3:$BO$26,MATCH(Months_Ref!$A$5,Acct1_Raw!$A$3:$A$26,0),MATCH($A30,Acct1_Raw!$B$1:$BO$1,0))),0)</f>
        <v>2137.77</v>
      </c>
      <c r="F30" s="4">
        <f>IFERROR(IF(Months_Ref!$A$6="",0,INDEX(Acct1_Raw!$B$3:$BO$26,MATCH(Months_Ref!$A$6,Acct1_Raw!$A$3:$A$26,0),MATCH($A30,Acct1_Raw!$B$1:$BO$1,0))),0)</f>
        <v>2106.9479999999999</v>
      </c>
      <c r="G30" s="4">
        <f>IFERROR(IF(Months_Ref!$A$7="",0,INDEX(Acct1_Raw!$B$3:$BO$26,MATCH(Months_Ref!$A$7,Acct1_Raw!$A$3:$A$26,0),MATCH($A30,Acct1_Raw!$B$1:$BO$1,0))),0)</f>
        <v>2745.3789999999999</v>
      </c>
      <c r="H30" s="4">
        <f>IFERROR(IF(Months_Ref!$A$2="",0,INDEX(Acct2_Raw!$B$3:$BO$26,MATCH(Months_Ref!$A$2,Acct2_Raw!$A$3:$A$26,0),MATCH($A30,Acct2_Raw!$B$1:$BO$1,0))),0)</f>
        <v>14376.949000000001</v>
      </c>
      <c r="I30" s="4">
        <f>IFERROR(IF(Months_Ref!$A$3="",0,INDEX(Acct2_Raw!$B$3:$BO$26,MATCH(Months_Ref!$A$3,Acct2_Raw!$A$3:$A$26,0),MATCH($A30,Acct2_Raw!$B$1:$BO$1,0))),0)</f>
        <v>14312.5</v>
      </c>
      <c r="J30" s="4">
        <f>IFERROR(IF(Months_Ref!$A$4="",0,INDEX(Acct2_Raw!$B$3:$BO$26,MATCH(Months_Ref!$A$4,Acct2_Raw!$A$3:$A$26,0),MATCH($A30,Acct2_Raw!$B$1:$BO$1,0))),0)</f>
        <v>15196.368</v>
      </c>
      <c r="K30" s="4">
        <f>IFERROR(IF(Months_Ref!$A$5="",0,INDEX(Acct2_Raw!$B$3:$BO$26,MATCH(Months_Ref!$A$5,Acct2_Raw!$A$3:$A$26,0),MATCH($A30,Acct2_Raw!$B$1:$BO$1,0))),0)</f>
        <v>15981.724</v>
      </c>
      <c r="L30" s="4">
        <f>IFERROR(IF(Months_Ref!$A$6="",0,INDEX(Acct2_Raw!$B$3:$BO$26,MATCH(Months_Ref!$A$6,Acct2_Raw!$A$3:$A$26,0),MATCH($A30,Acct2_Raw!$B$1:$BO$1,0))),0)</f>
        <v>15928.870999999999</v>
      </c>
      <c r="M30" s="4">
        <f>IFERROR(IF(Months_Ref!$A$7="",0,INDEX(Acct2_Raw!$B$3:$BO$26,MATCH(Months_Ref!$A$7,Acct2_Raw!$A$3:$A$26,0),MATCH($A30,Acct2_Raw!$B$1:$BO$1,0))),0)</f>
        <v>14907.991</v>
      </c>
      <c r="N30" s="4">
        <f t="shared" si="0"/>
        <v>16594.001</v>
      </c>
      <c r="O30" s="4">
        <f t="shared" si="1"/>
        <v>16786.55</v>
      </c>
      <c r="P30" s="4">
        <f t="shared" si="2"/>
        <v>17317.432000000001</v>
      </c>
      <c r="Q30" s="4">
        <f t="shared" si="3"/>
        <v>18119.493999999999</v>
      </c>
      <c r="R30" s="4">
        <f t="shared" si="4"/>
        <v>18035.819</v>
      </c>
      <c r="S30" s="4">
        <f t="shared" si="5"/>
        <v>17653.37</v>
      </c>
    </row>
    <row r="31" spans="1:19" ht="15" customHeight="1" x14ac:dyDescent="0.25">
      <c r="A31" s="3" t="s">
        <v>13</v>
      </c>
      <c r="B31" s="4">
        <f>IFERROR(IF(Months_Ref!$A$2="",0,INDEX(Acct1_Raw!$B$3:$BO$26,MATCH(Months_Ref!$A$2,Acct1_Raw!$A$3:$A$26,0),MATCH($A31,Acct1_Raw!$B$1:$BO$1,0))),0)</f>
        <v>483.96300000000002</v>
      </c>
      <c r="C31" s="4">
        <f>IFERROR(IF(Months_Ref!$A$3="",0,INDEX(Acct1_Raw!$B$3:$BO$26,MATCH(Months_Ref!$A$3,Acct1_Raw!$A$3:$A$26,0),MATCH($A31,Acct1_Raw!$B$1:$BO$1,0))),0)</f>
        <v>460.49099999999999</v>
      </c>
      <c r="D31" s="4">
        <f>IFERROR(IF(Months_Ref!$A$4="",0,INDEX(Acct1_Raw!$B$3:$BO$26,MATCH(Months_Ref!$A$4,Acct1_Raw!$A$3:$A$26,0),MATCH($A31,Acct1_Raw!$B$1:$BO$1,0))),0)</f>
        <v>436.98500000000001</v>
      </c>
      <c r="E31" s="4">
        <f>IFERROR(IF(Months_Ref!$A$5="",0,INDEX(Acct1_Raw!$B$3:$BO$26,MATCH(Months_Ref!$A$5,Acct1_Raw!$A$3:$A$26,0),MATCH($A31,Acct1_Raw!$B$1:$BO$1,0))),0)</f>
        <v>424.59500000000003</v>
      </c>
      <c r="F31" s="4">
        <f>IFERROR(IF(Months_Ref!$A$6="",0,INDEX(Acct1_Raw!$B$3:$BO$26,MATCH(Months_Ref!$A$6,Acct1_Raw!$A$3:$A$26,0),MATCH($A31,Acct1_Raw!$B$1:$BO$1,0))),0)</f>
        <v>515.14300000000003</v>
      </c>
      <c r="G31" s="4">
        <f>IFERROR(IF(Months_Ref!$A$7="",0,INDEX(Acct1_Raw!$B$3:$BO$26,MATCH(Months_Ref!$A$7,Acct1_Raw!$A$3:$A$26,0),MATCH($A31,Acct1_Raw!$B$1:$BO$1,0))),0)</f>
        <v>483.51799999999997</v>
      </c>
      <c r="H31" s="4">
        <f>IFERROR(IF(Months_Ref!$A$2="",0,INDEX(Acct2_Raw!$B$3:$BO$26,MATCH(Months_Ref!$A$2,Acct2_Raw!$A$3:$A$26,0),MATCH($A31,Acct2_Raw!$B$1:$BO$1,0))),0)</f>
        <v>718.74800000000005</v>
      </c>
      <c r="I31" s="4">
        <f>IFERROR(IF(Months_Ref!$A$3="",0,INDEX(Acct2_Raw!$B$3:$BO$26,MATCH(Months_Ref!$A$3,Acct2_Raw!$A$3:$A$26,0),MATCH($A31,Acct2_Raw!$B$1:$BO$1,0))),0)</f>
        <v>678.23199999999997</v>
      </c>
      <c r="J31" s="4">
        <f>IFERROR(IF(Months_Ref!$A$4="",0,INDEX(Acct2_Raw!$B$3:$BO$26,MATCH(Months_Ref!$A$4,Acct2_Raw!$A$3:$A$26,0),MATCH($A31,Acct2_Raw!$B$1:$BO$1,0))),0)</f>
        <v>763.13300000000004</v>
      </c>
      <c r="K31" s="4">
        <f>IFERROR(IF(Months_Ref!$A$5="",0,INDEX(Acct2_Raw!$B$3:$BO$26,MATCH(Months_Ref!$A$5,Acct2_Raw!$A$3:$A$26,0),MATCH($A31,Acct2_Raw!$B$1:$BO$1,0))),0)</f>
        <v>774.68</v>
      </c>
      <c r="L31" s="4">
        <f>IFERROR(IF(Months_Ref!$A$6="",0,INDEX(Acct2_Raw!$B$3:$BO$26,MATCH(Months_Ref!$A$6,Acct2_Raw!$A$3:$A$26,0),MATCH($A31,Acct2_Raw!$B$1:$BO$1,0))),0)</f>
        <v>761.95799999999997</v>
      </c>
      <c r="M31" s="4">
        <f>IFERROR(IF(Months_Ref!$A$7="",0,INDEX(Acct2_Raw!$B$3:$BO$26,MATCH(Months_Ref!$A$7,Acct2_Raw!$A$3:$A$26,0),MATCH($A31,Acct2_Raw!$B$1:$BO$1,0))),0)</f>
        <v>729.75</v>
      </c>
      <c r="N31" s="4">
        <f t="shared" si="0"/>
        <v>1202.711</v>
      </c>
      <c r="O31" s="4">
        <f t="shared" si="1"/>
        <v>1138.723</v>
      </c>
      <c r="P31" s="4">
        <f t="shared" si="2"/>
        <v>1200.1179999999999</v>
      </c>
      <c r="Q31" s="4">
        <f t="shared" si="3"/>
        <v>1199.2750000000001</v>
      </c>
      <c r="R31" s="4">
        <f t="shared" si="4"/>
        <v>1277.1010000000001</v>
      </c>
      <c r="S31" s="4">
        <f t="shared" si="5"/>
        <v>1213.268</v>
      </c>
    </row>
    <row r="32" spans="1:19" ht="15" customHeight="1" x14ac:dyDescent="0.25">
      <c r="A32" s="3" t="s">
        <v>59</v>
      </c>
      <c r="B32" s="4">
        <f>IFERROR(IF(Months_Ref!$A$2="",0,INDEX(Acct1_Raw!$B$3:$BO$26,MATCH(Months_Ref!$A$2,Acct1_Raw!$A$3:$A$26,0),MATCH($A32,Acct1_Raw!$B$1:$BO$1,0))),0)</f>
        <v>2475.2950000000001</v>
      </c>
      <c r="C32" s="4">
        <f>IFERROR(IF(Months_Ref!$A$3="",0,INDEX(Acct1_Raw!$B$3:$BO$26,MATCH(Months_Ref!$A$3,Acct1_Raw!$A$3:$A$26,0),MATCH($A32,Acct1_Raw!$B$1:$BO$1,0))),0)</f>
        <v>2210.201</v>
      </c>
      <c r="D32" s="4">
        <f>IFERROR(IF(Months_Ref!$A$4="",0,INDEX(Acct1_Raw!$B$3:$BO$26,MATCH(Months_Ref!$A$4,Acct1_Raw!$A$3:$A$26,0),MATCH($A32,Acct1_Raw!$B$1:$BO$1,0))),0)</f>
        <v>2771.011</v>
      </c>
      <c r="E32" s="4">
        <f>IFERROR(IF(Months_Ref!$A$5="",0,INDEX(Acct1_Raw!$B$3:$BO$26,MATCH(Months_Ref!$A$5,Acct1_Raw!$A$3:$A$26,0),MATCH($A32,Acct1_Raw!$B$1:$BO$1,0))),0)</f>
        <v>2869.5540000000001</v>
      </c>
      <c r="F32" s="4">
        <f>IFERROR(IF(Months_Ref!$A$6="",0,INDEX(Acct1_Raw!$B$3:$BO$26,MATCH(Months_Ref!$A$6,Acct1_Raw!$A$3:$A$26,0),MATCH($A32,Acct1_Raw!$B$1:$BO$1,0))),0)</f>
        <v>2342.4960000000001</v>
      </c>
      <c r="G32" s="4">
        <f>IFERROR(IF(Months_Ref!$A$7="",0,INDEX(Acct1_Raw!$B$3:$BO$26,MATCH(Months_Ref!$A$7,Acct1_Raw!$A$3:$A$26,0),MATCH($A32,Acct1_Raw!$B$1:$BO$1,0))),0)</f>
        <v>2914.8319999999999</v>
      </c>
      <c r="H32" s="4">
        <f>IFERROR(IF(Months_Ref!$A$2="",0,INDEX(Acct2_Raw!$B$3:$BO$26,MATCH(Months_Ref!$A$2,Acct2_Raw!$A$3:$A$26,0),MATCH($A32,Acct2_Raw!$B$1:$BO$1,0))),0)</f>
        <v>5719.4979999999996</v>
      </c>
      <c r="I32" s="4">
        <f>IFERROR(IF(Months_Ref!$A$3="",0,INDEX(Acct2_Raw!$B$3:$BO$26,MATCH(Months_Ref!$A$3,Acct2_Raw!$A$3:$A$26,0),MATCH($A32,Acct2_Raw!$B$1:$BO$1,0))),0)</f>
        <v>6023.96</v>
      </c>
      <c r="J32" s="4">
        <f>IFERROR(IF(Months_Ref!$A$4="",0,INDEX(Acct2_Raw!$B$3:$BO$26,MATCH(Months_Ref!$A$4,Acct2_Raw!$A$3:$A$26,0),MATCH($A32,Acct2_Raw!$B$1:$BO$1,0))),0)</f>
        <v>5877.1750000000002</v>
      </c>
      <c r="K32" s="4">
        <f>IFERROR(IF(Months_Ref!$A$5="",0,INDEX(Acct2_Raw!$B$3:$BO$26,MATCH(Months_Ref!$A$5,Acct2_Raw!$A$3:$A$26,0),MATCH($A32,Acct2_Raw!$B$1:$BO$1,0))),0)</f>
        <v>4820.8239999999996</v>
      </c>
      <c r="L32" s="4">
        <f>IFERROR(IF(Months_Ref!$A$6="",0,INDEX(Acct2_Raw!$B$3:$BO$26,MATCH(Months_Ref!$A$6,Acct2_Raw!$A$3:$A$26,0),MATCH($A32,Acct2_Raw!$B$1:$BO$1,0))),0)</f>
        <v>5609.5119999999997</v>
      </c>
      <c r="M32" s="4">
        <f>IFERROR(IF(Months_Ref!$A$7="",0,INDEX(Acct2_Raw!$B$3:$BO$26,MATCH(Months_Ref!$A$7,Acct2_Raw!$A$3:$A$26,0),MATCH($A32,Acct2_Raw!$B$1:$BO$1,0))),0)</f>
        <v>5621.9139999999998</v>
      </c>
      <c r="N32" s="4">
        <f t="shared" si="0"/>
        <v>8194.7929999999997</v>
      </c>
      <c r="O32" s="4">
        <f t="shared" si="1"/>
        <v>8234.1610000000001</v>
      </c>
      <c r="P32" s="4">
        <f t="shared" si="2"/>
        <v>8648.1859999999997</v>
      </c>
      <c r="Q32" s="4">
        <f t="shared" si="3"/>
        <v>7690.3779999999997</v>
      </c>
      <c r="R32" s="4">
        <f t="shared" si="4"/>
        <v>7952.0079999999998</v>
      </c>
      <c r="S32" s="4">
        <f t="shared" si="5"/>
        <v>8536.7459999999992</v>
      </c>
    </row>
    <row r="33" spans="1:19" ht="15" customHeight="1" x14ac:dyDescent="0.25">
      <c r="A33" s="3" t="s">
        <v>62</v>
      </c>
      <c r="B33" s="4">
        <f>IFERROR(IF(Months_Ref!$A$2="",0,INDEX(Acct1_Raw!$B$3:$BO$26,MATCH(Months_Ref!$A$2,Acct1_Raw!$A$3:$A$26,0),MATCH($A33,Acct1_Raw!$B$1:$BO$1,0))),0)</f>
        <v>10859.572</v>
      </c>
      <c r="C33" s="4">
        <f>IFERROR(IF(Months_Ref!$A$3="",0,INDEX(Acct1_Raw!$B$3:$BO$26,MATCH(Months_Ref!$A$3,Acct1_Raw!$A$3:$A$26,0),MATCH($A33,Acct1_Raw!$B$1:$BO$1,0))),0)</f>
        <v>10888.462</v>
      </c>
      <c r="D33" s="4">
        <f>IFERROR(IF(Months_Ref!$A$4="",0,INDEX(Acct1_Raw!$B$3:$BO$26,MATCH(Months_Ref!$A$4,Acct1_Raw!$A$3:$A$26,0),MATCH($A33,Acct1_Raw!$B$1:$BO$1,0))),0)</f>
        <v>10319.857</v>
      </c>
      <c r="E33" s="4">
        <f>IFERROR(IF(Months_Ref!$A$5="",0,INDEX(Acct1_Raw!$B$3:$BO$26,MATCH(Months_Ref!$A$5,Acct1_Raw!$A$3:$A$26,0),MATCH($A33,Acct1_Raw!$B$1:$BO$1,0))),0)</f>
        <v>9969.9269999999997</v>
      </c>
      <c r="F33" s="4">
        <f>IFERROR(IF(Months_Ref!$A$6="",0,INDEX(Acct1_Raw!$B$3:$BO$26,MATCH(Months_Ref!$A$6,Acct1_Raw!$A$3:$A$26,0),MATCH($A33,Acct1_Raw!$B$1:$BO$1,0))),0)</f>
        <v>9697.57</v>
      </c>
      <c r="G33" s="4">
        <f>IFERROR(IF(Months_Ref!$A$7="",0,INDEX(Acct1_Raw!$B$3:$BO$26,MATCH(Months_Ref!$A$7,Acct1_Raw!$A$3:$A$26,0),MATCH($A33,Acct1_Raw!$B$1:$BO$1,0))),0)</f>
        <v>10448.985000000001</v>
      </c>
      <c r="H33" s="4">
        <f>IFERROR(IF(Months_Ref!$A$2="",0,INDEX(Acct2_Raw!$B$3:$BO$26,MATCH(Months_Ref!$A$2,Acct2_Raw!$A$3:$A$26,0),MATCH($A33,Acct2_Raw!$B$1:$BO$1,0))),0)</f>
        <v>1361.646</v>
      </c>
      <c r="I33" s="4">
        <f>IFERROR(IF(Months_Ref!$A$3="",0,INDEX(Acct2_Raw!$B$3:$BO$26,MATCH(Months_Ref!$A$3,Acct2_Raw!$A$3:$A$26,0),MATCH($A33,Acct2_Raw!$B$1:$BO$1,0))),0)</f>
        <v>1379.31</v>
      </c>
      <c r="J33" s="4">
        <f>IFERROR(IF(Months_Ref!$A$4="",0,INDEX(Acct2_Raw!$B$3:$BO$26,MATCH(Months_Ref!$A$4,Acct2_Raw!$A$3:$A$26,0),MATCH($A33,Acct2_Raw!$B$1:$BO$1,0))),0)</f>
        <v>1144.364</v>
      </c>
      <c r="K33" s="4">
        <f>IFERROR(IF(Months_Ref!$A$5="",0,INDEX(Acct2_Raw!$B$3:$BO$26,MATCH(Months_Ref!$A$5,Acct2_Raw!$A$3:$A$26,0),MATCH($A33,Acct2_Raw!$B$1:$BO$1,0))),0)</f>
        <v>1163.279</v>
      </c>
      <c r="L33" s="4">
        <f>IFERROR(IF(Months_Ref!$A$6="",0,INDEX(Acct2_Raw!$B$3:$BO$26,MATCH(Months_Ref!$A$6,Acct2_Raw!$A$3:$A$26,0),MATCH($A33,Acct2_Raw!$B$1:$BO$1,0))),0)</f>
        <v>1318.317</v>
      </c>
      <c r="M33" s="4">
        <f>IFERROR(IF(Months_Ref!$A$7="",0,INDEX(Acct2_Raw!$B$3:$BO$26,MATCH(Months_Ref!$A$7,Acct2_Raw!$A$3:$A$26,0),MATCH($A33,Acct2_Raw!$B$1:$BO$1,0))),0)</f>
        <v>1150.749</v>
      </c>
      <c r="N33" s="4">
        <f t="shared" si="0"/>
        <v>12221.218000000001</v>
      </c>
      <c r="O33" s="4">
        <f t="shared" si="1"/>
        <v>12267.771999999999</v>
      </c>
      <c r="P33" s="4">
        <f t="shared" si="2"/>
        <v>11464.221</v>
      </c>
      <c r="Q33" s="4">
        <f t="shared" si="3"/>
        <v>11133.206</v>
      </c>
      <c r="R33" s="4">
        <f t="shared" si="4"/>
        <v>11015.886999999999</v>
      </c>
      <c r="S33" s="4">
        <f t="shared" si="5"/>
        <v>11599.734</v>
      </c>
    </row>
    <row r="34" spans="1:19" ht="15" customHeight="1" x14ac:dyDescent="0.25">
      <c r="A34" s="3" t="s">
        <v>21</v>
      </c>
      <c r="B34" s="4">
        <f>IFERROR(IF(Months_Ref!$A$2="",0,INDEX(Acct1_Raw!$B$3:$BO$26,MATCH(Months_Ref!$A$2,Acct1_Raw!$A$3:$A$26,0),MATCH($A34,Acct1_Raw!$B$1:$BO$1,0))),0)</f>
        <v>11881.886</v>
      </c>
      <c r="C34" s="4">
        <f>IFERROR(IF(Months_Ref!$A$3="",0,INDEX(Acct1_Raw!$B$3:$BO$26,MATCH(Months_Ref!$A$3,Acct1_Raw!$A$3:$A$26,0),MATCH($A34,Acct1_Raw!$B$1:$BO$1,0))),0)</f>
        <v>10852.924999999999</v>
      </c>
      <c r="D34" s="4">
        <f>IFERROR(IF(Months_Ref!$A$4="",0,INDEX(Acct1_Raw!$B$3:$BO$26,MATCH(Months_Ref!$A$4,Acct1_Raw!$A$3:$A$26,0),MATCH($A34,Acct1_Raw!$B$1:$BO$1,0))),0)</f>
        <v>12065.054</v>
      </c>
      <c r="E34" s="4">
        <f>IFERROR(IF(Months_Ref!$A$5="",0,INDEX(Acct1_Raw!$B$3:$BO$26,MATCH(Months_Ref!$A$5,Acct1_Raw!$A$3:$A$26,0),MATCH($A34,Acct1_Raw!$B$1:$BO$1,0))),0)</f>
        <v>13854.248</v>
      </c>
      <c r="F34" s="4">
        <f>IFERROR(IF(Months_Ref!$A$6="",0,INDEX(Acct1_Raw!$B$3:$BO$26,MATCH(Months_Ref!$A$6,Acct1_Raw!$A$3:$A$26,0),MATCH($A34,Acct1_Raw!$B$1:$BO$1,0))),0)</f>
        <v>11179.972</v>
      </c>
      <c r="G34" s="4">
        <f>IFERROR(IF(Months_Ref!$A$7="",0,INDEX(Acct1_Raw!$B$3:$BO$26,MATCH(Months_Ref!$A$7,Acct1_Raw!$A$3:$A$26,0),MATCH($A34,Acct1_Raw!$B$1:$BO$1,0))),0)</f>
        <v>11568.293</v>
      </c>
      <c r="H34" s="4">
        <f>IFERROR(IF(Months_Ref!$A$2="",0,INDEX(Acct2_Raw!$B$3:$BO$26,MATCH(Months_Ref!$A$2,Acct2_Raw!$A$3:$A$26,0),MATCH($A34,Acct2_Raw!$B$1:$BO$1,0))),0)</f>
        <v>11466.074000000001</v>
      </c>
      <c r="I34" s="4">
        <f>IFERROR(IF(Months_Ref!$A$3="",0,INDEX(Acct2_Raw!$B$3:$BO$26,MATCH(Months_Ref!$A$3,Acct2_Raw!$A$3:$A$26,0),MATCH($A34,Acct2_Raw!$B$1:$BO$1,0))),0)</f>
        <v>12655.27</v>
      </c>
      <c r="J34" s="4">
        <f>IFERROR(IF(Months_Ref!$A$4="",0,INDEX(Acct2_Raw!$B$3:$BO$26,MATCH(Months_Ref!$A$4,Acct2_Raw!$A$3:$A$26,0),MATCH($A34,Acct2_Raw!$B$1:$BO$1,0))),0)</f>
        <v>10845.308999999999</v>
      </c>
      <c r="K34" s="4">
        <f>IFERROR(IF(Months_Ref!$A$5="",0,INDEX(Acct2_Raw!$B$3:$BO$26,MATCH(Months_Ref!$A$5,Acct2_Raw!$A$3:$A$26,0),MATCH($A34,Acct2_Raw!$B$1:$BO$1,0))),0)</f>
        <v>11889.15</v>
      </c>
      <c r="L34" s="4">
        <f>IFERROR(IF(Months_Ref!$A$6="",0,INDEX(Acct2_Raw!$B$3:$BO$26,MATCH(Months_Ref!$A$6,Acct2_Raw!$A$3:$A$26,0),MATCH($A34,Acct2_Raw!$B$1:$BO$1,0))),0)</f>
        <v>10734.303</v>
      </c>
      <c r="M34" s="4">
        <f>IFERROR(IF(Months_Ref!$A$7="",0,INDEX(Acct2_Raw!$B$3:$BO$26,MATCH(Months_Ref!$A$7,Acct2_Raw!$A$3:$A$26,0),MATCH($A34,Acct2_Raw!$B$1:$BO$1,0))),0)</f>
        <v>13047.047</v>
      </c>
      <c r="N34" s="4">
        <f t="shared" ref="N34:N67" si="6">B34+H34</f>
        <v>23347.96</v>
      </c>
      <c r="O34" s="4">
        <f t="shared" ref="O34:O67" si="7">C34+I34</f>
        <v>23508.195</v>
      </c>
      <c r="P34" s="4">
        <f t="shared" ref="P34:P67" si="8">D34+J34</f>
        <v>22910.362999999998</v>
      </c>
      <c r="Q34" s="4">
        <f t="shared" ref="Q34:Q67" si="9">E34+K34</f>
        <v>25743.398000000001</v>
      </c>
      <c r="R34" s="4">
        <f t="shared" ref="R34:R67" si="10">F34+L34</f>
        <v>21914.275000000001</v>
      </c>
      <c r="S34" s="4">
        <f t="shared" ref="S34:S67" si="11">G34+M34</f>
        <v>24615.34</v>
      </c>
    </row>
    <row r="35" spans="1:19" ht="15" customHeight="1" x14ac:dyDescent="0.25">
      <c r="A35" s="3" t="s">
        <v>4</v>
      </c>
      <c r="B35" s="4">
        <f>IFERROR(IF(Months_Ref!$A$2="",0,INDEX(Acct1_Raw!$B$3:$BO$26,MATCH(Months_Ref!$A$2,Acct1_Raw!$A$3:$A$26,0),MATCH($A35,Acct1_Raw!$B$1:$BO$1,0))),0)</f>
        <v>3411.442</v>
      </c>
      <c r="C35" s="4">
        <f>IFERROR(IF(Months_Ref!$A$3="",0,INDEX(Acct1_Raw!$B$3:$BO$26,MATCH(Months_Ref!$A$3,Acct1_Raw!$A$3:$A$26,0),MATCH($A35,Acct1_Raw!$B$1:$BO$1,0))),0)</f>
        <v>3864.04</v>
      </c>
      <c r="D35" s="4">
        <f>IFERROR(IF(Months_Ref!$A$4="",0,INDEX(Acct1_Raw!$B$3:$BO$26,MATCH(Months_Ref!$A$4,Acct1_Raw!$A$3:$A$26,0),MATCH($A35,Acct1_Raw!$B$1:$BO$1,0))),0)</f>
        <v>3926.5949999999998</v>
      </c>
      <c r="E35" s="4">
        <f>IFERROR(IF(Months_Ref!$A$5="",0,INDEX(Acct1_Raw!$B$3:$BO$26,MATCH(Months_Ref!$A$5,Acct1_Raw!$A$3:$A$26,0),MATCH($A35,Acct1_Raw!$B$1:$BO$1,0))),0)</f>
        <v>3023.0590000000002</v>
      </c>
      <c r="F35" s="4">
        <f>IFERROR(IF(Months_Ref!$A$6="",0,INDEX(Acct1_Raw!$B$3:$BO$26,MATCH(Months_Ref!$A$6,Acct1_Raw!$A$3:$A$26,0),MATCH($A35,Acct1_Raw!$B$1:$BO$1,0))),0)</f>
        <v>3389.857</v>
      </c>
      <c r="G35" s="4">
        <f>IFERROR(IF(Months_Ref!$A$7="",0,INDEX(Acct1_Raw!$B$3:$BO$26,MATCH(Months_Ref!$A$7,Acct1_Raw!$A$3:$A$26,0),MATCH($A35,Acct1_Raw!$B$1:$BO$1,0))),0)</f>
        <v>3054.1779999999999</v>
      </c>
      <c r="H35" s="4">
        <f>IFERROR(IF(Months_Ref!$A$2="",0,INDEX(Acct2_Raw!$B$3:$BO$26,MATCH(Months_Ref!$A$2,Acct2_Raw!$A$3:$A$26,0),MATCH($A35,Acct2_Raw!$B$1:$BO$1,0))),0)</f>
        <v>7065.866</v>
      </c>
      <c r="I35" s="4">
        <f>IFERROR(IF(Months_Ref!$A$3="",0,INDEX(Acct2_Raw!$B$3:$BO$26,MATCH(Months_Ref!$A$3,Acct2_Raw!$A$3:$A$26,0),MATCH($A35,Acct2_Raw!$B$1:$BO$1,0))),0)</f>
        <v>8153.0590000000002</v>
      </c>
      <c r="J35" s="4">
        <f>IFERROR(IF(Months_Ref!$A$4="",0,INDEX(Acct2_Raw!$B$3:$BO$26,MATCH(Months_Ref!$A$4,Acct2_Raw!$A$3:$A$26,0),MATCH($A35,Acct2_Raw!$B$1:$BO$1,0))),0)</f>
        <v>6431.8370000000004</v>
      </c>
      <c r="K35" s="4">
        <f>IFERROR(IF(Months_Ref!$A$5="",0,INDEX(Acct2_Raw!$B$3:$BO$26,MATCH(Months_Ref!$A$5,Acct2_Raw!$A$3:$A$26,0),MATCH($A35,Acct2_Raw!$B$1:$BO$1,0))),0)</f>
        <v>7021.6350000000002</v>
      </c>
      <c r="L35" s="4">
        <f>IFERROR(IF(Months_Ref!$A$6="",0,INDEX(Acct2_Raw!$B$3:$BO$26,MATCH(Months_Ref!$A$6,Acct2_Raw!$A$3:$A$26,0),MATCH($A35,Acct2_Raw!$B$1:$BO$1,0))),0)</f>
        <v>8084.8509999999997</v>
      </c>
      <c r="M35" s="4">
        <f>IFERROR(IF(Months_Ref!$A$7="",0,INDEX(Acct2_Raw!$B$3:$BO$26,MATCH(Months_Ref!$A$7,Acct2_Raw!$A$3:$A$26,0),MATCH($A35,Acct2_Raw!$B$1:$BO$1,0))),0)</f>
        <v>7071.8320000000003</v>
      </c>
      <c r="N35" s="4">
        <f t="shared" si="6"/>
        <v>10477.308000000001</v>
      </c>
      <c r="O35" s="4">
        <f t="shared" si="7"/>
        <v>12017.099</v>
      </c>
      <c r="P35" s="4">
        <f t="shared" si="8"/>
        <v>10358.432000000001</v>
      </c>
      <c r="Q35" s="4">
        <f t="shared" si="9"/>
        <v>10044.694</v>
      </c>
      <c r="R35" s="4">
        <f t="shared" si="10"/>
        <v>11474.707999999999</v>
      </c>
      <c r="S35" s="4">
        <f t="shared" si="11"/>
        <v>10126.01</v>
      </c>
    </row>
    <row r="36" spans="1:19" ht="15" customHeight="1" x14ac:dyDescent="0.25">
      <c r="A36" s="3" t="s">
        <v>39</v>
      </c>
      <c r="B36" s="4">
        <f>IFERROR(IF(Months_Ref!$A$2="",0,INDEX(Acct1_Raw!$B$3:$BO$26,MATCH(Months_Ref!$A$2,Acct1_Raw!$A$3:$A$26,0),MATCH($A36,Acct1_Raw!$B$1:$BO$1,0))),0)</f>
        <v>14630.025</v>
      </c>
      <c r="C36" s="4">
        <f>IFERROR(IF(Months_Ref!$A$3="",0,INDEX(Acct1_Raw!$B$3:$BO$26,MATCH(Months_Ref!$A$3,Acct1_Raw!$A$3:$A$26,0),MATCH($A36,Acct1_Raw!$B$1:$BO$1,0))),0)</f>
        <v>14454.462</v>
      </c>
      <c r="D36" s="4">
        <f>IFERROR(IF(Months_Ref!$A$4="",0,INDEX(Acct1_Raw!$B$3:$BO$26,MATCH(Months_Ref!$A$4,Acct1_Raw!$A$3:$A$26,0),MATCH($A36,Acct1_Raw!$B$1:$BO$1,0))),0)</f>
        <v>14238.273999999999</v>
      </c>
      <c r="E36" s="4">
        <f>IFERROR(IF(Months_Ref!$A$5="",0,INDEX(Acct1_Raw!$B$3:$BO$26,MATCH(Months_Ref!$A$5,Acct1_Raw!$A$3:$A$26,0),MATCH($A36,Acct1_Raw!$B$1:$BO$1,0))),0)</f>
        <v>11005.083000000001</v>
      </c>
      <c r="F36" s="4">
        <f>IFERROR(IF(Months_Ref!$A$6="",0,INDEX(Acct1_Raw!$B$3:$BO$26,MATCH(Months_Ref!$A$6,Acct1_Raw!$A$3:$A$26,0),MATCH($A36,Acct1_Raw!$B$1:$BO$1,0))),0)</f>
        <v>13009.142</v>
      </c>
      <c r="G36" s="4">
        <f>IFERROR(IF(Months_Ref!$A$7="",0,INDEX(Acct1_Raw!$B$3:$BO$26,MATCH(Months_Ref!$A$7,Acct1_Raw!$A$3:$A$26,0),MATCH($A36,Acct1_Raw!$B$1:$BO$1,0))),0)</f>
        <v>13414.013999999999</v>
      </c>
      <c r="H36" s="4">
        <f>IFERROR(IF(Months_Ref!$A$2="",0,INDEX(Acct2_Raw!$B$3:$BO$26,MATCH(Months_Ref!$A$2,Acct2_Raw!$A$3:$A$26,0),MATCH($A36,Acct2_Raw!$B$1:$BO$1,0))),0)</f>
        <v>12012.646000000001</v>
      </c>
      <c r="I36" s="4">
        <f>IFERROR(IF(Months_Ref!$A$3="",0,INDEX(Acct2_Raw!$B$3:$BO$26,MATCH(Months_Ref!$A$3,Acct2_Raw!$A$3:$A$26,0),MATCH($A36,Acct2_Raw!$B$1:$BO$1,0))),0)</f>
        <v>9961.73</v>
      </c>
      <c r="J36" s="4">
        <f>IFERROR(IF(Months_Ref!$A$4="",0,INDEX(Acct2_Raw!$B$3:$BO$26,MATCH(Months_Ref!$A$4,Acct2_Raw!$A$3:$A$26,0),MATCH($A36,Acct2_Raw!$B$1:$BO$1,0))),0)</f>
        <v>10706.871999999999</v>
      </c>
      <c r="K36" s="4">
        <f>IFERROR(IF(Months_Ref!$A$5="",0,INDEX(Acct2_Raw!$B$3:$BO$26,MATCH(Months_Ref!$A$5,Acct2_Raw!$A$3:$A$26,0),MATCH($A36,Acct2_Raw!$B$1:$BO$1,0))),0)</f>
        <v>9908.0669999999991</v>
      </c>
      <c r="L36" s="4">
        <f>IFERROR(IF(Months_Ref!$A$6="",0,INDEX(Acct2_Raw!$B$3:$BO$26,MATCH(Months_Ref!$A$6,Acct2_Raw!$A$3:$A$26,0),MATCH($A36,Acct2_Raw!$B$1:$BO$1,0))),0)</f>
        <v>11013.665000000001</v>
      </c>
      <c r="M36" s="4">
        <f>IFERROR(IF(Months_Ref!$A$7="",0,INDEX(Acct2_Raw!$B$3:$BO$26,MATCH(Months_Ref!$A$7,Acct2_Raw!$A$3:$A$26,0),MATCH($A36,Acct2_Raw!$B$1:$BO$1,0))),0)</f>
        <v>11676.933999999999</v>
      </c>
      <c r="N36" s="4">
        <f t="shared" si="6"/>
        <v>26642.671000000002</v>
      </c>
      <c r="O36" s="4">
        <f t="shared" si="7"/>
        <v>24416.191999999999</v>
      </c>
      <c r="P36" s="4">
        <f t="shared" si="8"/>
        <v>24945.146000000001</v>
      </c>
      <c r="Q36" s="4">
        <f t="shared" si="9"/>
        <v>20913.150000000001</v>
      </c>
      <c r="R36" s="4">
        <f t="shared" si="10"/>
        <v>24022.807000000001</v>
      </c>
      <c r="S36" s="4">
        <f t="shared" si="11"/>
        <v>25090.947999999997</v>
      </c>
    </row>
    <row r="37" spans="1:19" ht="15" customHeight="1" x14ac:dyDescent="0.25">
      <c r="A37" s="3" t="s">
        <v>49</v>
      </c>
      <c r="B37" s="4">
        <f>IFERROR(IF(Months_Ref!$A$2="",0,INDEX(Acct1_Raw!$B$3:$BO$26,MATCH(Months_Ref!$A$2,Acct1_Raw!$A$3:$A$26,0),MATCH($A37,Acct1_Raw!$B$1:$BO$1,0))),0)</f>
        <v>10229.492</v>
      </c>
      <c r="C37" s="4">
        <f>IFERROR(IF(Months_Ref!$A$3="",0,INDEX(Acct1_Raw!$B$3:$BO$26,MATCH(Months_Ref!$A$3,Acct1_Raw!$A$3:$A$26,0),MATCH($A37,Acct1_Raw!$B$1:$BO$1,0))),0)</f>
        <v>8821.3320000000003</v>
      </c>
      <c r="D37" s="4">
        <f>IFERROR(IF(Months_Ref!$A$4="",0,INDEX(Acct1_Raw!$B$3:$BO$26,MATCH(Months_Ref!$A$4,Acct1_Raw!$A$3:$A$26,0),MATCH($A37,Acct1_Raw!$B$1:$BO$1,0))),0)</f>
        <v>8852.4699999999993</v>
      </c>
      <c r="E37" s="4">
        <f>IFERROR(IF(Months_Ref!$A$5="",0,INDEX(Acct1_Raw!$B$3:$BO$26,MATCH(Months_Ref!$A$5,Acct1_Raw!$A$3:$A$26,0),MATCH($A37,Acct1_Raw!$B$1:$BO$1,0))),0)</f>
        <v>9037.3549999999996</v>
      </c>
      <c r="F37" s="4">
        <f>IFERROR(IF(Months_Ref!$A$6="",0,INDEX(Acct1_Raw!$B$3:$BO$26,MATCH(Months_Ref!$A$6,Acct1_Raw!$A$3:$A$26,0),MATCH($A37,Acct1_Raw!$B$1:$BO$1,0))),0)</f>
        <v>10695.681</v>
      </c>
      <c r="G37" s="4">
        <f>IFERROR(IF(Months_Ref!$A$7="",0,INDEX(Acct1_Raw!$B$3:$BO$26,MATCH(Months_Ref!$A$7,Acct1_Raw!$A$3:$A$26,0),MATCH($A37,Acct1_Raw!$B$1:$BO$1,0))),0)</f>
        <v>8743.7279999999992</v>
      </c>
      <c r="H37" s="4">
        <f>IFERROR(IF(Months_Ref!$A$2="",0,INDEX(Acct2_Raw!$B$3:$BO$26,MATCH(Months_Ref!$A$2,Acct2_Raw!$A$3:$A$26,0),MATCH($A37,Acct2_Raw!$B$1:$BO$1,0))),0)</f>
        <v>8025.7430000000004</v>
      </c>
      <c r="I37" s="4">
        <f>IFERROR(IF(Months_Ref!$A$3="",0,INDEX(Acct2_Raw!$B$3:$BO$26,MATCH(Months_Ref!$A$3,Acct2_Raw!$A$3:$A$26,0),MATCH($A37,Acct2_Raw!$B$1:$BO$1,0))),0)</f>
        <v>8227.4030000000002</v>
      </c>
      <c r="J37" s="4">
        <f>IFERROR(IF(Months_Ref!$A$4="",0,INDEX(Acct2_Raw!$B$3:$BO$26,MATCH(Months_Ref!$A$4,Acct2_Raw!$A$3:$A$26,0),MATCH($A37,Acct2_Raw!$B$1:$BO$1,0))),0)</f>
        <v>8121.0870000000004</v>
      </c>
      <c r="K37" s="4">
        <f>IFERROR(IF(Months_Ref!$A$5="",0,INDEX(Acct2_Raw!$B$3:$BO$26,MATCH(Months_Ref!$A$5,Acct2_Raw!$A$3:$A$26,0),MATCH($A37,Acct2_Raw!$B$1:$BO$1,0))),0)</f>
        <v>9137.4369999999999</v>
      </c>
      <c r="L37" s="4">
        <f>IFERROR(IF(Months_Ref!$A$6="",0,INDEX(Acct2_Raw!$B$3:$BO$26,MATCH(Months_Ref!$A$6,Acct2_Raw!$A$3:$A$26,0),MATCH($A37,Acct2_Raw!$B$1:$BO$1,0))),0)</f>
        <v>9052.7649999999994</v>
      </c>
      <c r="M37" s="4">
        <f>IFERROR(IF(Months_Ref!$A$7="",0,INDEX(Acct2_Raw!$B$3:$BO$26,MATCH(Months_Ref!$A$7,Acct2_Raw!$A$3:$A$26,0),MATCH($A37,Acct2_Raw!$B$1:$BO$1,0))),0)</f>
        <v>7794.3850000000002</v>
      </c>
      <c r="N37" s="4">
        <f t="shared" si="6"/>
        <v>18255.235000000001</v>
      </c>
      <c r="O37" s="4">
        <f t="shared" si="7"/>
        <v>17048.735000000001</v>
      </c>
      <c r="P37" s="4">
        <f t="shared" si="8"/>
        <v>16973.557000000001</v>
      </c>
      <c r="Q37" s="4">
        <f t="shared" si="9"/>
        <v>18174.792000000001</v>
      </c>
      <c r="R37" s="4">
        <f t="shared" si="10"/>
        <v>19748.446</v>
      </c>
      <c r="S37" s="4">
        <f t="shared" si="11"/>
        <v>16538.112999999998</v>
      </c>
    </row>
    <row r="38" spans="1:19" ht="15" customHeight="1" x14ac:dyDescent="0.25">
      <c r="A38" s="3" t="s">
        <v>40</v>
      </c>
      <c r="B38" s="4">
        <f>IFERROR(IF(Months_Ref!$A$2="",0,INDEX(Acct1_Raw!$B$3:$BO$26,MATCH(Months_Ref!$A$2,Acct1_Raw!$A$3:$A$26,0),MATCH($A38,Acct1_Raw!$B$1:$BO$1,0))),0)</f>
        <v>8888.0239999999994</v>
      </c>
      <c r="C38" s="4">
        <f>IFERROR(IF(Months_Ref!$A$3="",0,INDEX(Acct1_Raw!$B$3:$BO$26,MATCH(Months_Ref!$A$3,Acct1_Raw!$A$3:$A$26,0),MATCH($A38,Acct1_Raw!$B$1:$BO$1,0))),0)</f>
        <v>8039.9750000000004</v>
      </c>
      <c r="D38" s="4">
        <f>IFERROR(IF(Months_Ref!$A$4="",0,INDEX(Acct1_Raw!$B$3:$BO$26,MATCH(Months_Ref!$A$4,Acct1_Raw!$A$3:$A$26,0),MATCH($A38,Acct1_Raw!$B$1:$BO$1,0))),0)</f>
        <v>8917.9599999999991</v>
      </c>
      <c r="E38" s="4">
        <f>IFERROR(IF(Months_Ref!$A$5="",0,INDEX(Acct1_Raw!$B$3:$BO$26,MATCH(Months_Ref!$A$5,Acct1_Raw!$A$3:$A$26,0),MATCH($A38,Acct1_Raw!$B$1:$BO$1,0))),0)</f>
        <v>9813.6229999999996</v>
      </c>
      <c r="F38" s="4">
        <f>IFERROR(IF(Months_Ref!$A$6="",0,INDEX(Acct1_Raw!$B$3:$BO$26,MATCH(Months_Ref!$A$6,Acct1_Raw!$A$3:$A$26,0),MATCH($A38,Acct1_Raw!$B$1:$BO$1,0))),0)</f>
        <v>7528.2730000000001</v>
      </c>
      <c r="G38" s="4">
        <f>IFERROR(IF(Months_Ref!$A$7="",0,INDEX(Acct1_Raw!$B$3:$BO$26,MATCH(Months_Ref!$A$7,Acct1_Raw!$A$3:$A$26,0),MATCH($A38,Acct1_Raw!$B$1:$BO$1,0))),0)</f>
        <v>7467.5680000000002</v>
      </c>
      <c r="H38" s="4">
        <f>IFERROR(IF(Months_Ref!$A$2="",0,INDEX(Acct2_Raw!$B$3:$BO$26,MATCH(Months_Ref!$A$2,Acct2_Raw!$A$3:$A$26,0),MATCH($A38,Acct2_Raw!$B$1:$BO$1,0))),0)</f>
        <v>5287.6080000000002</v>
      </c>
      <c r="I38" s="4">
        <f>IFERROR(IF(Months_Ref!$A$3="",0,INDEX(Acct2_Raw!$B$3:$BO$26,MATCH(Months_Ref!$A$3,Acct2_Raw!$A$3:$A$26,0),MATCH($A38,Acct2_Raw!$B$1:$BO$1,0))),0)</f>
        <v>4930.8220000000001</v>
      </c>
      <c r="J38" s="4">
        <f>IFERROR(IF(Months_Ref!$A$4="",0,INDEX(Acct2_Raw!$B$3:$BO$26,MATCH(Months_Ref!$A$4,Acct2_Raw!$A$3:$A$26,0),MATCH($A38,Acct2_Raw!$B$1:$BO$1,0))),0)</f>
        <v>4691.5370000000003</v>
      </c>
      <c r="K38" s="4">
        <f>IFERROR(IF(Months_Ref!$A$5="",0,INDEX(Acct2_Raw!$B$3:$BO$26,MATCH(Months_Ref!$A$5,Acct2_Raw!$A$3:$A$26,0),MATCH($A38,Acct2_Raw!$B$1:$BO$1,0))),0)</f>
        <v>5532.0680000000002</v>
      </c>
      <c r="L38" s="4">
        <f>IFERROR(IF(Months_Ref!$A$6="",0,INDEX(Acct2_Raw!$B$3:$BO$26,MATCH(Months_Ref!$A$6,Acct2_Raw!$A$3:$A$26,0),MATCH($A38,Acct2_Raw!$B$1:$BO$1,0))),0)</f>
        <v>4794.1949999999997</v>
      </c>
      <c r="M38" s="4">
        <f>IFERROR(IF(Months_Ref!$A$7="",0,INDEX(Acct2_Raw!$B$3:$BO$26,MATCH(Months_Ref!$A$7,Acct2_Raw!$A$3:$A$26,0),MATCH($A38,Acct2_Raw!$B$1:$BO$1,0))),0)</f>
        <v>4872.982</v>
      </c>
      <c r="N38" s="4">
        <f t="shared" si="6"/>
        <v>14175.632</v>
      </c>
      <c r="O38" s="4">
        <f t="shared" si="7"/>
        <v>12970.797</v>
      </c>
      <c r="P38" s="4">
        <f t="shared" si="8"/>
        <v>13609.496999999999</v>
      </c>
      <c r="Q38" s="4">
        <f t="shared" si="9"/>
        <v>15345.690999999999</v>
      </c>
      <c r="R38" s="4">
        <f t="shared" si="10"/>
        <v>12322.468000000001</v>
      </c>
      <c r="S38" s="4">
        <f t="shared" si="11"/>
        <v>12340.55</v>
      </c>
    </row>
    <row r="39" spans="1:19" ht="15" customHeight="1" x14ac:dyDescent="0.25">
      <c r="A39" s="3" t="s">
        <v>47</v>
      </c>
      <c r="B39" s="4">
        <f>IFERROR(IF(Months_Ref!$A$2="",0,INDEX(Acct1_Raw!$B$3:$BO$26,MATCH(Months_Ref!$A$2,Acct1_Raw!$A$3:$A$26,0),MATCH($A39,Acct1_Raw!$B$1:$BO$1,0))),0)</f>
        <v>1568.126</v>
      </c>
      <c r="C39" s="4">
        <f>IFERROR(IF(Months_Ref!$A$3="",0,INDEX(Acct1_Raw!$B$3:$BO$26,MATCH(Months_Ref!$A$3,Acct1_Raw!$A$3:$A$26,0),MATCH($A39,Acct1_Raw!$B$1:$BO$1,0))),0)</f>
        <v>1462.529</v>
      </c>
      <c r="D39" s="4">
        <f>IFERROR(IF(Months_Ref!$A$4="",0,INDEX(Acct1_Raw!$B$3:$BO$26,MATCH(Months_Ref!$A$4,Acct1_Raw!$A$3:$A$26,0),MATCH($A39,Acct1_Raw!$B$1:$BO$1,0))),0)</f>
        <v>1796.9939999999999</v>
      </c>
      <c r="E39" s="4">
        <f>IFERROR(IF(Months_Ref!$A$5="",0,INDEX(Acct1_Raw!$B$3:$BO$26,MATCH(Months_Ref!$A$5,Acct1_Raw!$A$3:$A$26,0),MATCH($A39,Acct1_Raw!$B$1:$BO$1,0))),0)</f>
        <v>1683.998</v>
      </c>
      <c r="F39" s="4">
        <f>IFERROR(IF(Months_Ref!$A$6="",0,INDEX(Acct1_Raw!$B$3:$BO$26,MATCH(Months_Ref!$A$6,Acct1_Raw!$A$3:$A$26,0),MATCH($A39,Acct1_Raw!$B$1:$BO$1,0))),0)</f>
        <v>1650.8789999999999</v>
      </c>
      <c r="G39" s="4">
        <f>IFERROR(IF(Months_Ref!$A$7="",0,INDEX(Acct1_Raw!$B$3:$BO$26,MATCH(Months_Ref!$A$7,Acct1_Raw!$A$3:$A$26,0),MATCH($A39,Acct1_Raw!$B$1:$BO$1,0))),0)</f>
        <v>1388.394</v>
      </c>
      <c r="H39" s="4">
        <f>IFERROR(IF(Months_Ref!$A$2="",0,INDEX(Acct2_Raw!$B$3:$BO$26,MATCH(Months_Ref!$A$2,Acct2_Raw!$A$3:$A$26,0),MATCH($A39,Acct2_Raw!$B$1:$BO$1,0))),0)</f>
        <v>4615.0640000000003</v>
      </c>
      <c r="I39" s="4">
        <f>IFERROR(IF(Months_Ref!$A$3="",0,INDEX(Acct2_Raw!$B$3:$BO$26,MATCH(Months_Ref!$A$3,Acct2_Raw!$A$3:$A$26,0),MATCH($A39,Acct2_Raw!$B$1:$BO$1,0))),0)</f>
        <v>4099.6559999999999</v>
      </c>
      <c r="J39" s="4">
        <f>IFERROR(IF(Months_Ref!$A$4="",0,INDEX(Acct2_Raw!$B$3:$BO$26,MATCH(Months_Ref!$A$4,Acct2_Raw!$A$3:$A$26,0),MATCH($A39,Acct2_Raw!$B$1:$BO$1,0))),0)</f>
        <v>4178.3119999999999</v>
      </c>
      <c r="K39" s="4">
        <f>IFERROR(IF(Months_Ref!$A$5="",0,INDEX(Acct2_Raw!$B$3:$BO$26,MATCH(Months_Ref!$A$5,Acct2_Raw!$A$3:$A$26,0),MATCH($A39,Acct2_Raw!$B$1:$BO$1,0))),0)</f>
        <v>3755.8530000000001</v>
      </c>
      <c r="L39" s="4">
        <f>IFERROR(IF(Months_Ref!$A$6="",0,INDEX(Acct2_Raw!$B$3:$BO$26,MATCH(Months_Ref!$A$6,Acct2_Raw!$A$3:$A$26,0),MATCH($A39,Acct2_Raw!$B$1:$BO$1,0))),0)</f>
        <v>3654.904</v>
      </c>
      <c r="M39" s="4">
        <f>IFERROR(IF(Months_Ref!$A$7="",0,INDEX(Acct2_Raw!$B$3:$BO$26,MATCH(Months_Ref!$A$7,Acct2_Raw!$A$3:$A$26,0),MATCH($A39,Acct2_Raw!$B$1:$BO$1,0))),0)</f>
        <v>3989.2289999999998</v>
      </c>
      <c r="N39" s="4">
        <f t="shared" si="6"/>
        <v>6183.1900000000005</v>
      </c>
      <c r="O39" s="4">
        <f t="shared" si="7"/>
        <v>5562.1849999999995</v>
      </c>
      <c r="P39" s="4">
        <f t="shared" si="8"/>
        <v>5975.3059999999996</v>
      </c>
      <c r="Q39" s="4">
        <f t="shared" si="9"/>
        <v>5439.8510000000006</v>
      </c>
      <c r="R39" s="4">
        <f t="shared" si="10"/>
        <v>5305.7829999999994</v>
      </c>
      <c r="S39" s="4">
        <f t="shared" si="11"/>
        <v>5377.6229999999996</v>
      </c>
    </row>
    <row r="40" spans="1:19" ht="15" customHeight="1" x14ac:dyDescent="0.25">
      <c r="A40" s="3" t="s">
        <v>20</v>
      </c>
      <c r="B40" s="4">
        <f>IFERROR(IF(Months_Ref!$A$2="",0,INDEX(Acct1_Raw!$B$3:$BO$26,MATCH(Months_Ref!$A$2,Acct1_Raw!$A$3:$A$26,0),MATCH($A40,Acct1_Raw!$B$1:$BO$1,0))),0)</f>
        <v>205.68199999999999</v>
      </c>
      <c r="C40" s="4">
        <f>IFERROR(IF(Months_Ref!$A$3="",0,INDEX(Acct1_Raw!$B$3:$BO$26,MATCH(Months_Ref!$A$3,Acct1_Raw!$A$3:$A$26,0),MATCH($A40,Acct1_Raw!$B$1:$BO$1,0))),0)</f>
        <v>209.72800000000001</v>
      </c>
      <c r="D40" s="4">
        <f>IFERROR(IF(Months_Ref!$A$4="",0,INDEX(Acct1_Raw!$B$3:$BO$26,MATCH(Months_Ref!$A$4,Acct1_Raw!$A$3:$A$26,0),MATCH($A40,Acct1_Raw!$B$1:$BO$1,0))),0)</f>
        <v>182.89500000000001</v>
      </c>
      <c r="E40" s="4">
        <f>IFERROR(IF(Months_Ref!$A$5="",0,INDEX(Acct1_Raw!$B$3:$BO$26,MATCH(Months_Ref!$A$5,Acct1_Raw!$A$3:$A$26,0),MATCH($A40,Acct1_Raw!$B$1:$BO$1,0))),0)</f>
        <v>190.90799999999999</v>
      </c>
      <c r="F40" s="4">
        <f>IFERROR(IF(Months_Ref!$A$6="",0,INDEX(Acct1_Raw!$B$3:$BO$26,MATCH(Months_Ref!$A$6,Acct1_Raw!$A$3:$A$26,0),MATCH($A40,Acct1_Raw!$B$1:$BO$1,0))),0)</f>
        <v>168.749</v>
      </c>
      <c r="G40" s="4">
        <f>IFERROR(IF(Months_Ref!$A$7="",0,INDEX(Acct1_Raw!$B$3:$BO$26,MATCH(Months_Ref!$A$7,Acct1_Raw!$A$3:$A$26,0),MATCH($A40,Acct1_Raw!$B$1:$BO$1,0))),0)</f>
        <v>167.655</v>
      </c>
      <c r="H40" s="4">
        <f>IFERROR(IF(Months_Ref!$A$2="",0,INDEX(Acct2_Raw!$B$3:$BO$26,MATCH(Months_Ref!$A$2,Acct2_Raw!$A$3:$A$26,0),MATCH($A40,Acct2_Raw!$B$1:$BO$1,0))),0)</f>
        <v>11355.949000000001</v>
      </c>
      <c r="I40" s="4">
        <f>IFERROR(IF(Months_Ref!$A$3="",0,INDEX(Acct2_Raw!$B$3:$BO$26,MATCH(Months_Ref!$A$3,Acct2_Raw!$A$3:$A$26,0),MATCH($A40,Acct2_Raw!$B$1:$BO$1,0))),0)</f>
        <v>12378.144</v>
      </c>
      <c r="J40" s="4">
        <f>IFERROR(IF(Months_Ref!$A$4="",0,INDEX(Acct2_Raw!$B$3:$BO$26,MATCH(Months_Ref!$A$4,Acct2_Raw!$A$3:$A$26,0),MATCH($A40,Acct2_Raw!$B$1:$BO$1,0))),0)</f>
        <v>11458.732</v>
      </c>
      <c r="K40" s="4">
        <f>IFERROR(IF(Months_Ref!$A$5="",0,INDEX(Acct2_Raw!$B$3:$BO$26,MATCH(Months_Ref!$A$5,Acct2_Raw!$A$3:$A$26,0),MATCH($A40,Acct2_Raw!$B$1:$BO$1,0))),0)</f>
        <v>13429.625</v>
      </c>
      <c r="L40" s="4">
        <f>IFERROR(IF(Months_Ref!$A$6="",0,INDEX(Acct2_Raw!$B$3:$BO$26,MATCH(Months_Ref!$A$6,Acct2_Raw!$A$3:$A$26,0),MATCH($A40,Acct2_Raw!$B$1:$BO$1,0))),0)</f>
        <v>13050.325000000001</v>
      </c>
      <c r="M40" s="4">
        <f>IFERROR(IF(Months_Ref!$A$7="",0,INDEX(Acct2_Raw!$B$3:$BO$26,MATCH(Months_Ref!$A$7,Acct2_Raw!$A$3:$A$26,0),MATCH($A40,Acct2_Raw!$B$1:$BO$1,0))),0)</f>
        <v>12948.016</v>
      </c>
      <c r="N40" s="4">
        <f t="shared" si="6"/>
        <v>11561.631000000001</v>
      </c>
      <c r="O40" s="4">
        <f t="shared" si="7"/>
        <v>12587.871999999999</v>
      </c>
      <c r="P40" s="4">
        <f t="shared" si="8"/>
        <v>11641.627</v>
      </c>
      <c r="Q40" s="4">
        <f t="shared" si="9"/>
        <v>13620.532999999999</v>
      </c>
      <c r="R40" s="4">
        <f t="shared" si="10"/>
        <v>13219.074000000001</v>
      </c>
      <c r="S40" s="4">
        <f t="shared" si="11"/>
        <v>13115.671</v>
      </c>
    </row>
    <row r="41" spans="1:19" ht="15" customHeight="1" x14ac:dyDescent="0.25">
      <c r="A41" s="3" t="s">
        <v>6</v>
      </c>
      <c r="B41" s="4">
        <f>IFERROR(IF(Months_Ref!$A$2="",0,INDEX(Acct1_Raw!$B$3:$BO$26,MATCH(Months_Ref!$A$2,Acct1_Raw!$A$3:$A$26,0),MATCH($A41,Acct1_Raw!$B$1:$BO$1,0))),0)</f>
        <v>10978.922</v>
      </c>
      <c r="C41" s="4">
        <f>IFERROR(IF(Months_Ref!$A$3="",0,INDEX(Acct1_Raw!$B$3:$BO$26,MATCH(Months_Ref!$A$3,Acct1_Raw!$A$3:$A$26,0),MATCH($A41,Acct1_Raw!$B$1:$BO$1,0))),0)</f>
        <v>9163.4539999999997</v>
      </c>
      <c r="D41" s="4">
        <f>IFERROR(IF(Months_Ref!$A$4="",0,INDEX(Acct1_Raw!$B$3:$BO$26,MATCH(Months_Ref!$A$4,Acct1_Raw!$A$3:$A$26,0),MATCH($A41,Acct1_Raw!$B$1:$BO$1,0))),0)</f>
        <v>8679.2970000000005</v>
      </c>
      <c r="E41" s="4">
        <f>IFERROR(IF(Months_Ref!$A$5="",0,INDEX(Acct1_Raw!$B$3:$BO$26,MATCH(Months_Ref!$A$5,Acct1_Raw!$A$3:$A$26,0),MATCH($A41,Acct1_Raw!$B$1:$BO$1,0))),0)</f>
        <v>11278.27</v>
      </c>
      <c r="F41" s="4">
        <f>IFERROR(IF(Months_Ref!$A$6="",0,INDEX(Acct1_Raw!$B$3:$BO$26,MATCH(Months_Ref!$A$6,Acct1_Raw!$A$3:$A$26,0),MATCH($A41,Acct1_Raw!$B$1:$BO$1,0))),0)</f>
        <v>9308.2240000000002</v>
      </c>
      <c r="G41" s="4">
        <f>IFERROR(IF(Months_Ref!$A$7="",0,INDEX(Acct1_Raw!$B$3:$BO$26,MATCH(Months_Ref!$A$7,Acct1_Raw!$A$3:$A$26,0),MATCH($A41,Acct1_Raw!$B$1:$BO$1,0))),0)</f>
        <v>10775.308999999999</v>
      </c>
      <c r="H41" s="4">
        <f>IFERROR(IF(Months_Ref!$A$2="",0,INDEX(Acct2_Raw!$B$3:$BO$26,MATCH(Months_Ref!$A$2,Acct2_Raw!$A$3:$A$26,0),MATCH($A41,Acct2_Raw!$B$1:$BO$1,0))),0)</f>
        <v>11187.475</v>
      </c>
      <c r="I41" s="4">
        <f>IFERROR(IF(Months_Ref!$A$3="",0,INDEX(Acct2_Raw!$B$3:$BO$26,MATCH(Months_Ref!$A$3,Acct2_Raw!$A$3:$A$26,0),MATCH($A41,Acct2_Raw!$B$1:$BO$1,0))),0)</f>
        <v>13633.146000000001</v>
      </c>
      <c r="J41" s="4">
        <f>IFERROR(IF(Months_Ref!$A$4="",0,INDEX(Acct2_Raw!$B$3:$BO$26,MATCH(Months_Ref!$A$4,Acct2_Raw!$A$3:$A$26,0),MATCH($A41,Acct2_Raw!$B$1:$BO$1,0))),0)</f>
        <v>13201.623</v>
      </c>
      <c r="K41" s="4">
        <f>IFERROR(IF(Months_Ref!$A$5="",0,INDEX(Acct2_Raw!$B$3:$BO$26,MATCH(Months_Ref!$A$5,Acct2_Raw!$A$3:$A$26,0),MATCH($A41,Acct2_Raw!$B$1:$BO$1,0))),0)</f>
        <v>13839.888999999999</v>
      </c>
      <c r="L41" s="4">
        <f>IFERROR(IF(Months_Ref!$A$6="",0,INDEX(Acct2_Raw!$B$3:$BO$26,MATCH(Months_Ref!$A$6,Acct2_Raw!$A$3:$A$26,0),MATCH($A41,Acct2_Raw!$B$1:$BO$1,0))),0)</f>
        <v>11993.522000000001</v>
      </c>
      <c r="M41" s="4">
        <f>IFERROR(IF(Months_Ref!$A$7="",0,INDEX(Acct2_Raw!$B$3:$BO$26,MATCH(Months_Ref!$A$7,Acct2_Raw!$A$3:$A$26,0),MATCH($A41,Acct2_Raw!$B$1:$BO$1,0))),0)</f>
        <v>12914.552</v>
      </c>
      <c r="N41" s="4">
        <f t="shared" si="6"/>
        <v>22166.397000000001</v>
      </c>
      <c r="O41" s="4">
        <f t="shared" si="7"/>
        <v>22796.6</v>
      </c>
      <c r="P41" s="4">
        <f t="shared" si="8"/>
        <v>21880.92</v>
      </c>
      <c r="Q41" s="4">
        <f t="shared" si="9"/>
        <v>25118.159</v>
      </c>
      <c r="R41" s="4">
        <f t="shared" si="10"/>
        <v>21301.745999999999</v>
      </c>
      <c r="S41" s="4">
        <f t="shared" si="11"/>
        <v>23689.860999999997</v>
      </c>
    </row>
    <row r="42" spans="1:19" ht="15" customHeight="1" x14ac:dyDescent="0.25">
      <c r="A42" s="3" t="s">
        <v>32</v>
      </c>
      <c r="B42" s="4">
        <f>IFERROR(IF(Months_Ref!$A$2="",0,INDEX(Acct1_Raw!$B$3:$BO$26,MATCH(Months_Ref!$A$2,Acct1_Raw!$A$3:$A$26,0),MATCH($A42,Acct1_Raw!$B$1:$BO$1,0))),0)</f>
        <v>12307.606</v>
      </c>
      <c r="C42" s="4">
        <f>IFERROR(IF(Months_Ref!$A$3="",0,INDEX(Acct1_Raw!$B$3:$BO$26,MATCH(Months_Ref!$A$3,Acct1_Raw!$A$3:$A$26,0),MATCH($A42,Acct1_Raw!$B$1:$BO$1,0))),0)</f>
        <v>12489.842000000001</v>
      </c>
      <c r="D42" s="4">
        <f>IFERROR(IF(Months_Ref!$A$4="",0,INDEX(Acct1_Raw!$B$3:$BO$26,MATCH(Months_Ref!$A$4,Acct1_Raw!$A$3:$A$26,0),MATCH($A42,Acct1_Raw!$B$1:$BO$1,0))),0)</f>
        <v>11143.13</v>
      </c>
      <c r="E42" s="4">
        <f>IFERROR(IF(Months_Ref!$A$5="",0,INDEX(Acct1_Raw!$B$3:$BO$26,MATCH(Months_Ref!$A$5,Acct1_Raw!$A$3:$A$26,0),MATCH($A42,Acct1_Raw!$B$1:$BO$1,0))),0)</f>
        <v>10359.647999999999</v>
      </c>
      <c r="F42" s="4">
        <f>IFERROR(IF(Months_Ref!$A$6="",0,INDEX(Acct1_Raw!$B$3:$BO$26,MATCH(Months_Ref!$A$6,Acct1_Raw!$A$3:$A$26,0),MATCH($A42,Acct1_Raw!$B$1:$BO$1,0))),0)</f>
        <v>9345.3060000000005</v>
      </c>
      <c r="G42" s="4">
        <f>IFERROR(IF(Months_Ref!$A$7="",0,INDEX(Acct1_Raw!$B$3:$BO$26,MATCH(Months_Ref!$A$7,Acct1_Raw!$A$3:$A$26,0),MATCH($A42,Acct1_Raw!$B$1:$BO$1,0))),0)</f>
        <v>9422.6</v>
      </c>
      <c r="H42" s="4">
        <f>IFERROR(IF(Months_Ref!$A$2="",0,INDEX(Acct2_Raw!$B$3:$BO$26,MATCH(Months_Ref!$A$2,Acct2_Raw!$A$3:$A$26,0),MATCH($A42,Acct2_Raw!$B$1:$BO$1,0))),0)</f>
        <v>4487.0990000000002</v>
      </c>
      <c r="I42" s="4">
        <f>IFERROR(IF(Months_Ref!$A$3="",0,INDEX(Acct2_Raw!$B$3:$BO$26,MATCH(Months_Ref!$A$3,Acct2_Raw!$A$3:$A$26,0),MATCH($A42,Acct2_Raw!$B$1:$BO$1,0))),0)</f>
        <v>3965.7179999999998</v>
      </c>
      <c r="J42" s="4">
        <f>IFERROR(IF(Months_Ref!$A$4="",0,INDEX(Acct2_Raw!$B$3:$BO$26,MATCH(Months_Ref!$A$4,Acct2_Raw!$A$3:$A$26,0),MATCH($A42,Acct2_Raw!$B$1:$BO$1,0))),0)</f>
        <v>3961.0709999999999</v>
      </c>
      <c r="K42" s="4">
        <f>IFERROR(IF(Months_Ref!$A$5="",0,INDEX(Acct2_Raw!$B$3:$BO$26,MATCH(Months_Ref!$A$5,Acct2_Raw!$A$3:$A$26,0),MATCH($A42,Acct2_Raw!$B$1:$BO$1,0))),0)</f>
        <v>4417.53</v>
      </c>
      <c r="L42" s="4">
        <f>IFERROR(IF(Months_Ref!$A$6="",0,INDEX(Acct2_Raw!$B$3:$BO$26,MATCH(Months_Ref!$A$6,Acct2_Raw!$A$3:$A$26,0),MATCH($A42,Acct2_Raw!$B$1:$BO$1,0))),0)</f>
        <v>4794.3029999999999</v>
      </c>
      <c r="M42" s="4">
        <f>IFERROR(IF(Months_Ref!$A$7="",0,INDEX(Acct2_Raw!$B$3:$BO$26,MATCH(Months_Ref!$A$7,Acct2_Raw!$A$3:$A$26,0),MATCH($A42,Acct2_Raw!$B$1:$BO$1,0))),0)</f>
        <v>4430.4110000000001</v>
      </c>
      <c r="N42" s="4">
        <f t="shared" si="6"/>
        <v>16794.705000000002</v>
      </c>
      <c r="O42" s="4">
        <f t="shared" si="7"/>
        <v>16455.560000000001</v>
      </c>
      <c r="P42" s="4">
        <f t="shared" si="8"/>
        <v>15104.200999999999</v>
      </c>
      <c r="Q42" s="4">
        <f t="shared" si="9"/>
        <v>14777.178</v>
      </c>
      <c r="R42" s="4">
        <f t="shared" si="10"/>
        <v>14139.609</v>
      </c>
      <c r="S42" s="4">
        <f t="shared" si="11"/>
        <v>13853.011</v>
      </c>
    </row>
    <row r="43" spans="1:19" ht="15" customHeight="1" x14ac:dyDescent="0.25">
      <c r="A43" s="3" t="s">
        <v>63</v>
      </c>
      <c r="B43" s="4">
        <f>IFERROR(IF(Months_Ref!$A$2="",0,INDEX(Acct1_Raw!$B$3:$BO$26,MATCH(Months_Ref!$A$2,Acct1_Raw!$A$3:$A$26,0),MATCH($A43,Acct1_Raw!$B$1:$BO$1,0))),0)</f>
        <v>8255.2649999999994</v>
      </c>
      <c r="C43" s="4">
        <f>IFERROR(IF(Months_Ref!$A$3="",0,INDEX(Acct1_Raw!$B$3:$BO$26,MATCH(Months_Ref!$A$3,Acct1_Raw!$A$3:$A$26,0),MATCH($A43,Acct1_Raw!$B$1:$BO$1,0))),0)</f>
        <v>9358.1630000000005</v>
      </c>
      <c r="D43" s="4">
        <f>IFERROR(IF(Months_Ref!$A$4="",0,INDEX(Acct1_Raw!$B$3:$BO$26,MATCH(Months_Ref!$A$4,Acct1_Raw!$A$3:$A$26,0),MATCH($A43,Acct1_Raw!$B$1:$BO$1,0))),0)</f>
        <v>7975.732</v>
      </c>
      <c r="E43" s="4">
        <f>IFERROR(IF(Months_Ref!$A$5="",0,INDEX(Acct1_Raw!$B$3:$BO$26,MATCH(Months_Ref!$A$5,Acct1_Raw!$A$3:$A$26,0),MATCH($A43,Acct1_Raw!$B$1:$BO$1,0))),0)</f>
        <v>7897.0309999999999</v>
      </c>
      <c r="F43" s="4">
        <f>IFERROR(IF(Months_Ref!$A$6="",0,INDEX(Acct1_Raw!$B$3:$BO$26,MATCH(Months_Ref!$A$6,Acct1_Raw!$A$3:$A$26,0),MATCH($A43,Acct1_Raw!$B$1:$BO$1,0))),0)</f>
        <v>8717.902</v>
      </c>
      <c r="G43" s="4">
        <f>IFERROR(IF(Months_Ref!$A$7="",0,INDEX(Acct1_Raw!$B$3:$BO$26,MATCH(Months_Ref!$A$7,Acct1_Raw!$A$3:$A$26,0),MATCH($A43,Acct1_Raw!$B$1:$BO$1,0))),0)</f>
        <v>8780.9069999999992</v>
      </c>
      <c r="H43" s="4">
        <f>IFERROR(IF(Months_Ref!$A$2="",0,INDEX(Acct2_Raw!$B$3:$BO$26,MATCH(Months_Ref!$A$2,Acct2_Raw!$A$3:$A$26,0),MATCH($A43,Acct2_Raw!$B$1:$BO$1,0))),0)</f>
        <v>175.93299999999999</v>
      </c>
      <c r="I43" s="4">
        <f>IFERROR(IF(Months_Ref!$A$3="",0,INDEX(Acct2_Raw!$B$3:$BO$26,MATCH(Months_Ref!$A$3,Acct2_Raw!$A$3:$A$26,0),MATCH($A43,Acct2_Raw!$B$1:$BO$1,0))),0)</f>
        <v>207.91900000000001</v>
      </c>
      <c r="J43" s="4">
        <f>IFERROR(IF(Months_Ref!$A$4="",0,INDEX(Acct2_Raw!$B$3:$BO$26,MATCH(Months_Ref!$A$4,Acct2_Raw!$A$3:$A$26,0),MATCH($A43,Acct2_Raw!$B$1:$BO$1,0))),0)</f>
        <v>203.05500000000001</v>
      </c>
      <c r="K43" s="4">
        <f>IFERROR(IF(Months_Ref!$A$5="",0,INDEX(Acct2_Raw!$B$3:$BO$26,MATCH(Months_Ref!$A$5,Acct2_Raw!$A$3:$A$26,0),MATCH($A43,Acct2_Raw!$B$1:$BO$1,0))),0)</f>
        <v>178.46100000000001</v>
      </c>
      <c r="L43" s="4">
        <f>IFERROR(IF(Months_Ref!$A$6="",0,INDEX(Acct2_Raw!$B$3:$BO$26,MATCH(Months_Ref!$A$6,Acct2_Raw!$A$3:$A$26,0),MATCH($A43,Acct2_Raw!$B$1:$BO$1,0))),0)</f>
        <v>159.96100000000001</v>
      </c>
      <c r="M43" s="4">
        <f>IFERROR(IF(Months_Ref!$A$7="",0,INDEX(Acct2_Raw!$B$3:$BO$26,MATCH(Months_Ref!$A$7,Acct2_Raw!$A$3:$A$26,0),MATCH($A43,Acct2_Raw!$B$1:$BO$1,0))),0)</f>
        <v>170.03899999999999</v>
      </c>
      <c r="N43" s="4">
        <f t="shared" si="6"/>
        <v>8431.1980000000003</v>
      </c>
      <c r="O43" s="4">
        <f t="shared" si="7"/>
        <v>9566.0820000000003</v>
      </c>
      <c r="P43" s="4">
        <f t="shared" si="8"/>
        <v>8178.7870000000003</v>
      </c>
      <c r="Q43" s="4">
        <f t="shared" si="9"/>
        <v>8075.4920000000002</v>
      </c>
      <c r="R43" s="4">
        <f t="shared" si="10"/>
        <v>8877.8629999999994</v>
      </c>
      <c r="S43" s="4">
        <f t="shared" si="11"/>
        <v>8950.9459999999999</v>
      </c>
    </row>
    <row r="44" spans="1:19" ht="15" customHeight="1" x14ac:dyDescent="0.25">
      <c r="A44" s="3" t="s">
        <v>41</v>
      </c>
      <c r="B44" s="4">
        <f>IFERROR(IF(Months_Ref!$A$2="",0,INDEX(Acct1_Raw!$B$3:$BO$26,MATCH(Months_Ref!$A$2,Acct1_Raw!$A$3:$A$26,0),MATCH($A44,Acct1_Raw!$B$1:$BO$1,0))),0)</f>
        <v>10511.23</v>
      </c>
      <c r="C44" s="4">
        <f>IFERROR(IF(Months_Ref!$A$3="",0,INDEX(Acct1_Raw!$B$3:$BO$26,MATCH(Months_Ref!$A$3,Acct1_Raw!$A$3:$A$26,0),MATCH($A44,Acct1_Raw!$B$1:$BO$1,0))),0)</f>
        <v>10898.638000000001</v>
      </c>
      <c r="D44" s="4">
        <f>IFERROR(IF(Months_Ref!$A$4="",0,INDEX(Acct1_Raw!$B$3:$BO$26,MATCH(Months_Ref!$A$4,Acct1_Raw!$A$3:$A$26,0),MATCH($A44,Acct1_Raw!$B$1:$BO$1,0))),0)</f>
        <v>9479.2569999999996</v>
      </c>
      <c r="E44" s="4">
        <f>IFERROR(IF(Months_Ref!$A$5="",0,INDEX(Acct1_Raw!$B$3:$BO$26,MATCH(Months_Ref!$A$5,Acct1_Raw!$A$3:$A$26,0),MATCH($A44,Acct1_Raw!$B$1:$BO$1,0))),0)</f>
        <v>10720.376</v>
      </c>
      <c r="F44" s="4">
        <f>IFERROR(IF(Months_Ref!$A$6="",0,INDEX(Acct1_Raw!$B$3:$BO$26,MATCH(Months_Ref!$A$6,Acct1_Raw!$A$3:$A$26,0),MATCH($A44,Acct1_Raw!$B$1:$BO$1,0))),0)</f>
        <v>9800.7119999999995</v>
      </c>
      <c r="G44" s="4">
        <f>IFERROR(IF(Months_Ref!$A$7="",0,INDEX(Acct1_Raw!$B$3:$BO$26,MATCH(Months_Ref!$A$7,Acct1_Raw!$A$3:$A$26,0),MATCH($A44,Acct1_Raw!$B$1:$BO$1,0))),0)</f>
        <v>10261.165000000001</v>
      </c>
      <c r="H44" s="4">
        <f>IFERROR(IF(Months_Ref!$A$2="",0,INDEX(Acct2_Raw!$B$3:$BO$26,MATCH(Months_Ref!$A$2,Acct2_Raw!$A$3:$A$26,0),MATCH($A44,Acct2_Raw!$B$1:$BO$1,0))),0)</f>
        <v>1022.227</v>
      </c>
      <c r="I44" s="4">
        <f>IFERROR(IF(Months_Ref!$A$3="",0,INDEX(Acct2_Raw!$B$3:$BO$26,MATCH(Months_Ref!$A$3,Acct2_Raw!$A$3:$A$26,0),MATCH($A44,Acct2_Raw!$B$1:$BO$1,0))),0)</f>
        <v>788.50900000000001</v>
      </c>
      <c r="J44" s="4">
        <f>IFERROR(IF(Months_Ref!$A$4="",0,INDEX(Acct2_Raw!$B$3:$BO$26,MATCH(Months_Ref!$A$4,Acct2_Raw!$A$3:$A$26,0),MATCH($A44,Acct2_Raw!$B$1:$BO$1,0))),0)</f>
        <v>900.82299999999998</v>
      </c>
      <c r="K44" s="4">
        <f>IFERROR(IF(Months_Ref!$A$5="",0,INDEX(Acct2_Raw!$B$3:$BO$26,MATCH(Months_Ref!$A$5,Acct2_Raw!$A$3:$A$26,0),MATCH($A44,Acct2_Raw!$B$1:$BO$1,0))),0)</f>
        <v>1025.729</v>
      </c>
      <c r="L44" s="4">
        <f>IFERROR(IF(Months_Ref!$A$6="",0,INDEX(Acct2_Raw!$B$3:$BO$26,MATCH(Months_Ref!$A$6,Acct2_Raw!$A$3:$A$26,0),MATCH($A44,Acct2_Raw!$B$1:$BO$1,0))),0)</f>
        <v>816.36400000000003</v>
      </c>
      <c r="M44" s="4">
        <f>IFERROR(IF(Months_Ref!$A$7="",0,INDEX(Acct2_Raw!$B$3:$BO$26,MATCH(Months_Ref!$A$7,Acct2_Raw!$A$3:$A$26,0),MATCH($A44,Acct2_Raw!$B$1:$BO$1,0))),0)</f>
        <v>986.11599999999999</v>
      </c>
      <c r="N44" s="4">
        <f t="shared" si="6"/>
        <v>11533.457</v>
      </c>
      <c r="O44" s="4">
        <f t="shared" si="7"/>
        <v>11687.147000000001</v>
      </c>
      <c r="P44" s="4">
        <f t="shared" si="8"/>
        <v>10380.08</v>
      </c>
      <c r="Q44" s="4">
        <f t="shared" si="9"/>
        <v>11746.105</v>
      </c>
      <c r="R44" s="4">
        <f t="shared" si="10"/>
        <v>10617.075999999999</v>
      </c>
      <c r="S44" s="4">
        <f t="shared" si="11"/>
        <v>11247.281000000001</v>
      </c>
    </row>
    <row r="45" spans="1:19" ht="15" customHeight="1" x14ac:dyDescent="0.25">
      <c r="A45" s="3" t="s">
        <v>50</v>
      </c>
      <c r="B45" s="4">
        <f>IFERROR(IF(Months_Ref!$A$2="",0,INDEX(Acct1_Raw!$B$3:$BO$26,MATCH(Months_Ref!$A$2,Acct1_Raw!$A$3:$A$26,0),MATCH($A45,Acct1_Raw!$B$1:$BO$1,0))),0)</f>
        <v>5823.9229999999998</v>
      </c>
      <c r="C45" s="4">
        <f>IFERROR(IF(Months_Ref!$A$3="",0,INDEX(Acct1_Raw!$B$3:$BO$26,MATCH(Months_Ref!$A$3,Acct1_Raw!$A$3:$A$26,0),MATCH($A45,Acct1_Raw!$B$1:$BO$1,0))),0)</f>
        <v>5362.9210000000003</v>
      </c>
      <c r="D45" s="4">
        <f>IFERROR(IF(Months_Ref!$A$4="",0,INDEX(Acct1_Raw!$B$3:$BO$26,MATCH(Months_Ref!$A$4,Acct1_Raw!$A$3:$A$26,0),MATCH($A45,Acct1_Raw!$B$1:$BO$1,0))),0)</f>
        <v>4876.3190000000004</v>
      </c>
      <c r="E45" s="4">
        <f>IFERROR(IF(Months_Ref!$A$5="",0,INDEX(Acct1_Raw!$B$3:$BO$26,MATCH(Months_Ref!$A$5,Acct1_Raw!$A$3:$A$26,0),MATCH($A45,Acct1_Raw!$B$1:$BO$1,0))),0)</f>
        <v>6113.9830000000002</v>
      </c>
      <c r="F45" s="4">
        <f>IFERROR(IF(Months_Ref!$A$6="",0,INDEX(Acct1_Raw!$B$3:$BO$26,MATCH(Months_Ref!$A$6,Acct1_Raw!$A$3:$A$26,0),MATCH($A45,Acct1_Raw!$B$1:$BO$1,0))),0)</f>
        <v>5723.0919999999996</v>
      </c>
      <c r="G45" s="4">
        <f>IFERROR(IF(Months_Ref!$A$7="",0,INDEX(Acct1_Raw!$B$3:$BO$26,MATCH(Months_Ref!$A$7,Acct1_Raw!$A$3:$A$26,0),MATCH($A45,Acct1_Raw!$B$1:$BO$1,0))),0)</f>
        <v>5248.4250000000002</v>
      </c>
      <c r="H45" s="4">
        <f>IFERROR(IF(Months_Ref!$A$2="",0,INDEX(Acct2_Raw!$B$3:$BO$26,MATCH(Months_Ref!$A$2,Acct2_Raw!$A$3:$A$26,0),MATCH($A45,Acct2_Raw!$B$1:$BO$1,0))),0)</f>
        <v>12635.013999999999</v>
      </c>
      <c r="I45" s="4">
        <f>IFERROR(IF(Months_Ref!$A$3="",0,INDEX(Acct2_Raw!$B$3:$BO$26,MATCH(Months_Ref!$A$3,Acct2_Raw!$A$3:$A$26,0),MATCH($A45,Acct2_Raw!$B$1:$BO$1,0))),0)</f>
        <v>10164.525</v>
      </c>
      <c r="J45" s="4">
        <f>IFERROR(IF(Months_Ref!$A$4="",0,INDEX(Acct2_Raw!$B$3:$BO$26,MATCH(Months_Ref!$A$4,Acct2_Raw!$A$3:$A$26,0),MATCH($A45,Acct2_Raw!$B$1:$BO$1,0))),0)</f>
        <v>13524.200999999999</v>
      </c>
      <c r="K45" s="4">
        <f>IFERROR(IF(Months_Ref!$A$5="",0,INDEX(Acct2_Raw!$B$3:$BO$26,MATCH(Months_Ref!$A$5,Acct2_Raw!$A$3:$A$26,0),MATCH($A45,Acct2_Raw!$B$1:$BO$1,0))),0)</f>
        <v>13647.896000000001</v>
      </c>
      <c r="L45" s="4">
        <f>IFERROR(IF(Months_Ref!$A$6="",0,INDEX(Acct2_Raw!$B$3:$BO$26,MATCH(Months_Ref!$A$6,Acct2_Raw!$A$3:$A$26,0),MATCH($A45,Acct2_Raw!$B$1:$BO$1,0))),0)</f>
        <v>13499.796</v>
      </c>
      <c r="M45" s="4">
        <f>IFERROR(IF(Months_Ref!$A$7="",0,INDEX(Acct2_Raw!$B$3:$BO$26,MATCH(Months_Ref!$A$7,Acct2_Raw!$A$3:$A$26,0),MATCH($A45,Acct2_Raw!$B$1:$BO$1,0))),0)</f>
        <v>12102.471</v>
      </c>
      <c r="N45" s="4">
        <f t="shared" si="6"/>
        <v>18458.936999999998</v>
      </c>
      <c r="O45" s="4">
        <f t="shared" si="7"/>
        <v>15527.446</v>
      </c>
      <c r="P45" s="4">
        <f t="shared" si="8"/>
        <v>18400.52</v>
      </c>
      <c r="Q45" s="4">
        <f t="shared" si="9"/>
        <v>19761.879000000001</v>
      </c>
      <c r="R45" s="4">
        <f t="shared" si="10"/>
        <v>19222.887999999999</v>
      </c>
      <c r="S45" s="4">
        <f t="shared" si="11"/>
        <v>17350.896000000001</v>
      </c>
    </row>
    <row r="46" spans="1:19" ht="15" customHeight="1" x14ac:dyDescent="0.25">
      <c r="A46" s="3" t="s">
        <v>30</v>
      </c>
      <c r="B46" s="4">
        <f>IFERROR(IF(Months_Ref!$A$2="",0,INDEX(Acct1_Raw!$B$3:$BO$26,MATCH(Months_Ref!$A$2,Acct1_Raw!$A$3:$A$26,0),MATCH($A46,Acct1_Raw!$B$1:$BO$1,0))),0)</f>
        <v>9453.2530000000006</v>
      </c>
      <c r="C46" s="4">
        <f>IFERROR(IF(Months_Ref!$A$3="",0,INDEX(Acct1_Raw!$B$3:$BO$26,MATCH(Months_Ref!$A$3,Acct1_Raw!$A$3:$A$26,0),MATCH($A46,Acct1_Raw!$B$1:$BO$1,0))),0)</f>
        <v>10057.968999999999</v>
      </c>
      <c r="D46" s="4">
        <f>IFERROR(IF(Months_Ref!$A$4="",0,INDEX(Acct1_Raw!$B$3:$BO$26,MATCH(Months_Ref!$A$4,Acct1_Raw!$A$3:$A$26,0),MATCH($A46,Acct1_Raw!$B$1:$BO$1,0))),0)</f>
        <v>8445.9760000000006</v>
      </c>
      <c r="E46" s="4">
        <f>IFERROR(IF(Months_Ref!$A$5="",0,INDEX(Acct1_Raw!$B$3:$BO$26,MATCH(Months_Ref!$A$5,Acct1_Raw!$A$3:$A$26,0),MATCH($A46,Acct1_Raw!$B$1:$BO$1,0))),0)</f>
        <v>8916.9650000000001</v>
      </c>
      <c r="F46" s="4">
        <f>IFERROR(IF(Months_Ref!$A$6="",0,INDEX(Acct1_Raw!$B$3:$BO$26,MATCH(Months_Ref!$A$6,Acct1_Raw!$A$3:$A$26,0),MATCH($A46,Acct1_Raw!$B$1:$BO$1,0))),0)</f>
        <v>8396.94</v>
      </c>
      <c r="G46" s="4">
        <f>IFERROR(IF(Months_Ref!$A$7="",0,INDEX(Acct1_Raw!$B$3:$BO$26,MATCH(Months_Ref!$A$7,Acct1_Raw!$A$3:$A$26,0),MATCH($A46,Acct1_Raw!$B$1:$BO$1,0))),0)</f>
        <v>8329.9159999999993</v>
      </c>
      <c r="H46" s="4">
        <f>IFERROR(IF(Months_Ref!$A$2="",0,INDEX(Acct2_Raw!$B$3:$BO$26,MATCH(Months_Ref!$A$2,Acct2_Raw!$A$3:$A$26,0),MATCH($A46,Acct2_Raw!$B$1:$BO$1,0))),0)</f>
        <v>12798.691999999999</v>
      </c>
      <c r="I46" s="4">
        <f>IFERROR(IF(Months_Ref!$A$3="",0,INDEX(Acct2_Raw!$B$3:$BO$26,MATCH(Months_Ref!$A$3,Acct2_Raw!$A$3:$A$26,0),MATCH($A46,Acct2_Raw!$B$1:$BO$1,0))),0)</f>
        <v>12278.082</v>
      </c>
      <c r="J46" s="4">
        <f>IFERROR(IF(Months_Ref!$A$4="",0,INDEX(Acct2_Raw!$B$3:$BO$26,MATCH(Months_Ref!$A$4,Acct2_Raw!$A$3:$A$26,0),MATCH($A46,Acct2_Raw!$B$1:$BO$1,0))),0)</f>
        <v>14413.834000000001</v>
      </c>
      <c r="K46" s="4">
        <f>IFERROR(IF(Months_Ref!$A$5="",0,INDEX(Acct2_Raw!$B$3:$BO$26,MATCH(Months_Ref!$A$5,Acct2_Raw!$A$3:$A$26,0),MATCH($A46,Acct2_Raw!$B$1:$BO$1,0))),0)</f>
        <v>12989.169</v>
      </c>
      <c r="L46" s="4">
        <f>IFERROR(IF(Months_Ref!$A$6="",0,INDEX(Acct2_Raw!$B$3:$BO$26,MATCH(Months_Ref!$A$6,Acct2_Raw!$A$3:$A$26,0),MATCH($A46,Acct2_Raw!$B$1:$BO$1,0))),0)</f>
        <v>13227.697</v>
      </c>
      <c r="M46" s="4">
        <f>IFERROR(IF(Months_Ref!$A$7="",0,INDEX(Acct2_Raw!$B$3:$BO$26,MATCH(Months_Ref!$A$7,Acct2_Raw!$A$3:$A$26,0),MATCH($A46,Acct2_Raw!$B$1:$BO$1,0))),0)</f>
        <v>13551.787</v>
      </c>
      <c r="N46" s="4">
        <f t="shared" si="6"/>
        <v>22251.945</v>
      </c>
      <c r="O46" s="4">
        <f t="shared" si="7"/>
        <v>22336.050999999999</v>
      </c>
      <c r="P46" s="4">
        <f t="shared" si="8"/>
        <v>22859.81</v>
      </c>
      <c r="Q46" s="4">
        <f t="shared" si="9"/>
        <v>21906.133999999998</v>
      </c>
      <c r="R46" s="4">
        <f t="shared" si="10"/>
        <v>21624.637000000002</v>
      </c>
      <c r="S46" s="4">
        <f t="shared" si="11"/>
        <v>21881.703000000001</v>
      </c>
    </row>
    <row r="47" spans="1:19" ht="15" customHeight="1" x14ac:dyDescent="0.25">
      <c r="A47" s="3" t="s">
        <v>23</v>
      </c>
      <c r="B47" s="4">
        <f>IFERROR(IF(Months_Ref!$A$2="",0,INDEX(Acct1_Raw!$B$3:$BO$26,MATCH(Months_Ref!$A$2,Acct1_Raw!$A$3:$A$26,0),MATCH($A47,Acct1_Raw!$B$1:$BO$1,0))),0)</f>
        <v>4581.9409999999998</v>
      </c>
      <c r="C47" s="4">
        <f>IFERROR(IF(Months_Ref!$A$3="",0,INDEX(Acct1_Raw!$B$3:$BO$26,MATCH(Months_Ref!$A$3,Acct1_Raw!$A$3:$A$26,0),MATCH($A47,Acct1_Raw!$B$1:$BO$1,0))),0)</f>
        <v>5896.6629999999996</v>
      </c>
      <c r="D47" s="4">
        <f>IFERROR(IF(Months_Ref!$A$4="",0,INDEX(Acct1_Raw!$B$3:$BO$26,MATCH(Months_Ref!$A$4,Acct1_Raw!$A$3:$A$26,0),MATCH($A47,Acct1_Raw!$B$1:$BO$1,0))),0)</f>
        <v>5706.5119999999997</v>
      </c>
      <c r="E47" s="4">
        <f>IFERROR(IF(Months_Ref!$A$5="",0,INDEX(Acct1_Raw!$B$3:$BO$26,MATCH(Months_Ref!$A$5,Acct1_Raw!$A$3:$A$26,0),MATCH($A47,Acct1_Raw!$B$1:$BO$1,0))),0)</f>
        <v>5850.9539999999997</v>
      </c>
      <c r="F47" s="4">
        <f>IFERROR(IF(Months_Ref!$A$6="",0,INDEX(Acct1_Raw!$B$3:$BO$26,MATCH(Months_Ref!$A$6,Acct1_Raw!$A$3:$A$26,0),MATCH($A47,Acct1_Raw!$B$1:$BO$1,0))),0)</f>
        <v>5712.1480000000001</v>
      </c>
      <c r="G47" s="4">
        <f>IFERROR(IF(Months_Ref!$A$7="",0,INDEX(Acct1_Raw!$B$3:$BO$26,MATCH(Months_Ref!$A$7,Acct1_Raw!$A$3:$A$26,0),MATCH($A47,Acct1_Raw!$B$1:$BO$1,0))),0)</f>
        <v>5717.902</v>
      </c>
      <c r="H47" s="4">
        <f>IFERROR(IF(Months_Ref!$A$2="",0,INDEX(Acct2_Raw!$B$3:$BO$26,MATCH(Months_Ref!$A$2,Acct2_Raw!$A$3:$A$26,0),MATCH($A47,Acct2_Raw!$B$1:$BO$1,0))),0)</f>
        <v>1819.557</v>
      </c>
      <c r="I47" s="4">
        <f>IFERROR(IF(Months_Ref!$A$3="",0,INDEX(Acct2_Raw!$B$3:$BO$26,MATCH(Months_Ref!$A$3,Acct2_Raw!$A$3:$A$26,0),MATCH($A47,Acct2_Raw!$B$1:$BO$1,0))),0)</f>
        <v>1847.866</v>
      </c>
      <c r="J47" s="4">
        <f>IFERROR(IF(Months_Ref!$A$4="",0,INDEX(Acct2_Raw!$B$3:$BO$26,MATCH(Months_Ref!$A$4,Acct2_Raw!$A$3:$A$26,0),MATCH($A47,Acct2_Raw!$B$1:$BO$1,0))),0)</f>
        <v>2127.2750000000001</v>
      </c>
      <c r="K47" s="4">
        <f>IFERROR(IF(Months_Ref!$A$5="",0,INDEX(Acct2_Raw!$B$3:$BO$26,MATCH(Months_Ref!$A$5,Acct2_Raw!$A$3:$A$26,0),MATCH($A47,Acct2_Raw!$B$1:$BO$1,0))),0)</f>
        <v>2001.2080000000001</v>
      </c>
      <c r="L47" s="4">
        <f>IFERROR(IF(Months_Ref!$A$6="",0,INDEX(Acct2_Raw!$B$3:$BO$26,MATCH(Months_Ref!$A$6,Acct2_Raw!$A$3:$A$26,0),MATCH($A47,Acct2_Raw!$B$1:$BO$1,0))),0)</f>
        <v>2364.9250000000002</v>
      </c>
      <c r="M47" s="4">
        <f>IFERROR(IF(Months_Ref!$A$7="",0,INDEX(Acct2_Raw!$B$3:$BO$26,MATCH(Months_Ref!$A$7,Acct2_Raw!$A$3:$A$26,0),MATCH($A47,Acct2_Raw!$B$1:$BO$1,0))),0)</f>
        <v>2222.029</v>
      </c>
      <c r="N47" s="4">
        <f t="shared" si="6"/>
        <v>6401.4979999999996</v>
      </c>
      <c r="O47" s="4">
        <f t="shared" si="7"/>
        <v>7744.5289999999995</v>
      </c>
      <c r="P47" s="4">
        <f t="shared" si="8"/>
        <v>7833.7870000000003</v>
      </c>
      <c r="Q47" s="4">
        <f t="shared" si="9"/>
        <v>7852.1620000000003</v>
      </c>
      <c r="R47" s="4">
        <f t="shared" si="10"/>
        <v>8077.0730000000003</v>
      </c>
      <c r="S47" s="4">
        <f t="shared" si="11"/>
        <v>7939.9310000000005</v>
      </c>
    </row>
    <row r="48" spans="1:19" ht="15" customHeight="1" x14ac:dyDescent="0.25">
      <c r="A48" s="3" t="s">
        <v>26</v>
      </c>
      <c r="B48" s="4">
        <f>IFERROR(IF(Months_Ref!$A$2="",0,INDEX(Acct1_Raw!$B$3:$BO$26,MATCH(Months_Ref!$A$2,Acct1_Raw!$A$3:$A$26,0),MATCH($A48,Acct1_Raw!$B$1:$BO$1,0))),0)</f>
        <v>5250.7749999999996</v>
      </c>
      <c r="C48" s="4">
        <f>IFERROR(IF(Months_Ref!$A$3="",0,INDEX(Acct1_Raw!$B$3:$BO$26,MATCH(Months_Ref!$A$3,Acct1_Raw!$A$3:$A$26,0),MATCH($A48,Acct1_Raw!$B$1:$BO$1,0))),0)</f>
        <v>5495.7960000000003</v>
      </c>
      <c r="D48" s="4">
        <f>IFERROR(IF(Months_Ref!$A$4="",0,INDEX(Acct1_Raw!$B$3:$BO$26,MATCH(Months_Ref!$A$4,Acct1_Raw!$A$3:$A$26,0),MATCH($A48,Acct1_Raw!$B$1:$BO$1,0))),0)</f>
        <v>4772.5569999999998</v>
      </c>
      <c r="E48" s="4">
        <f>IFERROR(IF(Months_Ref!$A$5="",0,INDEX(Acct1_Raw!$B$3:$BO$26,MATCH(Months_Ref!$A$5,Acct1_Raw!$A$3:$A$26,0),MATCH($A48,Acct1_Raw!$B$1:$BO$1,0))),0)</f>
        <v>4621.9960000000001</v>
      </c>
      <c r="F48" s="4">
        <f>IFERROR(IF(Months_Ref!$A$6="",0,INDEX(Acct1_Raw!$B$3:$BO$26,MATCH(Months_Ref!$A$6,Acct1_Raw!$A$3:$A$26,0),MATCH($A48,Acct1_Raw!$B$1:$BO$1,0))),0)</f>
        <v>5314.3940000000002</v>
      </c>
      <c r="G48" s="4">
        <f>IFERROR(IF(Months_Ref!$A$7="",0,INDEX(Acct1_Raw!$B$3:$BO$26,MATCH(Months_Ref!$A$7,Acct1_Raw!$A$3:$A$26,0),MATCH($A48,Acct1_Raw!$B$1:$BO$1,0))),0)</f>
        <v>5495.0910000000003</v>
      </c>
      <c r="H48" s="4">
        <f>IFERROR(IF(Months_Ref!$A$2="",0,INDEX(Acct2_Raw!$B$3:$BO$26,MATCH(Months_Ref!$A$2,Acct2_Raw!$A$3:$A$26,0),MATCH($A48,Acct2_Raw!$B$1:$BO$1,0))),0)</f>
        <v>7561.8490000000002</v>
      </c>
      <c r="I48" s="4">
        <f>IFERROR(IF(Months_Ref!$A$3="",0,INDEX(Acct2_Raw!$B$3:$BO$26,MATCH(Months_Ref!$A$3,Acct2_Raw!$A$3:$A$26,0),MATCH($A48,Acct2_Raw!$B$1:$BO$1,0))),0)</f>
        <v>6574.9219999999996</v>
      </c>
      <c r="J48" s="4">
        <f>IFERROR(IF(Months_Ref!$A$4="",0,INDEX(Acct2_Raw!$B$3:$BO$26,MATCH(Months_Ref!$A$4,Acct2_Raw!$A$3:$A$26,0),MATCH($A48,Acct2_Raw!$B$1:$BO$1,0))),0)</f>
        <v>6289.9530000000004</v>
      </c>
      <c r="K48" s="4">
        <f>IFERROR(IF(Months_Ref!$A$5="",0,INDEX(Acct2_Raw!$B$3:$BO$26,MATCH(Months_Ref!$A$5,Acct2_Raw!$A$3:$A$26,0),MATCH($A48,Acct2_Raw!$B$1:$BO$1,0))),0)</f>
        <v>7665.4170000000004</v>
      </c>
      <c r="L48" s="4">
        <f>IFERROR(IF(Months_Ref!$A$6="",0,INDEX(Acct2_Raw!$B$3:$BO$26,MATCH(Months_Ref!$A$6,Acct2_Raw!$A$3:$A$26,0),MATCH($A48,Acct2_Raw!$B$1:$BO$1,0))),0)</f>
        <v>6108.1080000000002</v>
      </c>
      <c r="M48" s="4">
        <f>IFERROR(IF(Months_Ref!$A$7="",0,INDEX(Acct2_Raw!$B$3:$BO$26,MATCH(Months_Ref!$A$7,Acct2_Raw!$A$3:$A$26,0),MATCH($A48,Acct2_Raw!$B$1:$BO$1,0))),0)</f>
        <v>6991.0860000000002</v>
      </c>
      <c r="N48" s="4">
        <f t="shared" si="6"/>
        <v>12812.624</v>
      </c>
      <c r="O48" s="4">
        <f t="shared" si="7"/>
        <v>12070.718000000001</v>
      </c>
      <c r="P48" s="4">
        <f t="shared" si="8"/>
        <v>11062.51</v>
      </c>
      <c r="Q48" s="4">
        <f t="shared" si="9"/>
        <v>12287.413</v>
      </c>
      <c r="R48" s="4">
        <f t="shared" si="10"/>
        <v>11422.502</v>
      </c>
      <c r="S48" s="4">
        <f t="shared" si="11"/>
        <v>12486.177</v>
      </c>
    </row>
    <row r="49" spans="1:19" ht="15" customHeight="1" x14ac:dyDescent="0.25">
      <c r="A49" s="3" t="s">
        <v>1</v>
      </c>
      <c r="B49" s="4">
        <f>IFERROR(IF(Months_Ref!$A$2="",0,INDEX(Acct1_Raw!$B$3:$BO$26,MATCH(Months_Ref!$A$2,Acct1_Raw!$A$3:$A$26,0),MATCH($A49,Acct1_Raw!$B$1:$BO$1,0))),0)</f>
        <v>10719.241</v>
      </c>
      <c r="C49" s="4">
        <f>IFERROR(IF(Months_Ref!$A$3="",0,INDEX(Acct1_Raw!$B$3:$BO$26,MATCH(Months_Ref!$A$3,Acct1_Raw!$A$3:$A$26,0),MATCH($A49,Acct1_Raw!$B$1:$BO$1,0))),0)</f>
        <v>11069.505999999999</v>
      </c>
      <c r="D49" s="4">
        <f>IFERROR(IF(Months_Ref!$A$4="",0,INDEX(Acct1_Raw!$B$3:$BO$26,MATCH(Months_Ref!$A$4,Acct1_Raw!$A$3:$A$26,0),MATCH($A49,Acct1_Raw!$B$1:$BO$1,0))),0)</f>
        <v>10591.394</v>
      </c>
      <c r="E49" s="4">
        <f>IFERROR(IF(Months_Ref!$A$5="",0,INDEX(Acct1_Raw!$B$3:$BO$26,MATCH(Months_Ref!$A$5,Acct1_Raw!$A$3:$A$26,0),MATCH($A49,Acct1_Raw!$B$1:$BO$1,0))),0)</f>
        <v>10524.977000000001</v>
      </c>
      <c r="F49" s="4">
        <f>IFERROR(IF(Months_Ref!$A$6="",0,INDEX(Acct1_Raw!$B$3:$BO$26,MATCH(Months_Ref!$A$6,Acct1_Raw!$A$3:$A$26,0),MATCH($A49,Acct1_Raw!$B$1:$BO$1,0))),0)</f>
        <v>9424.9599999999991</v>
      </c>
      <c r="G49" s="4">
        <f>IFERROR(IF(Months_Ref!$A$7="",0,INDEX(Acct1_Raw!$B$3:$BO$26,MATCH(Months_Ref!$A$7,Acct1_Raw!$A$3:$A$26,0),MATCH($A49,Acct1_Raw!$B$1:$BO$1,0))),0)</f>
        <v>8968.1180000000004</v>
      </c>
      <c r="H49" s="4">
        <f>IFERROR(IF(Months_Ref!$A$2="",0,INDEX(Acct2_Raw!$B$3:$BO$26,MATCH(Months_Ref!$A$2,Acct2_Raw!$A$3:$A$26,0),MATCH($A49,Acct2_Raw!$B$1:$BO$1,0))),0)</f>
        <v>7898.098</v>
      </c>
      <c r="I49" s="4">
        <f>IFERROR(IF(Months_Ref!$A$3="",0,INDEX(Acct2_Raw!$B$3:$BO$26,MATCH(Months_Ref!$A$3,Acct2_Raw!$A$3:$A$26,0),MATCH($A49,Acct2_Raw!$B$1:$BO$1,0))),0)</f>
        <v>7596.8969999999999</v>
      </c>
      <c r="J49" s="4">
        <f>IFERROR(IF(Months_Ref!$A$4="",0,INDEX(Acct2_Raw!$B$3:$BO$26,MATCH(Months_Ref!$A$4,Acct2_Raw!$A$3:$A$26,0),MATCH($A49,Acct2_Raw!$B$1:$BO$1,0))),0)</f>
        <v>7489.5510000000004</v>
      </c>
      <c r="K49" s="4">
        <f>IFERROR(IF(Months_Ref!$A$5="",0,INDEX(Acct2_Raw!$B$3:$BO$26,MATCH(Months_Ref!$A$5,Acct2_Raw!$A$3:$A$26,0),MATCH($A49,Acct2_Raw!$B$1:$BO$1,0))),0)</f>
        <v>7486.0770000000002</v>
      </c>
      <c r="L49" s="4">
        <f>IFERROR(IF(Months_Ref!$A$6="",0,INDEX(Acct2_Raw!$B$3:$BO$26,MATCH(Months_Ref!$A$6,Acct2_Raw!$A$3:$A$26,0),MATCH($A49,Acct2_Raw!$B$1:$BO$1,0))),0)</f>
        <v>9317.598</v>
      </c>
      <c r="M49" s="4">
        <f>IFERROR(IF(Months_Ref!$A$7="",0,INDEX(Acct2_Raw!$B$3:$BO$26,MATCH(Months_Ref!$A$7,Acct2_Raw!$A$3:$A$26,0),MATCH($A49,Acct2_Raw!$B$1:$BO$1,0))),0)</f>
        <v>10067.384</v>
      </c>
      <c r="N49" s="4">
        <f t="shared" si="6"/>
        <v>18617.339</v>
      </c>
      <c r="O49" s="4">
        <f t="shared" si="7"/>
        <v>18666.402999999998</v>
      </c>
      <c r="P49" s="4">
        <f t="shared" si="8"/>
        <v>18080.945</v>
      </c>
      <c r="Q49" s="4">
        <f t="shared" si="9"/>
        <v>18011.054</v>
      </c>
      <c r="R49" s="4">
        <f t="shared" si="10"/>
        <v>18742.557999999997</v>
      </c>
      <c r="S49" s="4">
        <f t="shared" si="11"/>
        <v>19035.502</v>
      </c>
    </row>
    <row r="50" spans="1:19" ht="15" customHeight="1" x14ac:dyDescent="0.25">
      <c r="A50" s="3" t="s">
        <v>8</v>
      </c>
      <c r="B50" s="4">
        <f>IFERROR(IF(Months_Ref!$A$2="",0,INDEX(Acct1_Raw!$B$3:$BO$26,MATCH(Months_Ref!$A$2,Acct1_Raw!$A$3:$A$26,0),MATCH($A50,Acct1_Raw!$B$1:$BO$1,0))),0)</f>
        <v>1239.827</v>
      </c>
      <c r="C50" s="4">
        <f>IFERROR(IF(Months_Ref!$A$3="",0,INDEX(Acct1_Raw!$B$3:$BO$26,MATCH(Months_Ref!$A$3,Acct1_Raw!$A$3:$A$26,0),MATCH($A50,Acct1_Raw!$B$1:$BO$1,0))),0)</f>
        <v>1275.558</v>
      </c>
      <c r="D50" s="4">
        <f>IFERROR(IF(Months_Ref!$A$4="",0,INDEX(Acct1_Raw!$B$3:$BO$26,MATCH(Months_Ref!$A$4,Acct1_Raw!$A$3:$A$26,0),MATCH($A50,Acct1_Raw!$B$1:$BO$1,0))),0)</f>
        <v>1311.405</v>
      </c>
      <c r="E50" s="4">
        <f>IFERROR(IF(Months_Ref!$A$5="",0,INDEX(Acct1_Raw!$B$3:$BO$26,MATCH(Months_Ref!$A$5,Acct1_Raw!$A$3:$A$26,0),MATCH($A50,Acct1_Raw!$B$1:$BO$1,0))),0)</f>
        <v>1527.9169999999999</v>
      </c>
      <c r="F50" s="4">
        <f>IFERROR(IF(Months_Ref!$A$6="",0,INDEX(Acct1_Raw!$B$3:$BO$26,MATCH(Months_Ref!$A$6,Acct1_Raw!$A$3:$A$26,0),MATCH($A50,Acct1_Raw!$B$1:$BO$1,0))),0)</f>
        <v>1563.33</v>
      </c>
      <c r="G50" s="4">
        <f>IFERROR(IF(Months_Ref!$A$7="",0,INDEX(Acct1_Raw!$B$3:$BO$26,MATCH(Months_Ref!$A$7,Acct1_Raw!$A$3:$A$26,0),MATCH($A50,Acct1_Raw!$B$1:$BO$1,0))),0)</f>
        <v>1212.9680000000001</v>
      </c>
      <c r="H50" s="4">
        <f>IFERROR(IF(Months_Ref!$A$2="",0,INDEX(Acct2_Raw!$B$3:$BO$26,MATCH(Months_Ref!$A$2,Acct2_Raw!$A$3:$A$26,0),MATCH($A50,Acct2_Raw!$B$1:$BO$1,0))),0)</f>
        <v>1510.105</v>
      </c>
      <c r="I50" s="4">
        <f>IFERROR(IF(Months_Ref!$A$3="",0,INDEX(Acct2_Raw!$B$3:$BO$26,MATCH(Months_Ref!$A$3,Acct2_Raw!$A$3:$A$26,0),MATCH($A50,Acct2_Raw!$B$1:$BO$1,0))),0)</f>
        <v>1743.431</v>
      </c>
      <c r="J50" s="4">
        <f>IFERROR(IF(Months_Ref!$A$4="",0,INDEX(Acct2_Raw!$B$3:$BO$26,MATCH(Months_Ref!$A$4,Acct2_Raw!$A$3:$A$26,0),MATCH($A50,Acct2_Raw!$B$1:$BO$1,0))),0)</f>
        <v>1528.405</v>
      </c>
      <c r="K50" s="4">
        <f>IFERROR(IF(Months_Ref!$A$5="",0,INDEX(Acct2_Raw!$B$3:$BO$26,MATCH(Months_Ref!$A$5,Acct2_Raw!$A$3:$A$26,0),MATCH($A50,Acct2_Raw!$B$1:$BO$1,0))),0)</f>
        <v>1567.877</v>
      </c>
      <c r="L50" s="4">
        <f>IFERROR(IF(Months_Ref!$A$6="",0,INDEX(Acct2_Raw!$B$3:$BO$26,MATCH(Months_Ref!$A$6,Acct2_Raw!$A$3:$A$26,0),MATCH($A50,Acct2_Raw!$B$1:$BO$1,0))),0)</f>
        <v>1349.3320000000001</v>
      </c>
      <c r="M50" s="4">
        <f>IFERROR(IF(Months_Ref!$A$7="",0,INDEX(Acct2_Raw!$B$3:$BO$26,MATCH(Months_Ref!$A$7,Acct2_Raw!$A$3:$A$26,0),MATCH($A50,Acct2_Raw!$B$1:$BO$1,0))),0)</f>
        <v>1756.175</v>
      </c>
      <c r="N50" s="4">
        <f t="shared" si="6"/>
        <v>2749.9319999999998</v>
      </c>
      <c r="O50" s="4">
        <f t="shared" si="7"/>
        <v>3018.989</v>
      </c>
      <c r="P50" s="4">
        <f t="shared" si="8"/>
        <v>2839.81</v>
      </c>
      <c r="Q50" s="4">
        <f t="shared" si="9"/>
        <v>3095.7939999999999</v>
      </c>
      <c r="R50" s="4">
        <f t="shared" si="10"/>
        <v>2912.6620000000003</v>
      </c>
      <c r="S50" s="4">
        <f t="shared" si="11"/>
        <v>2969.143</v>
      </c>
    </row>
    <row r="51" spans="1:19" ht="15" customHeight="1" x14ac:dyDescent="0.25">
      <c r="A51" s="3" t="s">
        <v>2</v>
      </c>
      <c r="B51" s="4">
        <f>IFERROR(IF(Months_Ref!$A$2="",0,INDEX(Acct1_Raw!$B$3:$BO$26,MATCH(Months_Ref!$A$2,Acct1_Raw!$A$3:$A$26,0),MATCH($A51,Acct1_Raw!$B$1:$BO$1,0))),0)</f>
        <v>536.03700000000003</v>
      </c>
      <c r="C51" s="4">
        <f>IFERROR(IF(Months_Ref!$A$3="",0,INDEX(Acct1_Raw!$B$3:$BO$26,MATCH(Months_Ref!$A$3,Acct1_Raw!$A$3:$A$26,0),MATCH($A51,Acct1_Raw!$B$1:$BO$1,0))),0)</f>
        <v>520.30799999999999</v>
      </c>
      <c r="D51" s="4">
        <f>IFERROR(IF(Months_Ref!$A$4="",0,INDEX(Acct1_Raw!$B$3:$BO$26,MATCH(Months_Ref!$A$4,Acct1_Raw!$A$3:$A$26,0),MATCH($A51,Acct1_Raw!$B$1:$BO$1,0))),0)</f>
        <v>501.52199999999999</v>
      </c>
      <c r="E51" s="4">
        <f>IFERROR(IF(Months_Ref!$A$5="",0,INDEX(Acct1_Raw!$B$3:$BO$26,MATCH(Months_Ref!$A$5,Acct1_Raw!$A$3:$A$26,0),MATCH($A51,Acct1_Raw!$B$1:$BO$1,0))),0)</f>
        <v>439.59399999999999</v>
      </c>
      <c r="F51" s="4">
        <f>IFERROR(IF(Months_Ref!$A$6="",0,INDEX(Acct1_Raw!$B$3:$BO$26,MATCH(Months_Ref!$A$6,Acct1_Raw!$A$3:$A$26,0),MATCH($A51,Acct1_Raw!$B$1:$BO$1,0))),0)</f>
        <v>484.00200000000001</v>
      </c>
      <c r="G51" s="4">
        <f>IFERROR(IF(Months_Ref!$A$7="",0,INDEX(Acct1_Raw!$B$3:$BO$26,MATCH(Months_Ref!$A$7,Acct1_Raw!$A$3:$A$26,0),MATCH($A51,Acct1_Raw!$B$1:$BO$1,0))),0)</f>
        <v>447.09500000000003</v>
      </c>
      <c r="H51" s="4">
        <f>IFERROR(IF(Months_Ref!$A$2="",0,INDEX(Acct2_Raw!$B$3:$BO$26,MATCH(Months_Ref!$A$2,Acct2_Raw!$A$3:$A$26,0),MATCH($A51,Acct2_Raw!$B$1:$BO$1,0))),0)</f>
        <v>8927.59</v>
      </c>
      <c r="I51" s="4">
        <f>IFERROR(IF(Months_Ref!$A$3="",0,INDEX(Acct2_Raw!$B$3:$BO$26,MATCH(Months_Ref!$A$3,Acct2_Raw!$A$3:$A$26,0),MATCH($A51,Acct2_Raw!$B$1:$BO$1,0))),0)</f>
        <v>9268.9539999999997</v>
      </c>
      <c r="J51" s="4">
        <f>IFERROR(IF(Months_Ref!$A$4="",0,INDEX(Acct2_Raw!$B$3:$BO$26,MATCH(Months_Ref!$A$4,Acct2_Raw!$A$3:$A$26,0),MATCH($A51,Acct2_Raw!$B$1:$BO$1,0))),0)</f>
        <v>10298.611000000001</v>
      </c>
      <c r="K51" s="4">
        <f>IFERROR(IF(Months_Ref!$A$5="",0,INDEX(Acct2_Raw!$B$3:$BO$26,MATCH(Months_Ref!$A$5,Acct2_Raw!$A$3:$A$26,0),MATCH($A51,Acct2_Raw!$B$1:$BO$1,0))),0)</f>
        <v>8975.0879999999997</v>
      </c>
      <c r="L51" s="4">
        <f>IFERROR(IF(Months_Ref!$A$6="",0,INDEX(Acct2_Raw!$B$3:$BO$26,MATCH(Months_Ref!$A$6,Acct2_Raw!$A$3:$A$26,0),MATCH($A51,Acct2_Raw!$B$1:$BO$1,0))),0)</f>
        <v>11077.956</v>
      </c>
      <c r="M51" s="4">
        <f>IFERROR(IF(Months_Ref!$A$7="",0,INDEX(Acct2_Raw!$B$3:$BO$26,MATCH(Months_Ref!$A$7,Acct2_Raw!$A$3:$A$26,0),MATCH($A51,Acct2_Raw!$B$1:$BO$1,0))),0)</f>
        <v>11752.892</v>
      </c>
      <c r="N51" s="4">
        <f t="shared" si="6"/>
        <v>9463.6270000000004</v>
      </c>
      <c r="O51" s="4">
        <f t="shared" si="7"/>
        <v>9789.2619999999988</v>
      </c>
      <c r="P51" s="4">
        <f t="shared" si="8"/>
        <v>10800.133000000002</v>
      </c>
      <c r="Q51" s="4">
        <f t="shared" si="9"/>
        <v>9414.6819999999989</v>
      </c>
      <c r="R51" s="4">
        <f t="shared" si="10"/>
        <v>11561.958000000001</v>
      </c>
      <c r="S51" s="4">
        <f t="shared" si="11"/>
        <v>12199.986999999999</v>
      </c>
    </row>
    <row r="52" spans="1:19" ht="15" customHeight="1" x14ac:dyDescent="0.25">
      <c r="A52" s="3" t="s">
        <v>10</v>
      </c>
      <c r="B52" s="4">
        <f>IFERROR(IF(Months_Ref!$A$2="",0,INDEX(Acct1_Raw!$B$3:$BO$26,MATCH(Months_Ref!$A$2,Acct1_Raw!$A$3:$A$26,0),MATCH($A52,Acct1_Raw!$B$1:$BO$1,0))),0)</f>
        <v>552.10599999999999</v>
      </c>
      <c r="C52" s="4">
        <f>IFERROR(IF(Months_Ref!$A$3="",0,INDEX(Acct1_Raw!$B$3:$BO$26,MATCH(Months_Ref!$A$3,Acct1_Raw!$A$3:$A$26,0),MATCH($A52,Acct1_Raw!$B$1:$BO$1,0))),0)</f>
        <v>471.95100000000002</v>
      </c>
      <c r="D52" s="4">
        <f>IFERROR(IF(Months_Ref!$A$4="",0,INDEX(Acct1_Raw!$B$3:$BO$26,MATCH(Months_Ref!$A$4,Acct1_Raw!$A$3:$A$26,0),MATCH($A52,Acct1_Raw!$B$1:$BO$1,0))),0)</f>
        <v>615.60900000000004</v>
      </c>
      <c r="E52" s="4">
        <f>IFERROR(IF(Months_Ref!$A$5="",0,INDEX(Acct1_Raw!$B$3:$BO$26,MATCH(Months_Ref!$A$5,Acct1_Raw!$A$3:$A$26,0),MATCH($A52,Acct1_Raw!$B$1:$BO$1,0))),0)</f>
        <v>512.18700000000001</v>
      </c>
      <c r="F52" s="4">
        <f>IFERROR(IF(Months_Ref!$A$6="",0,INDEX(Acct1_Raw!$B$3:$BO$26,MATCH(Months_Ref!$A$6,Acct1_Raw!$A$3:$A$26,0),MATCH($A52,Acct1_Raw!$B$1:$BO$1,0))),0)</f>
        <v>490.07400000000001</v>
      </c>
      <c r="G52" s="4">
        <f>IFERROR(IF(Months_Ref!$A$7="",0,INDEX(Acct1_Raw!$B$3:$BO$26,MATCH(Months_Ref!$A$7,Acct1_Raw!$A$3:$A$26,0),MATCH($A52,Acct1_Raw!$B$1:$BO$1,0))),0)</f>
        <v>550.93200000000002</v>
      </c>
      <c r="H52" s="4">
        <f>IFERROR(IF(Months_Ref!$A$2="",0,INDEX(Acct2_Raw!$B$3:$BO$26,MATCH(Months_Ref!$A$2,Acct2_Raw!$A$3:$A$26,0),MATCH($A52,Acct2_Raw!$B$1:$BO$1,0))),0)</f>
        <v>7936.2709999999997</v>
      </c>
      <c r="I52" s="4">
        <f>IFERROR(IF(Months_Ref!$A$3="",0,INDEX(Acct2_Raw!$B$3:$BO$26,MATCH(Months_Ref!$A$3,Acct2_Raw!$A$3:$A$26,0),MATCH($A52,Acct2_Raw!$B$1:$BO$1,0))),0)</f>
        <v>7675.4440000000004</v>
      </c>
      <c r="J52" s="4">
        <f>IFERROR(IF(Months_Ref!$A$4="",0,INDEX(Acct2_Raw!$B$3:$BO$26,MATCH(Months_Ref!$A$4,Acct2_Raw!$A$3:$A$26,0),MATCH($A52,Acct2_Raw!$B$1:$BO$1,0))),0)</f>
        <v>7474.942</v>
      </c>
      <c r="K52" s="4">
        <f>IFERROR(IF(Months_Ref!$A$5="",0,INDEX(Acct2_Raw!$B$3:$BO$26,MATCH(Months_Ref!$A$5,Acct2_Raw!$A$3:$A$26,0),MATCH($A52,Acct2_Raw!$B$1:$BO$1,0))),0)</f>
        <v>8883.7669999999998</v>
      </c>
      <c r="L52" s="4">
        <f>IFERROR(IF(Months_Ref!$A$6="",0,INDEX(Acct2_Raw!$B$3:$BO$26,MATCH(Months_Ref!$A$6,Acct2_Raw!$A$3:$A$26,0),MATCH($A52,Acct2_Raw!$B$1:$BO$1,0))),0)</f>
        <v>7869.3990000000003</v>
      </c>
      <c r="M52" s="4">
        <f>IFERROR(IF(Months_Ref!$A$7="",0,INDEX(Acct2_Raw!$B$3:$BO$26,MATCH(Months_Ref!$A$7,Acct2_Raw!$A$3:$A$26,0),MATCH($A52,Acct2_Raw!$B$1:$BO$1,0))),0)</f>
        <v>7323.1109999999999</v>
      </c>
      <c r="N52" s="4">
        <f t="shared" si="6"/>
        <v>8488.3770000000004</v>
      </c>
      <c r="O52" s="4">
        <f t="shared" si="7"/>
        <v>8147.3950000000004</v>
      </c>
      <c r="P52" s="4">
        <f t="shared" si="8"/>
        <v>8090.5510000000004</v>
      </c>
      <c r="Q52" s="4">
        <f t="shared" si="9"/>
        <v>9395.9539999999997</v>
      </c>
      <c r="R52" s="4">
        <f t="shared" si="10"/>
        <v>8359.473</v>
      </c>
      <c r="S52" s="4">
        <f t="shared" si="11"/>
        <v>7874.0429999999997</v>
      </c>
    </row>
    <row r="53" spans="1:19" ht="15" customHeight="1" x14ac:dyDescent="0.25">
      <c r="A53" s="3" t="s">
        <v>11</v>
      </c>
      <c r="B53" s="4">
        <f>IFERROR(IF(Months_Ref!$A$2="",0,INDEX(Acct1_Raw!$B$3:$BO$26,MATCH(Months_Ref!$A$2,Acct1_Raw!$A$3:$A$26,0),MATCH($A53,Acct1_Raw!$B$1:$BO$1,0))),0)</f>
        <v>3121.0450000000001</v>
      </c>
      <c r="C53" s="4">
        <f>IFERROR(IF(Months_Ref!$A$3="",0,INDEX(Acct1_Raw!$B$3:$BO$26,MATCH(Months_Ref!$A$3,Acct1_Raw!$A$3:$A$26,0),MATCH($A53,Acct1_Raw!$B$1:$BO$1,0))),0)</f>
        <v>3235.7939999999999</v>
      </c>
      <c r="D53" s="4">
        <f>IFERROR(IF(Months_Ref!$A$4="",0,INDEX(Acct1_Raw!$B$3:$BO$26,MATCH(Months_Ref!$A$4,Acct1_Raw!$A$3:$A$26,0),MATCH($A53,Acct1_Raw!$B$1:$BO$1,0))),0)</f>
        <v>2989.3229999999999</v>
      </c>
      <c r="E53" s="4">
        <f>IFERROR(IF(Months_Ref!$A$5="",0,INDEX(Acct1_Raw!$B$3:$BO$26,MATCH(Months_Ref!$A$5,Acct1_Raw!$A$3:$A$26,0),MATCH($A53,Acct1_Raw!$B$1:$BO$1,0))),0)</f>
        <v>3655.2109999999998</v>
      </c>
      <c r="F53" s="4">
        <f>IFERROR(IF(Months_Ref!$A$6="",0,INDEX(Acct1_Raw!$B$3:$BO$26,MATCH(Months_Ref!$A$6,Acct1_Raw!$A$3:$A$26,0),MATCH($A53,Acct1_Raw!$B$1:$BO$1,0))),0)</f>
        <v>2939.4650000000001</v>
      </c>
      <c r="G53" s="4">
        <f>IFERROR(IF(Months_Ref!$A$7="",0,INDEX(Acct1_Raw!$B$3:$BO$26,MATCH(Months_Ref!$A$7,Acct1_Raw!$A$3:$A$26,0),MATCH($A53,Acct1_Raw!$B$1:$BO$1,0))),0)</f>
        <v>3272.864</v>
      </c>
      <c r="H53" s="4">
        <f>IFERROR(IF(Months_Ref!$A$2="",0,INDEX(Acct2_Raw!$B$3:$BO$26,MATCH(Months_Ref!$A$2,Acct2_Raw!$A$3:$A$26,0),MATCH($A53,Acct2_Raw!$B$1:$BO$1,0))),0)</f>
        <v>14973.54</v>
      </c>
      <c r="I53" s="4">
        <f>IFERROR(IF(Months_Ref!$A$3="",0,INDEX(Acct2_Raw!$B$3:$BO$26,MATCH(Months_Ref!$A$3,Acct2_Raw!$A$3:$A$26,0),MATCH($A53,Acct2_Raw!$B$1:$BO$1,0))),0)</f>
        <v>11209.925999999999</v>
      </c>
      <c r="J53" s="4">
        <f>IFERROR(IF(Months_Ref!$A$4="",0,INDEX(Acct2_Raw!$B$3:$BO$26,MATCH(Months_Ref!$A$4,Acct2_Raw!$A$3:$A$26,0),MATCH($A53,Acct2_Raw!$B$1:$BO$1,0))),0)</f>
        <v>11676.621999999999</v>
      </c>
      <c r="K53" s="4">
        <f>IFERROR(IF(Months_Ref!$A$5="",0,INDEX(Acct2_Raw!$B$3:$BO$26,MATCH(Months_Ref!$A$5,Acct2_Raw!$A$3:$A$26,0),MATCH($A53,Acct2_Raw!$B$1:$BO$1,0))),0)</f>
        <v>13833.364</v>
      </c>
      <c r="L53" s="4">
        <f>IFERROR(IF(Months_Ref!$A$6="",0,INDEX(Acct2_Raw!$B$3:$BO$26,MATCH(Months_Ref!$A$6,Acct2_Raw!$A$3:$A$26,0),MATCH($A53,Acct2_Raw!$B$1:$BO$1,0))),0)</f>
        <v>11212.953</v>
      </c>
      <c r="M53" s="4">
        <f>IFERROR(IF(Months_Ref!$A$7="",0,INDEX(Acct2_Raw!$B$3:$BO$26,MATCH(Months_Ref!$A$7,Acct2_Raw!$A$3:$A$26,0),MATCH($A53,Acct2_Raw!$B$1:$BO$1,0))),0)</f>
        <v>13881.928</v>
      </c>
      <c r="N53" s="4">
        <f t="shared" si="6"/>
        <v>18094.584999999999</v>
      </c>
      <c r="O53" s="4">
        <f t="shared" si="7"/>
        <v>14445.72</v>
      </c>
      <c r="P53" s="4">
        <f t="shared" si="8"/>
        <v>14665.945</v>
      </c>
      <c r="Q53" s="4">
        <f t="shared" si="9"/>
        <v>17488.575000000001</v>
      </c>
      <c r="R53" s="4">
        <f t="shared" si="10"/>
        <v>14152.418</v>
      </c>
      <c r="S53" s="4">
        <f t="shared" si="11"/>
        <v>17154.792000000001</v>
      </c>
    </row>
    <row r="54" spans="1:19" ht="15" customHeight="1" x14ac:dyDescent="0.25">
      <c r="A54" s="3" t="s">
        <v>25</v>
      </c>
      <c r="B54" s="4">
        <f>IFERROR(IF(Months_Ref!$A$2="",0,INDEX(Acct1_Raw!$B$3:$BO$26,MATCH(Months_Ref!$A$2,Acct1_Raw!$A$3:$A$26,0),MATCH($A54,Acct1_Raw!$B$1:$BO$1,0))),0)</f>
        <v>13664.826999999999</v>
      </c>
      <c r="C54" s="4">
        <f>IFERROR(IF(Months_Ref!$A$3="",0,INDEX(Acct1_Raw!$B$3:$BO$26,MATCH(Months_Ref!$A$3,Acct1_Raw!$A$3:$A$26,0),MATCH($A54,Acct1_Raw!$B$1:$BO$1,0))),0)</f>
        <v>14544.282999999999</v>
      </c>
      <c r="D54" s="4">
        <f>IFERROR(IF(Months_Ref!$A$4="",0,INDEX(Acct1_Raw!$B$3:$BO$26,MATCH(Months_Ref!$A$4,Acct1_Raw!$A$3:$A$26,0),MATCH($A54,Acct1_Raw!$B$1:$BO$1,0))),0)</f>
        <v>14033.182000000001</v>
      </c>
      <c r="E54" s="4">
        <f>IFERROR(IF(Months_Ref!$A$5="",0,INDEX(Acct1_Raw!$B$3:$BO$26,MATCH(Months_Ref!$A$5,Acct1_Raw!$A$3:$A$26,0),MATCH($A54,Acct1_Raw!$B$1:$BO$1,0))),0)</f>
        <v>16389.310000000001</v>
      </c>
      <c r="F54" s="4">
        <f>IFERROR(IF(Months_Ref!$A$6="",0,INDEX(Acct1_Raw!$B$3:$BO$26,MATCH(Months_Ref!$A$6,Acct1_Raw!$A$3:$A$26,0),MATCH($A54,Acct1_Raw!$B$1:$BO$1,0))),0)</f>
        <v>13993.823</v>
      </c>
      <c r="G54" s="4">
        <f>IFERROR(IF(Months_Ref!$A$7="",0,INDEX(Acct1_Raw!$B$3:$BO$26,MATCH(Months_Ref!$A$7,Acct1_Raw!$A$3:$A$26,0),MATCH($A54,Acct1_Raw!$B$1:$BO$1,0))),0)</f>
        <v>14013.558000000001</v>
      </c>
      <c r="H54" s="4">
        <f>IFERROR(IF(Months_Ref!$A$2="",0,INDEX(Acct2_Raw!$B$3:$BO$26,MATCH(Months_Ref!$A$2,Acct2_Raw!$A$3:$A$26,0),MATCH($A54,Acct2_Raw!$B$1:$BO$1,0))),0)</f>
        <v>154.54499999999999</v>
      </c>
      <c r="I54" s="4">
        <f>IFERROR(IF(Months_Ref!$A$3="",0,INDEX(Acct2_Raw!$B$3:$BO$26,MATCH(Months_Ref!$A$3,Acct2_Raw!$A$3:$A$26,0),MATCH($A54,Acct2_Raw!$B$1:$BO$1,0))),0)</f>
        <v>181.46799999999999</v>
      </c>
      <c r="J54" s="4">
        <f>IFERROR(IF(Months_Ref!$A$4="",0,INDEX(Acct2_Raw!$B$3:$BO$26,MATCH(Months_Ref!$A$4,Acct2_Raw!$A$3:$A$26,0),MATCH($A54,Acct2_Raw!$B$1:$BO$1,0))),0)</f>
        <v>184.27699999999999</v>
      </c>
      <c r="K54" s="4">
        <f>IFERROR(IF(Months_Ref!$A$5="",0,INDEX(Acct2_Raw!$B$3:$BO$26,MATCH(Months_Ref!$A$5,Acct2_Raw!$A$3:$A$26,0),MATCH($A54,Acct2_Raw!$B$1:$BO$1,0))),0)</f>
        <v>158.03899999999999</v>
      </c>
      <c r="L54" s="4">
        <f>IFERROR(IF(Months_Ref!$A$6="",0,INDEX(Acct2_Raw!$B$3:$BO$26,MATCH(Months_Ref!$A$6,Acct2_Raw!$A$3:$A$26,0),MATCH($A54,Acct2_Raw!$B$1:$BO$1,0))),0)</f>
        <v>154.63</v>
      </c>
      <c r="M54" s="4">
        <f>IFERROR(IF(Months_Ref!$A$7="",0,INDEX(Acct2_Raw!$B$3:$BO$26,MATCH(Months_Ref!$A$7,Acct2_Raw!$A$3:$A$26,0),MATCH($A54,Acct2_Raw!$B$1:$BO$1,0))),0)</f>
        <v>169.57</v>
      </c>
      <c r="N54" s="4">
        <f t="shared" si="6"/>
        <v>13819.371999999999</v>
      </c>
      <c r="O54" s="4">
        <f t="shared" si="7"/>
        <v>14725.751</v>
      </c>
      <c r="P54" s="4">
        <f t="shared" si="8"/>
        <v>14217.459000000001</v>
      </c>
      <c r="Q54" s="4">
        <f t="shared" si="9"/>
        <v>16547.349000000002</v>
      </c>
      <c r="R54" s="4">
        <f t="shared" si="10"/>
        <v>14148.453</v>
      </c>
      <c r="S54" s="4">
        <f t="shared" si="11"/>
        <v>14183.128000000001</v>
      </c>
    </row>
    <row r="55" spans="1:19" ht="15" customHeight="1" x14ac:dyDescent="0.25">
      <c r="A55" s="3" t="s">
        <v>46</v>
      </c>
      <c r="B55" s="4">
        <f>IFERROR(IF(Months_Ref!$A$2="",0,INDEX(Acct1_Raw!$B$3:$BO$26,MATCH(Months_Ref!$A$2,Acct1_Raw!$A$3:$A$26,0),MATCH($A55,Acct1_Raw!$B$1:$BO$1,0))),0)</f>
        <v>3494.7689999999998</v>
      </c>
      <c r="C55" s="4">
        <f>IFERROR(IF(Months_Ref!$A$3="",0,INDEX(Acct1_Raw!$B$3:$BO$26,MATCH(Months_Ref!$A$3,Acct1_Raw!$A$3:$A$26,0),MATCH($A55,Acct1_Raw!$B$1:$BO$1,0))),0)</f>
        <v>4033.97</v>
      </c>
      <c r="D55" s="4">
        <f>IFERROR(IF(Months_Ref!$A$4="",0,INDEX(Acct1_Raw!$B$3:$BO$26,MATCH(Months_Ref!$A$4,Acct1_Raw!$A$3:$A$26,0),MATCH($A55,Acct1_Raw!$B$1:$BO$1,0))),0)</f>
        <v>3954.7429999999999</v>
      </c>
      <c r="E55" s="4">
        <f>IFERROR(IF(Months_Ref!$A$5="",0,INDEX(Acct1_Raw!$B$3:$BO$26,MATCH(Months_Ref!$A$5,Acct1_Raw!$A$3:$A$26,0),MATCH($A55,Acct1_Raw!$B$1:$BO$1,0))),0)</f>
        <v>3108.2089999999998</v>
      </c>
      <c r="F55" s="4">
        <f>IFERROR(IF(Months_Ref!$A$6="",0,INDEX(Acct1_Raw!$B$3:$BO$26,MATCH(Months_Ref!$A$6,Acct1_Raw!$A$3:$A$26,0),MATCH($A55,Acct1_Raw!$B$1:$BO$1,0))),0)</f>
        <v>4090.91</v>
      </c>
      <c r="G55" s="4">
        <f>IFERROR(IF(Months_Ref!$A$7="",0,INDEX(Acct1_Raw!$B$3:$BO$26,MATCH(Months_Ref!$A$7,Acct1_Raw!$A$3:$A$26,0),MATCH($A55,Acct1_Raw!$B$1:$BO$1,0))),0)</f>
        <v>3527.58</v>
      </c>
      <c r="H55" s="4">
        <f>IFERROR(IF(Months_Ref!$A$2="",0,INDEX(Acct2_Raw!$B$3:$BO$26,MATCH(Months_Ref!$A$2,Acct2_Raw!$A$3:$A$26,0),MATCH($A55,Acct2_Raw!$B$1:$BO$1,0))),0)</f>
        <v>4110.2690000000002</v>
      </c>
      <c r="I55" s="4">
        <f>IFERROR(IF(Months_Ref!$A$3="",0,INDEX(Acct2_Raw!$B$3:$BO$26,MATCH(Months_Ref!$A$3,Acct2_Raw!$A$3:$A$26,0),MATCH($A55,Acct2_Raw!$B$1:$BO$1,0))),0)</f>
        <v>3361.99</v>
      </c>
      <c r="J55" s="4">
        <f>IFERROR(IF(Months_Ref!$A$4="",0,INDEX(Acct2_Raw!$B$3:$BO$26,MATCH(Months_Ref!$A$4,Acct2_Raw!$A$3:$A$26,0),MATCH($A55,Acct2_Raw!$B$1:$BO$1,0))),0)</f>
        <v>4186.3760000000002</v>
      </c>
      <c r="K55" s="4">
        <f>IFERROR(IF(Months_Ref!$A$5="",0,INDEX(Acct2_Raw!$B$3:$BO$26,MATCH(Months_Ref!$A$5,Acct2_Raw!$A$3:$A$26,0),MATCH($A55,Acct2_Raw!$B$1:$BO$1,0))),0)</f>
        <v>3377.79</v>
      </c>
      <c r="L55" s="4">
        <f>IFERROR(IF(Months_Ref!$A$6="",0,INDEX(Acct2_Raw!$B$3:$BO$26,MATCH(Months_Ref!$A$6,Acct2_Raw!$A$3:$A$26,0),MATCH($A55,Acct2_Raw!$B$1:$BO$1,0))),0)</f>
        <v>3798.2539999999999</v>
      </c>
      <c r="M55" s="4">
        <f>IFERROR(IF(Months_Ref!$A$7="",0,INDEX(Acct2_Raw!$B$3:$BO$26,MATCH(Months_Ref!$A$7,Acct2_Raw!$A$3:$A$26,0),MATCH($A55,Acct2_Raw!$B$1:$BO$1,0))),0)</f>
        <v>4104.4639999999999</v>
      </c>
      <c r="N55" s="4">
        <f t="shared" si="6"/>
        <v>7605.0380000000005</v>
      </c>
      <c r="O55" s="4">
        <f t="shared" si="7"/>
        <v>7395.9599999999991</v>
      </c>
      <c r="P55" s="4">
        <f t="shared" si="8"/>
        <v>8141.1190000000006</v>
      </c>
      <c r="Q55" s="4">
        <f t="shared" si="9"/>
        <v>6485.9989999999998</v>
      </c>
      <c r="R55" s="4">
        <f t="shared" si="10"/>
        <v>7889.1639999999998</v>
      </c>
      <c r="S55" s="4">
        <f t="shared" si="11"/>
        <v>7632.0439999999999</v>
      </c>
    </row>
    <row r="56" spans="1:19" ht="15" customHeight="1" x14ac:dyDescent="0.25">
      <c r="A56" s="3" t="s">
        <v>42</v>
      </c>
      <c r="B56" s="4">
        <f>IFERROR(IF(Months_Ref!$A$2="",0,INDEX(Acct1_Raw!$B$3:$BO$26,MATCH(Months_Ref!$A$2,Acct1_Raw!$A$3:$A$26,0),MATCH($A56,Acct1_Raw!$B$1:$BO$1,0))),0)</f>
        <v>849.62199999999996</v>
      </c>
      <c r="C56" s="4">
        <f>IFERROR(IF(Months_Ref!$A$3="",0,INDEX(Acct1_Raw!$B$3:$BO$26,MATCH(Months_Ref!$A$3,Acct1_Raw!$A$3:$A$26,0),MATCH($A56,Acct1_Raw!$B$1:$BO$1,0))),0)</f>
        <v>810.81799999999998</v>
      </c>
      <c r="D56" s="4">
        <f>IFERROR(IF(Months_Ref!$A$4="",0,INDEX(Acct1_Raw!$B$3:$BO$26,MATCH(Months_Ref!$A$4,Acct1_Raw!$A$3:$A$26,0),MATCH($A56,Acct1_Raw!$B$1:$BO$1,0))),0)</f>
        <v>695.29399999999998</v>
      </c>
      <c r="E56" s="4">
        <f>IFERROR(IF(Months_Ref!$A$5="",0,INDEX(Acct1_Raw!$B$3:$BO$26,MATCH(Months_Ref!$A$5,Acct1_Raw!$A$3:$A$26,0),MATCH($A56,Acct1_Raw!$B$1:$BO$1,0))),0)</f>
        <v>834.31299999999999</v>
      </c>
      <c r="F56" s="4">
        <f>IFERROR(IF(Months_Ref!$A$6="",0,INDEX(Acct1_Raw!$B$3:$BO$26,MATCH(Months_Ref!$A$6,Acct1_Raw!$A$3:$A$26,0),MATCH($A56,Acct1_Raw!$B$1:$BO$1,0))),0)</f>
        <v>864.58500000000004</v>
      </c>
      <c r="G56" s="4">
        <f>IFERROR(IF(Months_Ref!$A$7="",0,INDEX(Acct1_Raw!$B$3:$BO$26,MATCH(Months_Ref!$A$7,Acct1_Raw!$A$3:$A$26,0),MATCH($A56,Acct1_Raw!$B$1:$BO$1,0))),0)</f>
        <v>797.90499999999997</v>
      </c>
      <c r="H56" s="4">
        <f>IFERROR(IF(Months_Ref!$A$2="",0,INDEX(Acct2_Raw!$B$3:$BO$26,MATCH(Months_Ref!$A$2,Acct2_Raw!$A$3:$A$26,0),MATCH($A56,Acct2_Raw!$B$1:$BO$1,0))),0)</f>
        <v>4995.3280000000004</v>
      </c>
      <c r="I56" s="4">
        <f>IFERROR(IF(Months_Ref!$A$3="",0,INDEX(Acct2_Raw!$B$3:$BO$26,MATCH(Months_Ref!$A$3,Acct2_Raw!$A$3:$A$26,0),MATCH($A56,Acct2_Raw!$B$1:$BO$1,0))),0)</f>
        <v>4167.4799999999996</v>
      </c>
      <c r="J56" s="4">
        <f>IFERROR(IF(Months_Ref!$A$4="",0,INDEX(Acct2_Raw!$B$3:$BO$26,MATCH(Months_Ref!$A$4,Acct2_Raw!$A$3:$A$26,0),MATCH($A56,Acct2_Raw!$B$1:$BO$1,0))),0)</f>
        <v>4276.8819999999996</v>
      </c>
      <c r="K56" s="4">
        <f>IFERROR(IF(Months_Ref!$A$5="",0,INDEX(Acct2_Raw!$B$3:$BO$26,MATCH(Months_Ref!$A$5,Acct2_Raw!$A$3:$A$26,0),MATCH($A56,Acct2_Raw!$B$1:$BO$1,0))),0)</f>
        <v>5125.7619999999997</v>
      </c>
      <c r="L56" s="4">
        <f>IFERROR(IF(Months_Ref!$A$6="",0,INDEX(Acct2_Raw!$B$3:$BO$26,MATCH(Months_Ref!$A$6,Acct2_Raw!$A$3:$A$26,0),MATCH($A56,Acct2_Raw!$B$1:$BO$1,0))),0)</f>
        <v>4536.6819999999998</v>
      </c>
      <c r="M56" s="4">
        <f>IFERROR(IF(Months_Ref!$A$7="",0,INDEX(Acct2_Raw!$B$3:$BO$26,MATCH(Months_Ref!$A$7,Acct2_Raw!$A$3:$A$26,0),MATCH($A56,Acct2_Raw!$B$1:$BO$1,0))),0)</f>
        <v>4597.6589999999997</v>
      </c>
      <c r="N56" s="4">
        <f t="shared" si="6"/>
        <v>5844.9500000000007</v>
      </c>
      <c r="O56" s="4">
        <f t="shared" si="7"/>
        <v>4978.2979999999998</v>
      </c>
      <c r="P56" s="4">
        <f t="shared" si="8"/>
        <v>4972.1759999999995</v>
      </c>
      <c r="Q56" s="4">
        <f t="shared" si="9"/>
        <v>5960.0749999999998</v>
      </c>
      <c r="R56" s="4">
        <f t="shared" si="10"/>
        <v>5401.2669999999998</v>
      </c>
      <c r="S56" s="4">
        <f t="shared" si="11"/>
        <v>5395.5639999999994</v>
      </c>
    </row>
    <row r="57" spans="1:19" ht="15" customHeight="1" x14ac:dyDescent="0.25">
      <c r="A57" s="3" t="s">
        <v>52</v>
      </c>
      <c r="B57" s="4">
        <f>IFERROR(IF(Months_Ref!$A$2="",0,INDEX(Acct1_Raw!$B$3:$BO$26,MATCH(Months_Ref!$A$2,Acct1_Raw!$A$3:$A$26,0),MATCH($A57,Acct1_Raw!$B$1:$BO$1,0))),0)</f>
        <v>2833.527</v>
      </c>
      <c r="C57" s="4">
        <f>IFERROR(IF(Months_Ref!$A$3="",0,INDEX(Acct1_Raw!$B$3:$BO$26,MATCH(Months_Ref!$A$3,Acct1_Raw!$A$3:$A$26,0),MATCH($A57,Acct1_Raw!$B$1:$BO$1,0))),0)</f>
        <v>3028.3530000000001</v>
      </c>
      <c r="D57" s="4">
        <f>IFERROR(IF(Months_Ref!$A$4="",0,INDEX(Acct1_Raw!$B$3:$BO$26,MATCH(Months_Ref!$A$4,Acct1_Raw!$A$3:$A$26,0),MATCH($A57,Acct1_Raw!$B$1:$BO$1,0))),0)</f>
        <v>3592.92</v>
      </c>
      <c r="E57" s="4">
        <f>IFERROR(IF(Months_Ref!$A$5="",0,INDEX(Acct1_Raw!$B$3:$BO$26,MATCH(Months_Ref!$A$5,Acct1_Raw!$A$3:$A$26,0),MATCH($A57,Acct1_Raw!$B$1:$BO$1,0))),0)</f>
        <v>3028.6669999999999</v>
      </c>
      <c r="F57" s="4">
        <f>IFERROR(IF(Months_Ref!$A$6="",0,INDEX(Acct1_Raw!$B$3:$BO$26,MATCH(Months_Ref!$A$6,Acct1_Raw!$A$3:$A$26,0),MATCH($A57,Acct1_Raw!$B$1:$BO$1,0))),0)</f>
        <v>3226.2730000000001</v>
      </c>
      <c r="G57" s="4">
        <f>IFERROR(IF(Months_Ref!$A$7="",0,INDEX(Acct1_Raw!$B$3:$BO$26,MATCH(Months_Ref!$A$7,Acct1_Raw!$A$3:$A$26,0),MATCH($A57,Acct1_Raw!$B$1:$BO$1,0))),0)</f>
        <v>3104.8310000000001</v>
      </c>
      <c r="H57" s="4">
        <f>IFERROR(IF(Months_Ref!$A$2="",0,INDEX(Acct2_Raw!$B$3:$BO$26,MATCH(Months_Ref!$A$2,Acct2_Raw!$A$3:$A$26,0),MATCH($A57,Acct2_Raw!$B$1:$BO$1,0))),0)</f>
        <v>14886.216</v>
      </c>
      <c r="I57" s="4">
        <f>IFERROR(IF(Months_Ref!$A$3="",0,INDEX(Acct2_Raw!$B$3:$BO$26,MATCH(Months_Ref!$A$3,Acct2_Raw!$A$3:$A$26,0),MATCH($A57,Acct2_Raw!$B$1:$BO$1,0))),0)</f>
        <v>12210.291999999999</v>
      </c>
      <c r="J57" s="4">
        <f>IFERROR(IF(Months_Ref!$A$4="",0,INDEX(Acct2_Raw!$B$3:$BO$26,MATCH(Months_Ref!$A$4,Acct2_Raw!$A$3:$A$26,0),MATCH($A57,Acct2_Raw!$B$1:$BO$1,0))),0)</f>
        <v>15251.396000000001</v>
      </c>
      <c r="K57" s="4">
        <f>IFERROR(IF(Months_Ref!$A$5="",0,INDEX(Acct2_Raw!$B$3:$BO$26,MATCH(Months_Ref!$A$5,Acct2_Raw!$A$3:$A$26,0),MATCH($A57,Acct2_Raw!$B$1:$BO$1,0))),0)</f>
        <v>13679.325000000001</v>
      </c>
      <c r="L57" s="4">
        <f>IFERROR(IF(Months_Ref!$A$6="",0,INDEX(Acct2_Raw!$B$3:$BO$26,MATCH(Months_Ref!$A$6,Acct2_Raw!$A$3:$A$26,0),MATCH($A57,Acct2_Raw!$B$1:$BO$1,0))),0)</f>
        <v>12446.441000000001</v>
      </c>
      <c r="M57" s="4">
        <f>IFERROR(IF(Months_Ref!$A$7="",0,INDEX(Acct2_Raw!$B$3:$BO$26,MATCH(Months_Ref!$A$7,Acct2_Raw!$A$3:$A$26,0),MATCH($A57,Acct2_Raw!$B$1:$BO$1,0))),0)</f>
        <v>12362.894</v>
      </c>
      <c r="N57" s="4">
        <f t="shared" si="6"/>
        <v>17719.743000000002</v>
      </c>
      <c r="O57" s="4">
        <f t="shared" si="7"/>
        <v>15238.645</v>
      </c>
      <c r="P57" s="4">
        <f t="shared" si="8"/>
        <v>18844.315999999999</v>
      </c>
      <c r="Q57" s="4">
        <f t="shared" si="9"/>
        <v>16707.992000000002</v>
      </c>
      <c r="R57" s="4">
        <f t="shared" si="10"/>
        <v>15672.714</v>
      </c>
      <c r="S57" s="4">
        <f t="shared" si="11"/>
        <v>15467.725</v>
      </c>
    </row>
    <row r="58" spans="1:19" ht="15" customHeight="1" x14ac:dyDescent="0.25">
      <c r="A58" s="3" t="s">
        <v>38</v>
      </c>
      <c r="B58" s="4">
        <f>IFERROR(IF(Months_Ref!$A$2="",0,INDEX(Acct1_Raw!$B$3:$BO$26,MATCH(Months_Ref!$A$2,Acct1_Raw!$A$3:$A$26,0),MATCH($A58,Acct1_Raw!$B$1:$BO$1,0))),0)</f>
        <v>8288.3359999999993</v>
      </c>
      <c r="C58" s="4">
        <f>IFERROR(IF(Months_Ref!$A$3="",0,INDEX(Acct1_Raw!$B$3:$BO$26,MATCH(Months_Ref!$A$3,Acct1_Raw!$A$3:$A$26,0),MATCH($A58,Acct1_Raw!$B$1:$BO$1,0))),0)</f>
        <v>8253.61</v>
      </c>
      <c r="D58" s="4">
        <f>IFERROR(IF(Months_Ref!$A$4="",0,INDEX(Acct1_Raw!$B$3:$BO$26,MATCH(Months_Ref!$A$4,Acct1_Raw!$A$3:$A$26,0),MATCH($A58,Acct1_Raw!$B$1:$BO$1,0))),0)</f>
        <v>9443.3590000000004</v>
      </c>
      <c r="E58" s="4">
        <f>IFERROR(IF(Months_Ref!$A$5="",0,INDEX(Acct1_Raw!$B$3:$BO$26,MATCH(Months_Ref!$A$5,Acct1_Raw!$A$3:$A$26,0),MATCH($A58,Acct1_Raw!$B$1:$BO$1,0))),0)</f>
        <v>9899.4539999999997</v>
      </c>
      <c r="F58" s="4">
        <f>IFERROR(IF(Months_Ref!$A$6="",0,INDEX(Acct1_Raw!$B$3:$BO$26,MATCH(Months_Ref!$A$6,Acct1_Raw!$A$3:$A$26,0),MATCH($A58,Acct1_Raw!$B$1:$BO$1,0))),0)</f>
        <v>10595.86</v>
      </c>
      <c r="G58" s="4">
        <f>IFERROR(IF(Months_Ref!$A$7="",0,INDEX(Acct1_Raw!$B$3:$BO$26,MATCH(Months_Ref!$A$7,Acct1_Raw!$A$3:$A$26,0),MATCH($A58,Acct1_Raw!$B$1:$BO$1,0))),0)</f>
        <v>8275.2450000000008</v>
      </c>
      <c r="H58" s="4">
        <f>IFERROR(IF(Months_Ref!$A$2="",0,INDEX(Acct2_Raw!$B$3:$BO$26,MATCH(Months_Ref!$A$2,Acct2_Raw!$A$3:$A$26,0),MATCH($A58,Acct2_Raw!$B$1:$BO$1,0))),0)</f>
        <v>2665.9189999999999</v>
      </c>
      <c r="I58" s="4">
        <f>IFERROR(IF(Months_Ref!$A$3="",0,INDEX(Acct2_Raw!$B$3:$BO$26,MATCH(Months_Ref!$A$3,Acct2_Raw!$A$3:$A$26,0),MATCH($A58,Acct2_Raw!$B$1:$BO$1,0))),0)</f>
        <v>2784.2840000000001</v>
      </c>
      <c r="J58" s="4">
        <f>IFERROR(IF(Months_Ref!$A$4="",0,INDEX(Acct2_Raw!$B$3:$BO$26,MATCH(Months_Ref!$A$4,Acct2_Raw!$A$3:$A$26,0),MATCH($A58,Acct2_Raw!$B$1:$BO$1,0))),0)</f>
        <v>2452.259</v>
      </c>
      <c r="K58" s="4">
        <f>IFERROR(IF(Months_Ref!$A$5="",0,INDEX(Acct2_Raw!$B$3:$BO$26,MATCH(Months_Ref!$A$5,Acct2_Raw!$A$3:$A$26,0),MATCH($A58,Acct2_Raw!$B$1:$BO$1,0))),0)</f>
        <v>2730.7339999999999</v>
      </c>
      <c r="L58" s="4">
        <f>IFERROR(IF(Months_Ref!$A$6="",0,INDEX(Acct2_Raw!$B$3:$BO$26,MATCH(Months_Ref!$A$6,Acct2_Raw!$A$3:$A$26,0),MATCH($A58,Acct2_Raw!$B$1:$BO$1,0))),0)</f>
        <v>2916.9630000000002</v>
      </c>
      <c r="M58" s="4">
        <f>IFERROR(IF(Months_Ref!$A$7="",0,INDEX(Acct2_Raw!$B$3:$BO$26,MATCH(Months_Ref!$A$7,Acct2_Raw!$A$3:$A$26,0),MATCH($A58,Acct2_Raw!$B$1:$BO$1,0))),0)</f>
        <v>2563.067</v>
      </c>
      <c r="N58" s="4">
        <f t="shared" si="6"/>
        <v>10954.254999999999</v>
      </c>
      <c r="O58" s="4">
        <f t="shared" si="7"/>
        <v>11037.894</v>
      </c>
      <c r="P58" s="4">
        <f t="shared" si="8"/>
        <v>11895.618</v>
      </c>
      <c r="Q58" s="4">
        <f t="shared" si="9"/>
        <v>12630.188</v>
      </c>
      <c r="R58" s="4">
        <f t="shared" si="10"/>
        <v>13512.823</v>
      </c>
      <c r="S58" s="4">
        <f t="shared" si="11"/>
        <v>10838.312000000002</v>
      </c>
    </row>
    <row r="59" spans="1:19" ht="15" customHeight="1" x14ac:dyDescent="0.25">
      <c r="A59" s="3" t="s">
        <v>60</v>
      </c>
      <c r="B59" s="4">
        <f>IFERROR(IF(Months_Ref!$A$2="",0,INDEX(Acct1_Raw!$B$3:$BO$26,MATCH(Months_Ref!$A$2,Acct1_Raw!$A$3:$A$26,0),MATCH($A59,Acct1_Raw!$B$1:$BO$1,0))),0)</f>
        <v>5371.6180000000004</v>
      </c>
      <c r="C59" s="4">
        <f>IFERROR(IF(Months_Ref!$A$3="",0,INDEX(Acct1_Raw!$B$3:$BO$26,MATCH(Months_Ref!$A$3,Acct1_Raw!$A$3:$A$26,0),MATCH($A59,Acct1_Raw!$B$1:$BO$1,0))),0)</f>
        <v>5258.7430000000004</v>
      </c>
      <c r="D59" s="4">
        <f>IFERROR(IF(Months_Ref!$A$4="",0,INDEX(Acct1_Raw!$B$3:$BO$26,MATCH(Months_Ref!$A$4,Acct1_Raw!$A$3:$A$26,0),MATCH($A59,Acct1_Raw!$B$1:$BO$1,0))),0)</f>
        <v>6412.2740000000003</v>
      </c>
      <c r="E59" s="4">
        <f>IFERROR(IF(Months_Ref!$A$5="",0,INDEX(Acct1_Raw!$B$3:$BO$26,MATCH(Months_Ref!$A$5,Acct1_Raw!$A$3:$A$26,0),MATCH($A59,Acct1_Raw!$B$1:$BO$1,0))),0)</f>
        <v>6059.9660000000003</v>
      </c>
      <c r="F59" s="4">
        <f>IFERROR(IF(Months_Ref!$A$6="",0,INDEX(Acct1_Raw!$B$3:$BO$26,MATCH(Months_Ref!$A$6,Acct1_Raw!$A$3:$A$26,0),MATCH($A59,Acct1_Raw!$B$1:$BO$1,0))),0)</f>
        <v>5991.5129999999999</v>
      </c>
      <c r="G59" s="4">
        <f>IFERROR(IF(Months_Ref!$A$7="",0,INDEX(Acct1_Raw!$B$3:$BO$26,MATCH(Months_Ref!$A$7,Acct1_Raw!$A$3:$A$26,0),MATCH($A59,Acct1_Raw!$B$1:$BO$1,0))),0)</f>
        <v>5494.893</v>
      </c>
      <c r="H59" s="4">
        <f>IFERROR(IF(Months_Ref!$A$2="",0,INDEX(Acct2_Raw!$B$3:$BO$26,MATCH(Months_Ref!$A$2,Acct2_Raw!$A$3:$A$26,0),MATCH($A59,Acct2_Raw!$B$1:$BO$1,0))),0)</f>
        <v>8323.4230000000007</v>
      </c>
      <c r="I59" s="4">
        <f>IFERROR(IF(Months_Ref!$A$3="",0,INDEX(Acct2_Raw!$B$3:$BO$26,MATCH(Months_Ref!$A$3,Acct2_Raw!$A$3:$A$26,0),MATCH($A59,Acct2_Raw!$B$1:$BO$1,0))),0)</f>
        <v>8812.1949999999997</v>
      </c>
      <c r="J59" s="4">
        <f>IFERROR(IF(Months_Ref!$A$4="",0,INDEX(Acct2_Raw!$B$3:$BO$26,MATCH(Months_Ref!$A$4,Acct2_Raw!$A$3:$A$26,0),MATCH($A59,Acct2_Raw!$B$1:$BO$1,0))),0)</f>
        <v>8318.1849999999995</v>
      </c>
      <c r="K59" s="4">
        <f>IFERROR(IF(Months_Ref!$A$5="",0,INDEX(Acct2_Raw!$B$3:$BO$26,MATCH(Months_Ref!$A$5,Acct2_Raw!$A$3:$A$26,0),MATCH($A59,Acct2_Raw!$B$1:$BO$1,0))),0)</f>
        <v>8184.6180000000004</v>
      </c>
      <c r="L59" s="4">
        <f>IFERROR(IF(Months_Ref!$A$6="",0,INDEX(Acct2_Raw!$B$3:$BO$26,MATCH(Months_Ref!$A$6,Acct2_Raw!$A$3:$A$26,0),MATCH($A59,Acct2_Raw!$B$1:$BO$1,0))),0)</f>
        <v>6999.9</v>
      </c>
      <c r="M59" s="4">
        <f>IFERROR(IF(Months_Ref!$A$7="",0,INDEX(Acct2_Raw!$B$3:$BO$26,MATCH(Months_Ref!$A$7,Acct2_Raw!$A$3:$A$26,0),MATCH($A59,Acct2_Raw!$B$1:$BO$1,0))),0)</f>
        <v>7473.5889999999999</v>
      </c>
      <c r="N59" s="4">
        <f t="shared" si="6"/>
        <v>13695.041000000001</v>
      </c>
      <c r="O59" s="4">
        <f t="shared" si="7"/>
        <v>14070.938</v>
      </c>
      <c r="P59" s="4">
        <f t="shared" si="8"/>
        <v>14730.458999999999</v>
      </c>
      <c r="Q59" s="4">
        <f t="shared" si="9"/>
        <v>14244.584000000001</v>
      </c>
      <c r="R59" s="4">
        <f t="shared" si="10"/>
        <v>12991.413</v>
      </c>
      <c r="S59" s="4">
        <f t="shared" si="11"/>
        <v>12968.482</v>
      </c>
    </row>
    <row r="60" spans="1:19" ht="15" customHeight="1" x14ac:dyDescent="0.25">
      <c r="A60" s="3" t="s">
        <v>45</v>
      </c>
      <c r="B60" s="4">
        <f>IFERROR(IF(Months_Ref!$A$2="",0,INDEX(Acct1_Raw!$B$3:$BO$26,MATCH(Months_Ref!$A$2,Acct1_Raw!$A$3:$A$26,0),MATCH($A60,Acct1_Raw!$B$1:$BO$1,0))),0)</f>
        <v>1133.046</v>
      </c>
      <c r="C60" s="4">
        <f>IFERROR(IF(Months_Ref!$A$3="",0,INDEX(Acct1_Raw!$B$3:$BO$26,MATCH(Months_Ref!$A$3,Acct1_Raw!$A$3:$A$26,0),MATCH($A60,Acct1_Raw!$B$1:$BO$1,0))),0)</f>
        <v>1297.71</v>
      </c>
      <c r="D60" s="4">
        <f>IFERROR(IF(Months_Ref!$A$4="",0,INDEX(Acct1_Raw!$B$3:$BO$26,MATCH(Months_Ref!$A$4,Acct1_Raw!$A$3:$A$26,0),MATCH($A60,Acct1_Raw!$B$1:$BO$1,0))),0)</f>
        <v>1403.402</v>
      </c>
      <c r="E60" s="4">
        <f>IFERROR(IF(Months_Ref!$A$5="",0,INDEX(Acct1_Raw!$B$3:$BO$26,MATCH(Months_Ref!$A$5,Acct1_Raw!$A$3:$A$26,0),MATCH($A60,Acct1_Raw!$B$1:$BO$1,0))),0)</f>
        <v>1236.3989999999999</v>
      </c>
      <c r="F60" s="4">
        <f>IFERROR(IF(Months_Ref!$A$6="",0,INDEX(Acct1_Raw!$B$3:$BO$26,MATCH(Months_Ref!$A$6,Acct1_Raw!$A$3:$A$26,0),MATCH($A60,Acct1_Raw!$B$1:$BO$1,0))),0)</f>
        <v>1353.6980000000001</v>
      </c>
      <c r="G60" s="4">
        <f>IFERROR(IF(Months_Ref!$A$7="",0,INDEX(Acct1_Raw!$B$3:$BO$26,MATCH(Months_Ref!$A$7,Acct1_Raw!$A$3:$A$26,0),MATCH($A60,Acct1_Raw!$B$1:$BO$1,0))),0)</f>
        <v>1148.0360000000001</v>
      </c>
      <c r="H60" s="4">
        <f>IFERROR(IF(Months_Ref!$A$2="",0,INDEX(Acct2_Raw!$B$3:$BO$26,MATCH(Months_Ref!$A$2,Acct2_Raw!$A$3:$A$26,0),MATCH($A60,Acct2_Raw!$B$1:$BO$1,0))),0)</f>
        <v>9272.8590000000004</v>
      </c>
      <c r="I60" s="4">
        <f>IFERROR(IF(Months_Ref!$A$3="",0,INDEX(Acct2_Raw!$B$3:$BO$26,MATCH(Months_Ref!$A$3,Acct2_Raw!$A$3:$A$26,0),MATCH($A60,Acct2_Raw!$B$1:$BO$1,0))),0)</f>
        <v>9353.2369999999992</v>
      </c>
      <c r="J60" s="4">
        <f>IFERROR(IF(Months_Ref!$A$4="",0,INDEX(Acct2_Raw!$B$3:$BO$26,MATCH(Months_Ref!$A$4,Acct2_Raw!$A$3:$A$26,0),MATCH($A60,Acct2_Raw!$B$1:$BO$1,0))),0)</f>
        <v>9820.8790000000008</v>
      </c>
      <c r="K60" s="4">
        <f>IFERROR(IF(Months_Ref!$A$5="",0,INDEX(Acct2_Raw!$B$3:$BO$26,MATCH(Months_Ref!$A$5,Acct2_Raw!$A$3:$A$26,0),MATCH($A60,Acct2_Raw!$B$1:$BO$1,0))),0)</f>
        <v>9967.3459999999995</v>
      </c>
      <c r="L60" s="4">
        <f>IFERROR(IF(Months_Ref!$A$6="",0,INDEX(Acct2_Raw!$B$3:$BO$26,MATCH(Months_Ref!$A$6,Acct2_Raw!$A$3:$A$26,0),MATCH($A60,Acct2_Raw!$B$1:$BO$1,0))),0)</f>
        <v>10365.411</v>
      </c>
      <c r="M60" s="4">
        <f>IFERROR(IF(Months_Ref!$A$7="",0,INDEX(Acct2_Raw!$B$3:$BO$26,MATCH(Months_Ref!$A$7,Acct2_Raw!$A$3:$A$26,0),MATCH($A60,Acct2_Raw!$B$1:$BO$1,0))),0)</f>
        <v>9560.9709999999995</v>
      </c>
      <c r="N60" s="4">
        <f t="shared" si="6"/>
        <v>10405.905000000001</v>
      </c>
      <c r="O60" s="4">
        <f t="shared" si="7"/>
        <v>10650.947</v>
      </c>
      <c r="P60" s="4">
        <f t="shared" si="8"/>
        <v>11224.281000000001</v>
      </c>
      <c r="Q60" s="4">
        <f t="shared" si="9"/>
        <v>11203.744999999999</v>
      </c>
      <c r="R60" s="4">
        <f t="shared" si="10"/>
        <v>11719.109</v>
      </c>
      <c r="S60" s="4">
        <f t="shared" si="11"/>
        <v>10709.007</v>
      </c>
    </row>
    <row r="61" spans="1:19" ht="15" customHeight="1" x14ac:dyDescent="0.25">
      <c r="A61" s="3" t="s">
        <v>27</v>
      </c>
      <c r="B61" s="4">
        <f>IFERROR(IF(Months_Ref!$A$2="",0,INDEX(Acct1_Raw!$B$3:$BO$26,MATCH(Months_Ref!$A$2,Acct1_Raw!$A$3:$A$26,0),MATCH($A61,Acct1_Raw!$B$1:$BO$1,0))),0)</f>
        <v>1361.9290000000001</v>
      </c>
      <c r="C61" s="4">
        <f>IFERROR(IF(Months_Ref!$A$3="",0,INDEX(Acct1_Raw!$B$3:$BO$26,MATCH(Months_Ref!$A$3,Acct1_Raw!$A$3:$A$26,0),MATCH($A61,Acct1_Raw!$B$1:$BO$1,0))),0)</f>
        <v>1285.04</v>
      </c>
      <c r="D61" s="4">
        <f>IFERROR(IF(Months_Ref!$A$4="",0,INDEX(Acct1_Raw!$B$3:$BO$26,MATCH(Months_Ref!$A$4,Acct1_Raw!$A$3:$A$26,0),MATCH($A61,Acct1_Raw!$B$1:$BO$1,0))),0)</f>
        <v>1261.202</v>
      </c>
      <c r="E61" s="4">
        <f>IFERROR(IF(Months_Ref!$A$5="",0,INDEX(Acct1_Raw!$B$3:$BO$26,MATCH(Months_Ref!$A$5,Acct1_Raw!$A$3:$A$26,0),MATCH($A61,Acct1_Raw!$B$1:$BO$1,0))),0)</f>
        <v>1687.5440000000001</v>
      </c>
      <c r="F61" s="4">
        <f>IFERROR(IF(Months_Ref!$A$6="",0,INDEX(Acct1_Raw!$B$3:$BO$26,MATCH(Months_Ref!$A$6,Acct1_Raw!$A$3:$A$26,0),MATCH($A61,Acct1_Raw!$B$1:$BO$1,0))),0)</f>
        <v>1346.067</v>
      </c>
      <c r="G61" s="4">
        <f>IFERROR(IF(Months_Ref!$A$7="",0,INDEX(Acct1_Raw!$B$3:$BO$26,MATCH(Months_Ref!$A$7,Acct1_Raw!$A$3:$A$26,0),MATCH($A61,Acct1_Raw!$B$1:$BO$1,0))),0)</f>
        <v>1502.422</v>
      </c>
      <c r="H61" s="4">
        <f>IFERROR(IF(Months_Ref!$A$2="",0,INDEX(Acct2_Raw!$B$3:$BO$26,MATCH(Months_Ref!$A$2,Acct2_Raw!$A$3:$A$26,0),MATCH($A61,Acct2_Raw!$B$1:$BO$1,0))),0)</f>
        <v>11218.647999999999</v>
      </c>
      <c r="I61" s="4">
        <f>IFERROR(IF(Months_Ref!$A$3="",0,INDEX(Acct2_Raw!$B$3:$BO$26,MATCH(Months_Ref!$A$3,Acct2_Raw!$A$3:$A$26,0),MATCH($A61,Acct2_Raw!$B$1:$BO$1,0))),0)</f>
        <v>11817.905000000001</v>
      </c>
      <c r="J61" s="4">
        <f>IFERROR(IF(Months_Ref!$A$4="",0,INDEX(Acct2_Raw!$B$3:$BO$26,MATCH(Months_Ref!$A$4,Acct2_Raw!$A$3:$A$26,0),MATCH($A61,Acct2_Raw!$B$1:$BO$1,0))),0)</f>
        <v>11724.439</v>
      </c>
      <c r="K61" s="4">
        <f>IFERROR(IF(Months_Ref!$A$5="",0,INDEX(Acct2_Raw!$B$3:$BO$26,MATCH(Months_Ref!$A$5,Acct2_Raw!$A$3:$A$26,0),MATCH($A61,Acct2_Raw!$B$1:$BO$1,0))),0)</f>
        <v>11120.659</v>
      </c>
      <c r="L61" s="4">
        <f>IFERROR(IF(Months_Ref!$A$6="",0,INDEX(Acct2_Raw!$B$3:$BO$26,MATCH(Months_Ref!$A$6,Acct2_Raw!$A$3:$A$26,0),MATCH($A61,Acct2_Raw!$B$1:$BO$1,0))),0)</f>
        <v>13390.888999999999</v>
      </c>
      <c r="M61" s="4">
        <f>IFERROR(IF(Months_Ref!$A$7="",0,INDEX(Acct2_Raw!$B$3:$BO$26,MATCH(Months_Ref!$A$7,Acct2_Raw!$A$3:$A$26,0),MATCH($A61,Acct2_Raw!$B$1:$BO$1,0))),0)</f>
        <v>10895.279</v>
      </c>
      <c r="N61" s="4">
        <f t="shared" si="6"/>
        <v>12580.576999999999</v>
      </c>
      <c r="O61" s="4">
        <f t="shared" si="7"/>
        <v>13102.945</v>
      </c>
      <c r="P61" s="4">
        <f t="shared" si="8"/>
        <v>12985.641</v>
      </c>
      <c r="Q61" s="4">
        <f t="shared" si="9"/>
        <v>12808.203</v>
      </c>
      <c r="R61" s="4">
        <f t="shared" si="10"/>
        <v>14736.955999999998</v>
      </c>
      <c r="S61" s="4">
        <f t="shared" si="11"/>
        <v>12397.701000000001</v>
      </c>
    </row>
    <row r="62" spans="1:19" ht="15" customHeight="1" x14ac:dyDescent="0.25">
      <c r="A62" s="3" t="s">
        <v>31</v>
      </c>
      <c r="B62" s="4">
        <f>IFERROR(IF(Months_Ref!$A$2="",0,INDEX(Acct1_Raw!$B$3:$BO$26,MATCH(Months_Ref!$A$2,Acct1_Raw!$A$3:$A$26,0),MATCH($A62,Acct1_Raw!$B$1:$BO$1,0))),0)</f>
        <v>11140.138999999999</v>
      </c>
      <c r="C62" s="4">
        <f>IFERROR(IF(Months_Ref!$A$3="",0,INDEX(Acct1_Raw!$B$3:$BO$26,MATCH(Months_Ref!$A$3,Acct1_Raw!$A$3:$A$26,0),MATCH($A62,Acct1_Raw!$B$1:$BO$1,0))),0)</f>
        <v>10879.998</v>
      </c>
      <c r="D62" s="4">
        <f>IFERROR(IF(Months_Ref!$A$4="",0,INDEX(Acct1_Raw!$B$3:$BO$26,MATCH(Months_Ref!$A$4,Acct1_Raw!$A$3:$A$26,0),MATCH($A62,Acct1_Raw!$B$1:$BO$1,0))),0)</f>
        <v>13003.776</v>
      </c>
      <c r="E62" s="4">
        <f>IFERROR(IF(Months_Ref!$A$5="",0,INDEX(Acct1_Raw!$B$3:$BO$26,MATCH(Months_Ref!$A$5,Acct1_Raw!$A$3:$A$26,0),MATCH($A62,Acct1_Raw!$B$1:$BO$1,0))),0)</f>
        <v>12957.627</v>
      </c>
      <c r="F62" s="4">
        <f>IFERROR(IF(Months_Ref!$A$6="",0,INDEX(Acct1_Raw!$B$3:$BO$26,MATCH(Months_Ref!$A$6,Acct1_Raw!$A$3:$A$26,0),MATCH($A62,Acct1_Raw!$B$1:$BO$1,0))),0)</f>
        <v>12693.929</v>
      </c>
      <c r="G62" s="4">
        <f>IFERROR(IF(Months_Ref!$A$7="",0,INDEX(Acct1_Raw!$B$3:$BO$26,MATCH(Months_Ref!$A$7,Acct1_Raw!$A$3:$A$26,0),MATCH($A62,Acct1_Raw!$B$1:$BO$1,0))),0)</f>
        <v>11892.790999999999</v>
      </c>
      <c r="H62" s="4">
        <f>IFERROR(IF(Months_Ref!$A$2="",0,INDEX(Acct2_Raw!$B$3:$BO$26,MATCH(Months_Ref!$A$2,Acct2_Raw!$A$3:$A$26,0),MATCH($A62,Acct2_Raw!$B$1:$BO$1,0))),0)</f>
        <v>14128.784</v>
      </c>
      <c r="I62" s="4">
        <f>IFERROR(IF(Months_Ref!$A$3="",0,INDEX(Acct2_Raw!$B$3:$BO$26,MATCH(Months_Ref!$A$3,Acct2_Raw!$A$3:$A$26,0),MATCH($A62,Acct2_Raw!$B$1:$BO$1,0))),0)</f>
        <v>12282.106</v>
      </c>
      <c r="J62" s="4">
        <f>IFERROR(IF(Months_Ref!$A$4="",0,INDEX(Acct2_Raw!$B$3:$BO$26,MATCH(Months_Ref!$A$4,Acct2_Raw!$A$3:$A$26,0),MATCH($A62,Acct2_Raw!$B$1:$BO$1,0))),0)</f>
        <v>11119.388000000001</v>
      </c>
      <c r="K62" s="4">
        <f>IFERROR(IF(Months_Ref!$A$5="",0,INDEX(Acct2_Raw!$B$3:$BO$26,MATCH(Months_Ref!$A$5,Acct2_Raw!$A$3:$A$26,0),MATCH($A62,Acct2_Raw!$B$1:$BO$1,0))),0)</f>
        <v>14310.163</v>
      </c>
      <c r="L62" s="4">
        <f>IFERROR(IF(Months_Ref!$A$6="",0,INDEX(Acct2_Raw!$B$3:$BO$26,MATCH(Months_Ref!$A$6,Acct2_Raw!$A$3:$A$26,0),MATCH($A62,Acct2_Raw!$B$1:$BO$1,0))),0)</f>
        <v>11695.133</v>
      </c>
      <c r="M62" s="4">
        <f>IFERROR(IF(Months_Ref!$A$7="",0,INDEX(Acct2_Raw!$B$3:$BO$26,MATCH(Months_Ref!$A$7,Acct2_Raw!$A$3:$A$26,0),MATCH($A62,Acct2_Raw!$B$1:$BO$1,0))),0)</f>
        <v>13663.332</v>
      </c>
      <c r="N62" s="4">
        <f t="shared" si="6"/>
        <v>25268.922999999999</v>
      </c>
      <c r="O62" s="4">
        <f t="shared" si="7"/>
        <v>23162.103999999999</v>
      </c>
      <c r="P62" s="4">
        <f t="shared" si="8"/>
        <v>24123.164000000001</v>
      </c>
      <c r="Q62" s="4">
        <f t="shared" si="9"/>
        <v>27267.79</v>
      </c>
      <c r="R62" s="4">
        <f t="shared" si="10"/>
        <v>24389.061999999998</v>
      </c>
      <c r="S62" s="4">
        <f t="shared" si="11"/>
        <v>25556.123</v>
      </c>
    </row>
    <row r="63" spans="1:19" ht="15" customHeight="1" x14ac:dyDescent="0.25">
      <c r="A63" s="3" t="s">
        <v>64</v>
      </c>
      <c r="B63" s="4">
        <f>IFERROR(IF(Months_Ref!$A$2="",0,INDEX(Acct1_Raw!$B$3:$BO$26,MATCH(Months_Ref!$A$2,Acct1_Raw!$A$3:$A$26,0),MATCH($A63,Acct1_Raw!$B$1:$BO$1,0))),0)</f>
        <v>11417.403</v>
      </c>
      <c r="C63" s="4">
        <f>IFERROR(IF(Months_Ref!$A$3="",0,INDEX(Acct1_Raw!$B$3:$BO$26,MATCH(Months_Ref!$A$3,Acct1_Raw!$A$3:$A$26,0),MATCH($A63,Acct1_Raw!$B$1:$BO$1,0))),0)</f>
        <v>11472.782999999999</v>
      </c>
      <c r="D63" s="4">
        <f>IFERROR(IF(Months_Ref!$A$4="",0,INDEX(Acct1_Raw!$B$3:$BO$26,MATCH(Months_Ref!$A$4,Acct1_Raw!$A$3:$A$26,0),MATCH($A63,Acct1_Raw!$B$1:$BO$1,0))),0)</f>
        <v>11632.071</v>
      </c>
      <c r="E63" s="4">
        <f>IFERROR(IF(Months_Ref!$A$5="",0,INDEX(Acct1_Raw!$B$3:$BO$26,MATCH(Months_Ref!$A$5,Acct1_Raw!$A$3:$A$26,0),MATCH($A63,Acct1_Raw!$B$1:$BO$1,0))),0)</f>
        <v>10448.888999999999</v>
      </c>
      <c r="F63" s="4">
        <f>IFERROR(IF(Months_Ref!$A$6="",0,INDEX(Acct1_Raw!$B$3:$BO$26,MATCH(Months_Ref!$A$6,Acct1_Raw!$A$3:$A$26,0),MATCH($A63,Acct1_Raw!$B$1:$BO$1,0))),0)</f>
        <v>9604.2080000000005</v>
      </c>
      <c r="G63" s="4">
        <f>IFERROR(IF(Months_Ref!$A$7="",0,INDEX(Acct1_Raw!$B$3:$BO$26,MATCH(Months_Ref!$A$7,Acct1_Raw!$A$3:$A$26,0),MATCH($A63,Acct1_Raw!$B$1:$BO$1,0))),0)</f>
        <v>11086.39</v>
      </c>
      <c r="H63" s="4">
        <f>IFERROR(IF(Months_Ref!$A$2="",0,INDEX(Acct2_Raw!$B$3:$BO$26,MATCH(Months_Ref!$A$2,Acct2_Raw!$A$3:$A$26,0),MATCH($A63,Acct2_Raw!$B$1:$BO$1,0))),0)</f>
        <v>14398.88</v>
      </c>
      <c r="I63" s="4">
        <f>IFERROR(IF(Months_Ref!$A$3="",0,INDEX(Acct2_Raw!$B$3:$BO$26,MATCH(Months_Ref!$A$3,Acct2_Raw!$A$3:$A$26,0),MATCH($A63,Acct2_Raw!$B$1:$BO$1,0))),0)</f>
        <v>13630.938</v>
      </c>
      <c r="J63" s="4">
        <f>IFERROR(IF(Months_Ref!$A$4="",0,INDEX(Acct2_Raw!$B$3:$BO$26,MATCH(Months_Ref!$A$4,Acct2_Raw!$A$3:$A$26,0),MATCH($A63,Acct2_Raw!$B$1:$BO$1,0))),0)</f>
        <v>11272.852000000001</v>
      </c>
      <c r="K63" s="4">
        <f>IFERROR(IF(Months_Ref!$A$5="",0,INDEX(Acct2_Raw!$B$3:$BO$26,MATCH(Months_Ref!$A$5,Acct2_Raw!$A$3:$A$26,0),MATCH($A63,Acct2_Raw!$B$1:$BO$1,0))),0)</f>
        <v>14612.739</v>
      </c>
      <c r="L63" s="4">
        <f>IFERROR(IF(Months_Ref!$A$6="",0,INDEX(Acct2_Raw!$B$3:$BO$26,MATCH(Months_Ref!$A$6,Acct2_Raw!$A$3:$A$26,0),MATCH($A63,Acct2_Raw!$B$1:$BO$1,0))),0)</f>
        <v>13366.569</v>
      </c>
      <c r="M63" s="4">
        <f>IFERROR(IF(Months_Ref!$A$7="",0,INDEX(Acct2_Raw!$B$3:$BO$26,MATCH(Months_Ref!$A$7,Acct2_Raw!$A$3:$A$26,0),MATCH($A63,Acct2_Raw!$B$1:$BO$1,0))),0)</f>
        <v>13576.395</v>
      </c>
      <c r="N63" s="4">
        <f t="shared" si="6"/>
        <v>25816.282999999999</v>
      </c>
      <c r="O63" s="4">
        <f t="shared" si="7"/>
        <v>25103.720999999998</v>
      </c>
      <c r="P63" s="4">
        <f t="shared" si="8"/>
        <v>22904.923000000003</v>
      </c>
      <c r="Q63" s="4">
        <f t="shared" si="9"/>
        <v>25061.627999999997</v>
      </c>
      <c r="R63" s="4">
        <f t="shared" si="10"/>
        <v>22970.777000000002</v>
      </c>
      <c r="S63" s="4">
        <f t="shared" si="11"/>
        <v>24662.785</v>
      </c>
    </row>
    <row r="64" spans="1:19" ht="15" customHeight="1" x14ac:dyDescent="0.25">
      <c r="A64" s="3" t="s">
        <v>29</v>
      </c>
      <c r="B64" s="4">
        <f>IFERROR(IF(Months_Ref!$A$2="",0,INDEX(Acct1_Raw!$B$3:$BO$26,MATCH(Months_Ref!$A$2,Acct1_Raw!$A$3:$A$26,0),MATCH($A64,Acct1_Raw!$B$1:$BO$1,0))),0)</f>
        <v>11089.589</v>
      </c>
      <c r="C64" s="4">
        <f>IFERROR(IF(Months_Ref!$A$3="",0,INDEX(Acct1_Raw!$B$3:$BO$26,MATCH(Months_Ref!$A$3,Acct1_Raw!$A$3:$A$26,0),MATCH($A64,Acct1_Raw!$B$1:$BO$1,0))),0)</f>
        <v>12738.55</v>
      </c>
      <c r="D64" s="4">
        <f>IFERROR(IF(Months_Ref!$A$4="",0,INDEX(Acct1_Raw!$B$3:$BO$26,MATCH(Months_Ref!$A$4,Acct1_Raw!$A$3:$A$26,0),MATCH($A64,Acct1_Raw!$B$1:$BO$1,0))),0)</f>
        <v>13251.206</v>
      </c>
      <c r="E64" s="4">
        <f>IFERROR(IF(Months_Ref!$A$5="",0,INDEX(Acct1_Raw!$B$3:$BO$26,MATCH(Months_Ref!$A$5,Acct1_Raw!$A$3:$A$26,0),MATCH($A64,Acct1_Raw!$B$1:$BO$1,0))),0)</f>
        <v>11232.43</v>
      </c>
      <c r="F64" s="4">
        <f>IFERROR(IF(Months_Ref!$A$6="",0,INDEX(Acct1_Raw!$B$3:$BO$26,MATCH(Months_Ref!$A$6,Acct1_Raw!$A$3:$A$26,0),MATCH($A64,Acct1_Raw!$B$1:$BO$1,0))),0)</f>
        <v>12706.196</v>
      </c>
      <c r="G64" s="4">
        <f>IFERROR(IF(Months_Ref!$A$7="",0,INDEX(Acct1_Raw!$B$3:$BO$26,MATCH(Months_Ref!$A$7,Acct1_Raw!$A$3:$A$26,0),MATCH($A64,Acct1_Raw!$B$1:$BO$1,0))),0)</f>
        <v>11660.599</v>
      </c>
      <c r="H64" s="4">
        <f>IFERROR(IF(Months_Ref!$A$2="",0,INDEX(Acct2_Raw!$B$3:$BO$26,MATCH(Months_Ref!$A$2,Acct2_Raw!$A$3:$A$26,0),MATCH($A64,Acct2_Raw!$B$1:$BO$1,0))),0)</f>
        <v>11317.450999999999</v>
      </c>
      <c r="I64" s="4">
        <f>IFERROR(IF(Months_Ref!$A$3="",0,INDEX(Acct2_Raw!$B$3:$BO$26,MATCH(Months_Ref!$A$3,Acct2_Raw!$A$3:$A$26,0),MATCH($A64,Acct2_Raw!$B$1:$BO$1,0))),0)</f>
        <v>11873.514999999999</v>
      </c>
      <c r="J64" s="4">
        <f>IFERROR(IF(Months_Ref!$A$4="",0,INDEX(Acct2_Raw!$B$3:$BO$26,MATCH(Months_Ref!$A$4,Acct2_Raw!$A$3:$A$26,0),MATCH($A64,Acct2_Raw!$B$1:$BO$1,0))),0)</f>
        <v>12150.703</v>
      </c>
      <c r="K64" s="4">
        <f>IFERROR(IF(Months_Ref!$A$5="",0,INDEX(Acct2_Raw!$B$3:$BO$26,MATCH(Months_Ref!$A$5,Acct2_Raw!$A$3:$A$26,0),MATCH($A64,Acct2_Raw!$B$1:$BO$1,0))),0)</f>
        <v>10510.450999999999</v>
      </c>
      <c r="L64" s="4">
        <f>IFERROR(IF(Months_Ref!$A$6="",0,INDEX(Acct2_Raw!$B$3:$BO$26,MATCH(Months_Ref!$A$6,Acct2_Raw!$A$3:$A$26,0),MATCH($A64,Acct2_Raw!$B$1:$BO$1,0))),0)</f>
        <v>10280.129999999999</v>
      </c>
      <c r="M64" s="4">
        <f>IFERROR(IF(Months_Ref!$A$7="",0,INDEX(Acct2_Raw!$B$3:$BO$26,MATCH(Months_Ref!$A$7,Acct2_Raw!$A$3:$A$26,0),MATCH($A64,Acct2_Raw!$B$1:$BO$1,0))),0)</f>
        <v>9714.6200000000008</v>
      </c>
      <c r="N64" s="4">
        <f t="shared" si="6"/>
        <v>22407.040000000001</v>
      </c>
      <c r="O64" s="4">
        <f t="shared" si="7"/>
        <v>24612.064999999999</v>
      </c>
      <c r="P64" s="4">
        <f t="shared" si="8"/>
        <v>25401.909</v>
      </c>
      <c r="Q64" s="4">
        <f t="shared" si="9"/>
        <v>21742.881000000001</v>
      </c>
      <c r="R64" s="4">
        <f t="shared" si="10"/>
        <v>22986.326000000001</v>
      </c>
      <c r="S64" s="4">
        <f t="shared" si="11"/>
        <v>21375.219000000001</v>
      </c>
    </row>
    <row r="65" spans="1:19" ht="15" customHeight="1" x14ac:dyDescent="0.25">
      <c r="A65" s="3" t="s">
        <v>17</v>
      </c>
      <c r="B65" s="4">
        <f>IFERROR(IF(Months_Ref!$A$2="",0,INDEX(Acct1_Raw!$B$3:$BO$26,MATCH(Months_Ref!$A$2,Acct1_Raw!$A$3:$A$26,0),MATCH($A65,Acct1_Raw!$B$1:$BO$1,0))),0)</f>
        <v>3081.123</v>
      </c>
      <c r="C65" s="4">
        <f>IFERROR(IF(Months_Ref!$A$3="",0,INDEX(Acct1_Raw!$B$3:$BO$26,MATCH(Months_Ref!$A$3,Acct1_Raw!$A$3:$A$26,0),MATCH($A65,Acct1_Raw!$B$1:$BO$1,0))),0)</f>
        <v>3848.9119999999998</v>
      </c>
      <c r="D65" s="4">
        <f>IFERROR(IF(Months_Ref!$A$4="",0,INDEX(Acct1_Raw!$B$3:$BO$26,MATCH(Months_Ref!$A$4,Acct1_Raw!$A$3:$A$26,0),MATCH($A65,Acct1_Raw!$B$1:$BO$1,0))),0)</f>
        <v>3605.5219999999999</v>
      </c>
      <c r="E65" s="4">
        <f>IFERROR(IF(Months_Ref!$A$5="",0,INDEX(Acct1_Raw!$B$3:$BO$26,MATCH(Months_Ref!$A$5,Acct1_Raw!$A$3:$A$26,0),MATCH($A65,Acct1_Raw!$B$1:$BO$1,0))),0)</f>
        <v>3858.63</v>
      </c>
      <c r="F65" s="4">
        <f>IFERROR(IF(Months_Ref!$A$6="",0,INDEX(Acct1_Raw!$B$3:$BO$26,MATCH(Months_Ref!$A$6,Acct1_Raw!$A$3:$A$26,0),MATCH($A65,Acct1_Raw!$B$1:$BO$1,0))),0)</f>
        <v>3560.0169999999998</v>
      </c>
      <c r="G65" s="4">
        <f>IFERROR(IF(Months_Ref!$A$7="",0,INDEX(Acct1_Raw!$B$3:$BO$26,MATCH(Months_Ref!$A$7,Acct1_Raw!$A$3:$A$26,0),MATCH($A65,Acct1_Raw!$B$1:$BO$1,0))),0)</f>
        <v>3746.78</v>
      </c>
      <c r="H65" s="4">
        <f>IFERROR(IF(Months_Ref!$A$2="",0,INDEX(Acct2_Raw!$B$3:$BO$26,MATCH(Months_Ref!$A$2,Acct2_Raw!$A$3:$A$26,0),MATCH($A65,Acct2_Raw!$B$1:$BO$1,0))),0)</f>
        <v>4668.9250000000002</v>
      </c>
      <c r="I65" s="4">
        <f>IFERROR(IF(Months_Ref!$A$3="",0,INDEX(Acct2_Raw!$B$3:$BO$26,MATCH(Months_Ref!$A$3,Acct2_Raw!$A$3:$A$26,0),MATCH($A65,Acct2_Raw!$B$1:$BO$1,0))),0)</f>
        <v>4474.7250000000004</v>
      </c>
      <c r="J65" s="4">
        <f>IFERROR(IF(Months_Ref!$A$4="",0,INDEX(Acct2_Raw!$B$3:$BO$26,MATCH(Months_Ref!$A$4,Acct2_Raw!$A$3:$A$26,0),MATCH($A65,Acct2_Raw!$B$1:$BO$1,0))),0)</f>
        <v>5424.8509999999997</v>
      </c>
      <c r="K65" s="4">
        <f>IFERROR(IF(Months_Ref!$A$5="",0,INDEX(Acct2_Raw!$B$3:$BO$26,MATCH(Months_Ref!$A$5,Acct2_Raw!$A$3:$A$26,0),MATCH($A65,Acct2_Raw!$B$1:$BO$1,0))),0)</f>
        <v>4709.5010000000002</v>
      </c>
      <c r="L65" s="4">
        <f>IFERROR(IF(Months_Ref!$A$6="",0,INDEX(Acct2_Raw!$B$3:$BO$26,MATCH(Months_Ref!$A$6,Acct2_Raw!$A$3:$A$26,0),MATCH($A65,Acct2_Raw!$B$1:$BO$1,0))),0)</f>
        <v>5300.3220000000001</v>
      </c>
      <c r="M65" s="4">
        <f>IFERROR(IF(Months_Ref!$A$7="",0,INDEX(Acct2_Raw!$B$3:$BO$26,MATCH(Months_Ref!$A$7,Acct2_Raw!$A$3:$A$26,0),MATCH($A65,Acct2_Raw!$B$1:$BO$1,0))),0)</f>
        <v>5029.7629999999999</v>
      </c>
      <c r="N65" s="4">
        <f t="shared" si="6"/>
        <v>7750.0480000000007</v>
      </c>
      <c r="O65" s="4">
        <f t="shared" si="7"/>
        <v>8323.6370000000006</v>
      </c>
      <c r="P65" s="4">
        <f t="shared" si="8"/>
        <v>9030.3729999999996</v>
      </c>
      <c r="Q65" s="4">
        <f t="shared" si="9"/>
        <v>8568.1310000000012</v>
      </c>
      <c r="R65" s="4">
        <f t="shared" si="10"/>
        <v>8860.3389999999999</v>
      </c>
      <c r="S65" s="4">
        <f t="shared" si="11"/>
        <v>8776.5429999999997</v>
      </c>
    </row>
    <row r="66" spans="1:19" ht="15" customHeight="1" x14ac:dyDescent="0.25">
      <c r="A66" s="3" t="s">
        <v>37</v>
      </c>
      <c r="B66" s="4">
        <f>IFERROR(IF(Months_Ref!$A$2="",0,INDEX(Acct1_Raw!$B$3:$BO$26,MATCH(Months_Ref!$A$2,Acct1_Raw!$A$3:$A$26,0),MATCH($A66,Acct1_Raw!$B$1:$BO$1,0))),0)</f>
        <v>11390.107</v>
      </c>
      <c r="C66" s="4">
        <f>IFERROR(IF(Months_Ref!$A$3="",0,INDEX(Acct1_Raw!$B$3:$BO$26,MATCH(Months_Ref!$A$3,Acct1_Raw!$A$3:$A$26,0),MATCH($A66,Acct1_Raw!$B$1:$BO$1,0))),0)</f>
        <v>11468.47</v>
      </c>
      <c r="D66" s="4">
        <f>IFERROR(IF(Months_Ref!$A$4="",0,INDEX(Acct1_Raw!$B$3:$BO$26,MATCH(Months_Ref!$A$4,Acct1_Raw!$A$3:$A$26,0),MATCH($A66,Acct1_Raw!$B$1:$BO$1,0))),0)</f>
        <v>13967.788</v>
      </c>
      <c r="E66" s="4">
        <f>IFERROR(IF(Months_Ref!$A$5="",0,INDEX(Acct1_Raw!$B$3:$BO$26,MATCH(Months_Ref!$A$5,Acct1_Raw!$A$3:$A$26,0),MATCH($A66,Acct1_Raw!$B$1:$BO$1,0))),0)</f>
        <v>11541.42</v>
      </c>
      <c r="F66" s="4">
        <f>IFERROR(IF(Months_Ref!$A$6="",0,INDEX(Acct1_Raw!$B$3:$BO$26,MATCH(Months_Ref!$A$6,Acct1_Raw!$A$3:$A$26,0),MATCH($A66,Acct1_Raw!$B$1:$BO$1,0))),0)</f>
        <v>11246.776</v>
      </c>
      <c r="G66" s="4">
        <f>IFERROR(IF(Months_Ref!$A$7="",0,INDEX(Acct1_Raw!$B$3:$BO$26,MATCH(Months_Ref!$A$7,Acct1_Raw!$A$3:$A$26,0),MATCH($A66,Acct1_Raw!$B$1:$BO$1,0))),0)</f>
        <v>12336.252</v>
      </c>
      <c r="H66" s="4">
        <f>IFERROR(IF(Months_Ref!$A$2="",0,INDEX(Acct2_Raw!$B$3:$BO$26,MATCH(Months_Ref!$A$2,Acct2_Raw!$A$3:$A$26,0),MATCH($A66,Acct2_Raw!$B$1:$BO$1,0))),0)</f>
        <v>3672.0309999999999</v>
      </c>
      <c r="I66" s="4">
        <f>IFERROR(IF(Months_Ref!$A$3="",0,INDEX(Acct2_Raw!$B$3:$BO$26,MATCH(Months_Ref!$A$3,Acct2_Raw!$A$3:$A$26,0),MATCH($A66,Acct2_Raw!$B$1:$BO$1,0))),0)</f>
        <v>3313.4560000000001</v>
      </c>
      <c r="J66" s="4">
        <f>IFERROR(IF(Months_Ref!$A$4="",0,INDEX(Acct2_Raw!$B$3:$BO$26,MATCH(Months_Ref!$A$4,Acct2_Raw!$A$3:$A$26,0),MATCH($A66,Acct2_Raw!$B$1:$BO$1,0))),0)</f>
        <v>3242.5320000000002</v>
      </c>
      <c r="K66" s="4">
        <f>IFERROR(IF(Months_Ref!$A$5="",0,INDEX(Acct2_Raw!$B$3:$BO$26,MATCH(Months_Ref!$A$5,Acct2_Raw!$A$3:$A$26,0),MATCH($A66,Acct2_Raw!$B$1:$BO$1,0))),0)</f>
        <v>4122.0330000000004</v>
      </c>
      <c r="L66" s="4">
        <f>IFERROR(IF(Months_Ref!$A$6="",0,INDEX(Acct2_Raw!$B$3:$BO$26,MATCH(Months_Ref!$A$6,Acct2_Raw!$A$3:$A$26,0),MATCH($A66,Acct2_Raw!$B$1:$BO$1,0))),0)</f>
        <v>3994.027</v>
      </c>
      <c r="M66" s="4">
        <f>IFERROR(IF(Months_Ref!$A$7="",0,INDEX(Acct2_Raw!$B$3:$BO$26,MATCH(Months_Ref!$A$7,Acct2_Raw!$A$3:$A$26,0),MATCH($A66,Acct2_Raw!$B$1:$BO$1,0))),0)</f>
        <v>3327.7820000000002</v>
      </c>
      <c r="N66" s="4">
        <f t="shared" si="6"/>
        <v>15062.137999999999</v>
      </c>
      <c r="O66" s="4">
        <f t="shared" si="7"/>
        <v>14781.925999999999</v>
      </c>
      <c r="P66" s="4">
        <f t="shared" si="8"/>
        <v>17210.32</v>
      </c>
      <c r="Q66" s="4">
        <f t="shared" si="9"/>
        <v>15663.453000000001</v>
      </c>
      <c r="R66" s="4">
        <f t="shared" si="10"/>
        <v>15240.803</v>
      </c>
      <c r="S66" s="4">
        <f t="shared" si="11"/>
        <v>15664.034</v>
      </c>
    </row>
    <row r="67" spans="1:19" ht="15" customHeight="1" x14ac:dyDescent="0.25">
      <c r="A67" s="3" t="s">
        <v>35</v>
      </c>
      <c r="B67" s="4">
        <f>IFERROR(IF(Months_Ref!$A$2="",0,INDEX(Acct1_Raw!$B$3:$BO$26,MATCH(Months_Ref!$A$2,Acct1_Raw!$A$3:$A$26,0),MATCH($A67,Acct1_Raw!$B$1:$BO$1,0))),0)</f>
        <v>5288.9930000000004</v>
      </c>
      <c r="C67" s="4">
        <f>IFERROR(IF(Months_Ref!$A$3="",0,INDEX(Acct1_Raw!$B$3:$BO$26,MATCH(Months_Ref!$A$3,Acct1_Raw!$A$3:$A$26,0),MATCH($A67,Acct1_Raw!$B$1:$BO$1,0))),0)</f>
        <v>5903.817</v>
      </c>
      <c r="D67" s="4">
        <f>IFERROR(IF(Months_Ref!$A$4="",0,INDEX(Acct1_Raw!$B$3:$BO$26,MATCH(Months_Ref!$A$4,Acct1_Raw!$A$3:$A$26,0),MATCH($A67,Acct1_Raw!$B$1:$BO$1,0))),0)</f>
        <v>5008.7110000000002</v>
      </c>
      <c r="E67" s="4">
        <f>IFERROR(IF(Months_Ref!$A$5="",0,INDEX(Acct1_Raw!$B$3:$BO$26,MATCH(Months_Ref!$A$5,Acct1_Raw!$A$3:$A$26,0),MATCH($A67,Acct1_Raw!$B$1:$BO$1,0))),0)</f>
        <v>5542.4629999999997</v>
      </c>
      <c r="F67" s="4">
        <f>IFERROR(IF(Months_Ref!$A$6="",0,INDEX(Acct1_Raw!$B$3:$BO$26,MATCH(Months_Ref!$A$6,Acct1_Raw!$A$3:$A$26,0),MATCH($A67,Acct1_Raw!$B$1:$BO$1,0))),0)</f>
        <v>5062.6859999999997</v>
      </c>
      <c r="G67" s="4">
        <f>IFERROR(IF(Months_Ref!$A$7="",0,INDEX(Acct1_Raw!$B$3:$BO$26,MATCH(Months_Ref!$A$7,Acct1_Raw!$A$3:$A$26,0),MATCH($A67,Acct1_Raw!$B$1:$BO$1,0))),0)</f>
        <v>5575.3909999999996</v>
      </c>
      <c r="H67" s="4">
        <f>IFERROR(IF(Months_Ref!$A$2="",0,INDEX(Acct2_Raw!$B$3:$BO$26,MATCH(Months_Ref!$A$2,Acct2_Raw!$A$3:$A$26,0),MATCH($A67,Acct2_Raw!$B$1:$BO$1,0))),0)</f>
        <v>502.34</v>
      </c>
      <c r="I67" s="4">
        <f>IFERROR(IF(Months_Ref!$A$3="",0,INDEX(Acct2_Raw!$B$3:$BO$26,MATCH(Months_Ref!$A$3,Acct2_Raw!$A$3:$A$26,0),MATCH($A67,Acct2_Raw!$B$1:$BO$1,0))),0)</f>
        <v>479.74099999999999</v>
      </c>
      <c r="J67" s="4">
        <f>IFERROR(IF(Months_Ref!$A$4="",0,INDEX(Acct2_Raw!$B$3:$BO$26,MATCH(Months_Ref!$A$4,Acct2_Raw!$A$3:$A$26,0),MATCH($A67,Acct2_Raw!$B$1:$BO$1,0))),0)</f>
        <v>599.41600000000005</v>
      </c>
      <c r="K67" s="4">
        <f>IFERROR(IF(Months_Ref!$A$5="",0,INDEX(Acct2_Raw!$B$3:$BO$26,MATCH(Months_Ref!$A$5,Acct2_Raw!$A$3:$A$26,0),MATCH($A67,Acct2_Raw!$B$1:$BO$1,0))),0)</f>
        <v>543.41899999999998</v>
      </c>
      <c r="L67" s="4">
        <f>IFERROR(IF(Months_Ref!$A$6="",0,INDEX(Acct2_Raw!$B$3:$BO$26,MATCH(Months_Ref!$A$6,Acct2_Raw!$A$3:$A$26,0),MATCH($A67,Acct2_Raw!$B$1:$BO$1,0))),0)</f>
        <v>562.13900000000001</v>
      </c>
      <c r="M67" s="4">
        <f>IFERROR(IF(Months_Ref!$A$7="",0,INDEX(Acct2_Raw!$B$3:$BO$26,MATCH(Months_Ref!$A$7,Acct2_Raw!$A$3:$A$26,0),MATCH($A67,Acct2_Raw!$B$1:$BO$1,0))),0)</f>
        <v>641.51300000000003</v>
      </c>
      <c r="N67" s="4">
        <f t="shared" si="6"/>
        <v>5791.3330000000005</v>
      </c>
      <c r="O67" s="4">
        <f t="shared" si="7"/>
        <v>6383.558</v>
      </c>
      <c r="P67" s="4">
        <f t="shared" si="8"/>
        <v>5608.1270000000004</v>
      </c>
      <c r="Q67" s="4">
        <f t="shared" si="9"/>
        <v>6085.8819999999996</v>
      </c>
      <c r="R67" s="4">
        <f t="shared" si="10"/>
        <v>5624.8249999999998</v>
      </c>
      <c r="S67" s="4">
        <f t="shared" si="11"/>
        <v>6216.9039999999995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AL95"/>
  <sheetViews>
    <sheetView zoomScaleNormal="100" workbookViewId="0"/>
  </sheetViews>
  <sheetFormatPr defaultColWidth="8.7109375" defaultRowHeight="15" x14ac:dyDescent="0.25"/>
  <cols>
    <col min="1" max="4" width="12" customWidth="1"/>
    <col min="5" max="5" width="36" customWidth="1"/>
    <col min="6" max="12" width="14" customWidth="1"/>
    <col min="14" max="14" width="6" customWidth="1"/>
    <col min="15" max="15" width="32" customWidth="1"/>
    <col min="16" max="18" width="13" customWidth="1"/>
    <col min="19" max="19" width="10" customWidth="1"/>
    <col min="21" max="21" width="6" customWidth="1"/>
    <col min="22" max="22" width="32" customWidth="1"/>
    <col min="23" max="25" width="13" customWidth="1"/>
    <col min="26" max="26" width="10" customWidth="1"/>
    <col min="28" max="28" width="12" customWidth="1"/>
    <col min="29" max="31" width="14" customWidth="1"/>
    <col min="33" max="33" width="30" customWidth="1"/>
    <col min="34" max="34" width="14" customWidth="1"/>
    <col min="36" max="36" width="30" customWidth="1"/>
    <col min="37" max="38" width="14" customWidth="1"/>
  </cols>
  <sheetData>
    <row r="1" spans="1:4" ht="15" customHeight="1" x14ac:dyDescent="0.25">
      <c r="A1" s="10" t="s">
        <v>71</v>
      </c>
      <c r="B1" s="10" t="s">
        <v>72</v>
      </c>
      <c r="C1" s="10" t="s">
        <v>73</v>
      </c>
      <c r="D1" s="10" t="s">
        <v>74</v>
      </c>
    </row>
    <row r="2" spans="1:4" ht="15" customHeight="1" x14ac:dyDescent="0.25">
      <c r="A2" s="27">
        <f>Months_Ref!$A$2</f>
        <v>45870</v>
      </c>
      <c r="B2">
        <v>2</v>
      </c>
      <c r="C2">
        <v>8</v>
      </c>
      <c r="D2">
        <v>14</v>
      </c>
    </row>
    <row r="3" spans="1:4" ht="15" customHeight="1" x14ac:dyDescent="0.25">
      <c r="A3" s="27">
        <f>Months_Ref!$A$3</f>
        <v>45901</v>
      </c>
      <c r="B3">
        <v>3</v>
      </c>
      <c r="C3">
        <v>9</v>
      </c>
      <c r="D3">
        <v>15</v>
      </c>
    </row>
    <row r="4" spans="1:4" ht="15" customHeight="1" x14ac:dyDescent="0.25">
      <c r="A4" s="27">
        <f>Months_Ref!$A$4</f>
        <v>45931</v>
      </c>
      <c r="B4">
        <v>4</v>
      </c>
      <c r="C4">
        <v>10</v>
      </c>
      <c r="D4">
        <v>16</v>
      </c>
    </row>
    <row r="5" spans="1:4" ht="15" customHeight="1" x14ac:dyDescent="0.25">
      <c r="A5" s="27">
        <f>Months_Ref!$A$5</f>
        <v>45962</v>
      </c>
      <c r="B5">
        <v>5</v>
      </c>
      <c r="C5">
        <v>11</v>
      </c>
      <c r="D5">
        <v>17</v>
      </c>
    </row>
    <row r="6" spans="1:4" ht="15" customHeight="1" x14ac:dyDescent="0.25">
      <c r="A6" s="27">
        <f>Months_Ref!$A$6</f>
        <v>45992</v>
      </c>
      <c r="B6">
        <v>6</v>
      </c>
      <c r="C6">
        <v>12</v>
      </c>
      <c r="D6">
        <v>18</v>
      </c>
    </row>
    <row r="7" spans="1:4" ht="15" customHeight="1" x14ac:dyDescent="0.25">
      <c r="A7" s="27">
        <f>Months_Ref!$A$7</f>
        <v>46023</v>
      </c>
      <c r="B7">
        <v>7</v>
      </c>
      <c r="C7">
        <v>13</v>
      </c>
      <c r="D7">
        <v>19</v>
      </c>
    </row>
    <row r="28" spans="1:38" ht="15" customHeight="1" x14ac:dyDescent="0.25">
      <c r="A28" s="10" t="s">
        <v>75</v>
      </c>
      <c r="B28" s="11">
        <f>IF(Dashboard!$E$5="Acct1",IFERROR(INDEX($B$2:$B$7,IFERROR(MATCH(Dashboard!$K$5,$A$2:$A$7,0),1)),2),IF(Dashboard!$E$5="Acct2",IFERROR(INDEX($C$2:$C$7,IFERROR(MATCH(Dashboard!$K$5,$A$2:$A$7,0),1)),8),IFERROR(INDEX($D$2:$D$7,IFERROR(MATCH(Dashboard!$K$5,$A$2:$A$7,0),1)),14)))</f>
        <v>7</v>
      </c>
    </row>
    <row r="29" spans="1:38" ht="15" customHeight="1" x14ac:dyDescent="0.25">
      <c r="A29" s="10" t="s">
        <v>76</v>
      </c>
      <c r="B29" s="11">
        <f>IF(Dashboard!$E$5="Acct1",IFERROR(INDEX($B$2:$B$7,IFERROR(MATCH(Dashboard!$Q$5,$A$2:$A$7,0),1)),2),IF(Dashboard!$E$5="Acct2",IFERROR(INDEX($C$2:$C$7,IFERROR(MATCH(Dashboard!$Q$5,$A$2:$A$7,0),1)),8),IFERROR(INDEX($D$2:$D$7,IFERROR(MATCH(Dashboard!$Q$5,$A$2:$A$7,0),1)),14)))</f>
        <v>6</v>
      </c>
      <c r="E29" s="10" t="s">
        <v>0</v>
      </c>
      <c r="F29" s="10" t="s">
        <v>77</v>
      </c>
      <c r="G29" s="10" t="s">
        <v>78</v>
      </c>
      <c r="H29" s="10" t="s">
        <v>79</v>
      </c>
      <c r="I29" s="10" t="s">
        <v>80</v>
      </c>
      <c r="J29" s="10" t="s">
        <v>81</v>
      </c>
      <c r="K29" s="10" t="s">
        <v>82</v>
      </c>
      <c r="L29" s="10" t="s">
        <v>83</v>
      </c>
      <c r="N29" s="12" t="s">
        <v>84</v>
      </c>
      <c r="O29" s="12" t="s">
        <v>0</v>
      </c>
      <c r="P29" s="12" t="s">
        <v>77</v>
      </c>
      <c r="Q29" s="12" t="s">
        <v>78</v>
      </c>
      <c r="R29" s="12" t="s">
        <v>79</v>
      </c>
      <c r="S29" s="12" t="s">
        <v>80</v>
      </c>
      <c r="U29" s="12" t="s">
        <v>84</v>
      </c>
      <c r="V29" s="12" t="s">
        <v>0</v>
      </c>
      <c r="W29" s="12" t="s">
        <v>77</v>
      </c>
      <c r="X29" s="12" t="s">
        <v>78</v>
      </c>
      <c r="Y29" s="12" t="s">
        <v>79</v>
      </c>
      <c r="Z29" s="12" t="s">
        <v>80</v>
      </c>
      <c r="AB29" s="12" t="s">
        <v>71</v>
      </c>
      <c r="AC29" s="12" t="s">
        <v>85</v>
      </c>
      <c r="AD29" s="12" t="s">
        <v>86</v>
      </c>
      <c r="AE29" s="12" t="s">
        <v>87</v>
      </c>
      <c r="AG29" s="12" t="s">
        <v>0</v>
      </c>
      <c r="AH29" s="12" t="s">
        <v>88</v>
      </c>
      <c r="AJ29" s="12" t="s">
        <v>0</v>
      </c>
      <c r="AK29" s="12" t="s">
        <v>85</v>
      </c>
      <c r="AL29" s="12" t="s">
        <v>86</v>
      </c>
    </row>
    <row r="30" spans="1:38" ht="15" customHeight="1" x14ac:dyDescent="0.25">
      <c r="A30" s="10" t="s">
        <v>89</v>
      </c>
      <c r="B30" s="11">
        <f>VALUE(Dashboard!$W$5)</f>
        <v>10</v>
      </c>
      <c r="E30" s="11" t="str">
        <f>Service_List!$A$2</f>
        <v>ACM($)</v>
      </c>
      <c r="F30" s="13">
        <f>IFERROR(INDEX(Service_List!$2:2,1,$B$28),0)</f>
        <v>4087.9609999999998</v>
      </c>
      <c r="G30" s="13">
        <f>IFERROR(INDEX(Service_List!$2:2,1,$B$29),0)</f>
        <v>4814.5010000000002</v>
      </c>
      <c r="H30" s="13">
        <f t="shared" ref="H30:H61" si="0">F30-G30</f>
        <v>-726.54000000000042</v>
      </c>
      <c r="I30" s="14">
        <f t="shared" ref="I30:I61" si="1">IFERROR(H30/G30,0)</f>
        <v>-0.150906604858946</v>
      </c>
      <c r="J30" s="11">
        <f t="shared" ref="J30:J61" si="2">RANK(F30,$F$30:$F$95,0)</f>
        <v>46</v>
      </c>
      <c r="K30" s="13">
        <f t="shared" ref="K30:K61" si="3">ABS(H30)</f>
        <v>726.54000000000042</v>
      </c>
      <c r="L30" s="11">
        <f t="shared" ref="L30:L61" si="4">RANK(K30,$K$30:$K$95,0)</f>
        <v>19</v>
      </c>
      <c r="N30" s="11">
        <v>1</v>
      </c>
      <c r="O30" s="11" t="str">
        <f>IFERROR(INDEX($E$30:$E$95,MATCH(1,$J$30:$J$95,0)),"")</f>
        <v>Batch($)</v>
      </c>
      <c r="P30" s="13">
        <f>IFERROR(INDEX($F$30:$F$95,MATCH(1,$J$30:$J$95,0)),0)</f>
        <v>15512.514999999999</v>
      </c>
      <c r="Q30" s="13">
        <f>IFERROR(INDEX($G$30:$G$95,MATCH(1,$J$30:$J$95,0)),0)</f>
        <v>16027.611000000001</v>
      </c>
      <c r="R30" s="13">
        <f>IFERROR(INDEX($H$30:$H$95,MATCH(1,$J$30:$J$95,0)),0)</f>
        <v>-515.09600000000137</v>
      </c>
      <c r="S30" s="14">
        <f>IFERROR(INDEX($I$30:$I$95,MATCH(1,$J$30:$J$95,0)),0)</f>
        <v>-3.213803978646608E-2</v>
      </c>
      <c r="U30" s="11">
        <v>1</v>
      </c>
      <c r="V30" s="11" t="str">
        <f>IFERROR(INDEX($E$30:$E$95,MATCH(1,$L$30:$L$95,0)),"")</f>
        <v>DataSync($)</v>
      </c>
      <c r="W30" s="13">
        <f>IFERROR(INDEX($F$30:$F$95,MATCH(1,$L$30:$L$95,0)),0)</f>
        <v>14365.915999999999</v>
      </c>
      <c r="X30" s="13">
        <f>IFERROR(INDEX($G$30:$G$95,MATCH(1,$L$30:$L$95,0)),0)</f>
        <v>11053.966</v>
      </c>
      <c r="Y30" s="13">
        <f>IFERROR(INDEX($H$30:$H$95,MATCH(1,$L$30:$L$95,0)),0)</f>
        <v>3311.9499999999989</v>
      </c>
      <c r="Z30" s="14">
        <f>IFERROR(INDEX($I$30:$I$95,MATCH(1,$L$30:$L$95,0)),0)</f>
        <v>0.29961644535544968</v>
      </c>
      <c r="AB30" s="11" t="str">
        <f>IF(Months_Ref!$A$2="","",TEXT(Months_Ref!$A$2,"mmm-yy"))</f>
        <v>Aug-25</v>
      </c>
      <c r="AC30" s="13">
        <f>IFERROR(IF(Months_Ref!$A$2="",0,SUMPRODUCT((Acct1_Raw!$A$3:$A$26=Months_Ref!$A$2)*Acct1_Raw!$B$3:$BO$26)),0)</f>
        <v>474371.39699999982</v>
      </c>
      <c r="AD30" s="13">
        <f>IFERROR(IF(Months_Ref!$A$2="",0,SUMPRODUCT((Acct2_Raw!$A$3:$A$26=Months_Ref!$A$2)*Acct2_Raw!$B$3:$BO$26)),0)</f>
        <v>447795.00400000019</v>
      </c>
      <c r="AE30" s="13">
        <f t="shared" ref="AE30:AE35" si="5">AC30+AD30</f>
        <v>922166.40100000007</v>
      </c>
      <c r="AG30" s="11" t="str">
        <f>IFERROR(INDEX($E$30:$E$95,MATCH(1,$J$30:$J$95,0)),"")</f>
        <v>Batch($)</v>
      </c>
      <c r="AH30" s="13">
        <f>IFERROR(INDEX($F$30:$F$95,MATCH(1,$J$30:$J$95,0)),0)</f>
        <v>15512.514999999999</v>
      </c>
      <c r="AJ30" s="11" t="str">
        <f>IFERROR(INDEX($E$30:$E$95,MATCH(1,$J$30:$J$95,0)),"")</f>
        <v>Batch($)</v>
      </c>
      <c r="AK30" s="13">
        <f>IFERROR(INDEX(Service_List!$2:67,IFERROR(MATCH(IFERROR(INDEX($E$30:$E$95,MATCH(1,$J$30:$J$95,0)),""),Service_List!$A$2:$A$67,0),0),IFERROR(INDEX($B$2:$B$7,IFERROR(MATCH(Dashboard!$K$5,$A$2:$A$7,0),1)),2)),0)</f>
        <v>15512.514999999999</v>
      </c>
      <c r="AL30" s="13">
        <f>IFERROR(INDEX(Service_List!$2:67,IFERROR(MATCH(IFERROR(INDEX($E$30:$E$95,MATCH(1,$J$30:$J$95,0)),""),Service_List!$A$2:$A$67,0),0),IFERROR(INDEX($C$2:$C$7,IFERROR(MATCH(Dashboard!$K$5,$A$2:$A$7,0),1)),8)),0)</f>
        <v>10580.264999999999</v>
      </c>
    </row>
    <row r="31" spans="1:38" ht="15" customHeight="1" x14ac:dyDescent="0.25">
      <c r="E31" s="11" t="str">
        <f>Service_List!$A$3</f>
        <v>API Gateway($)</v>
      </c>
      <c r="F31" s="13">
        <f>IFERROR(INDEX(Service_List!$3:3,1,$B$28),0)</f>
        <v>11724.125</v>
      </c>
      <c r="G31" s="13">
        <f>IFERROR(INDEX(Service_List!$3:3,1,$B$29),0)</f>
        <v>11062.893</v>
      </c>
      <c r="H31" s="13">
        <f t="shared" si="0"/>
        <v>661.23199999999997</v>
      </c>
      <c r="I31" s="14">
        <f t="shared" si="1"/>
        <v>5.9770260816949056E-2</v>
      </c>
      <c r="J31" s="11">
        <f t="shared" si="2"/>
        <v>10</v>
      </c>
      <c r="K31" s="13">
        <f t="shared" si="3"/>
        <v>661.23199999999997</v>
      </c>
      <c r="L31" s="11">
        <f t="shared" si="4"/>
        <v>23</v>
      </c>
      <c r="N31" s="11">
        <v>2</v>
      </c>
      <c r="O31" s="11" t="str">
        <f>IFERROR(INDEX($E$30:$E$95,MATCH(2,$J$30:$J$95,0)),"")</f>
        <v>CodeBuild($)</v>
      </c>
      <c r="P31" s="13">
        <f>IFERROR(INDEX($F$30:$F$95,MATCH(2,$J$30:$J$95,0)),0)</f>
        <v>15455.826999999999</v>
      </c>
      <c r="Q31" s="13">
        <f>IFERROR(INDEX($G$30:$G$95,MATCH(2,$J$30:$J$95,0)),0)</f>
        <v>14258.022000000001</v>
      </c>
      <c r="R31" s="13">
        <f>IFERROR(INDEX($H$30:$H$95,MATCH(2,$J$30:$J$95,0)),0)</f>
        <v>1197.8049999999985</v>
      </c>
      <c r="S31" s="14">
        <f>IFERROR(INDEX($I$30:$I$95,MATCH(2,$J$30:$J$95,0)),0)</f>
        <v>8.4009198470867727E-2</v>
      </c>
      <c r="U31" s="11">
        <v>2</v>
      </c>
      <c r="V31" s="11" t="str">
        <f>IFERROR(INDEX($E$30:$E$95,MATCH(2,$L$30:$L$95,0)),"")</f>
        <v>Shield($)</v>
      </c>
      <c r="W31" s="13">
        <f>IFERROR(INDEX($F$30:$F$95,MATCH(2,$L$30:$L$95,0)),0)</f>
        <v>8275.2450000000008</v>
      </c>
      <c r="X31" s="13">
        <f>IFERROR(INDEX($G$30:$G$95,MATCH(2,$L$30:$L$95,0)),0)</f>
        <v>10595.86</v>
      </c>
      <c r="Y31" s="13">
        <f>IFERROR(INDEX($H$30:$H$95,MATCH(2,$L$30:$L$95,0)),0)</f>
        <v>-2320.6149999999998</v>
      </c>
      <c r="Z31" s="14">
        <f>IFERROR(INDEX($I$30:$I$95,MATCH(2,$L$30:$L$95,0)),0)</f>
        <v>-0.21901148184290842</v>
      </c>
      <c r="AB31" s="11" t="str">
        <f>IF(Months_Ref!$A$3="","",TEXT(Months_Ref!$A$3,"mmm-yy"))</f>
        <v>Sep-25</v>
      </c>
      <c r="AC31" s="13">
        <f>IFERROR(IF(Months_Ref!$A$3="",0,SUMPRODUCT((Acct1_Raw!$A$3:$A$26=Months_Ref!$A$3)*Acct1_Raw!$B$3:$BO$26)),0)</f>
        <v>480182.00899999985</v>
      </c>
      <c r="AD31" s="13">
        <f>IFERROR(IF(Months_Ref!$A$3="",0,SUMPRODUCT((Acct2_Raw!$A$3:$A$26=Months_Ref!$A$3)*Acct2_Raw!$B$3:$BO$26)),0)</f>
        <v>433250.80900000012</v>
      </c>
      <c r="AE31" s="13">
        <f t="shared" si="5"/>
        <v>913432.81799999997</v>
      </c>
      <c r="AG31" s="11" t="str">
        <f>IFERROR(INDEX($E$30:$E$95,MATCH(2,$J$30:$J$95,0)),"")</f>
        <v>CodeBuild($)</v>
      </c>
      <c r="AH31" s="13">
        <f>IFERROR(INDEX($F$30:$F$95,MATCH(2,$J$30:$J$95,0)),0)</f>
        <v>15455.826999999999</v>
      </c>
      <c r="AJ31" s="11" t="str">
        <f>IFERROR(INDEX($E$30:$E$95,MATCH(2,$J$30:$J$95,0)),"")</f>
        <v>CodeBuild($)</v>
      </c>
      <c r="AK31" s="13">
        <f>IFERROR(INDEX(Service_List!$2:67,IFERROR(MATCH(IFERROR(INDEX($E$30:$E$95,MATCH(2,$J$30:$J$95,0)),""),Service_List!$A$2:$A$67,0),0),IFERROR(INDEX($B$2:$B$7,IFERROR(MATCH(Dashboard!$K$5,$A$2:$A$7,0),1)),2)),0)</f>
        <v>15455.826999999999</v>
      </c>
      <c r="AL31" s="13">
        <f>IFERROR(INDEX(Service_List!$2:67,IFERROR(MATCH(IFERROR(INDEX($E$30:$E$95,MATCH(2,$J$30:$J$95,0)),""),Service_List!$A$2:$A$67,0),0),IFERROR(INDEX($C$2:$C$7,IFERROR(MATCH(Dashboard!$K$5,$A$2:$A$7,0),1)),8)),0)</f>
        <v>8166.2349999999997</v>
      </c>
    </row>
    <row r="32" spans="1:38" ht="15" customHeight="1" x14ac:dyDescent="0.25">
      <c r="E32" s="11" t="str">
        <f>Service_List!$A$4</f>
        <v>Amplify($)</v>
      </c>
      <c r="F32" s="13">
        <f>IFERROR(INDEX(Service_List!$4:4,1,$B$28),0)</f>
        <v>2267.88</v>
      </c>
      <c r="G32" s="13">
        <f>IFERROR(INDEX(Service_List!$4:4,1,$B$29),0)</f>
        <v>2629.8319999999999</v>
      </c>
      <c r="H32" s="13">
        <f t="shared" si="0"/>
        <v>-361.95199999999977</v>
      </c>
      <c r="I32" s="14">
        <f t="shared" si="1"/>
        <v>-0.13763312637461245</v>
      </c>
      <c r="J32" s="11">
        <f t="shared" si="2"/>
        <v>56</v>
      </c>
      <c r="K32" s="13">
        <f t="shared" si="3"/>
        <v>361.95199999999977</v>
      </c>
      <c r="L32" s="11">
        <f t="shared" si="4"/>
        <v>39</v>
      </c>
      <c r="N32" s="11">
        <v>3</v>
      </c>
      <c r="O32" s="11" t="str">
        <f>IFERROR(INDEX($E$30:$E$95,MATCH(3,$J$30:$J$95,0)),"")</f>
        <v>Chime($)</v>
      </c>
      <c r="P32" s="13">
        <f>IFERROR(INDEX($F$30:$F$95,MATCH(3,$J$30:$J$95,0)),0)</f>
        <v>15384.035</v>
      </c>
      <c r="Q32" s="13">
        <f>IFERROR(INDEX($G$30:$G$95,MATCH(3,$J$30:$J$95,0)),0)</f>
        <v>15782.181</v>
      </c>
      <c r="R32" s="13">
        <f>IFERROR(INDEX($H$30:$H$95,MATCH(3,$J$30:$J$95,0)),0)</f>
        <v>-398.14600000000064</v>
      </c>
      <c r="S32" s="14">
        <f>IFERROR(INDEX($I$30:$I$95,MATCH(3,$J$30:$J$95,0)),0)</f>
        <v>-2.5227565188867155E-2</v>
      </c>
      <c r="U32" s="11">
        <v>3</v>
      </c>
      <c r="V32" s="11" t="str">
        <f>IFERROR(INDEX($E$30:$E$95,MATCH(3,$L$30:$L$95,0)),"")</f>
        <v>IAM($)</v>
      </c>
      <c r="W32" s="13">
        <f>IFERROR(INDEX($F$30:$F$95,MATCH(3,$L$30:$L$95,0)),0)</f>
        <v>8743.7279999999992</v>
      </c>
      <c r="X32" s="13">
        <f>IFERROR(INDEX($G$30:$G$95,MATCH(3,$L$30:$L$95,0)),0)</f>
        <v>10695.681</v>
      </c>
      <c r="Y32" s="13">
        <f>IFERROR(INDEX($H$30:$H$95,MATCH(3,$L$30:$L$95,0)),0)</f>
        <v>-1951.9530000000013</v>
      </c>
      <c r="Z32" s="14">
        <f>IFERROR(INDEX($I$30:$I$95,MATCH(3,$L$30:$L$95,0)),0)</f>
        <v>-0.18249917887416436</v>
      </c>
      <c r="AB32" s="11" t="str">
        <f>IF(Months_Ref!$A$4="","",TEXT(Months_Ref!$A$4,"mmm-yy"))</f>
        <v>Oct-25</v>
      </c>
      <c r="AC32" s="13">
        <f>IFERROR(IF(Months_Ref!$A$4="",0,SUMPRODUCT((Acct1_Raw!$A$3:$A$26=Months_Ref!$A$4)*Acct1_Raw!$B$3:$BO$26)),0)</f>
        <v>483330.51899999997</v>
      </c>
      <c r="AD32" s="13">
        <f>IFERROR(IF(Months_Ref!$A$4="",0,SUMPRODUCT((Acct2_Raw!$A$3:$A$26=Months_Ref!$A$4)*Acct2_Raw!$B$3:$BO$26)),0)</f>
        <v>441339.15800000017</v>
      </c>
      <c r="AE32" s="13">
        <f t="shared" si="5"/>
        <v>924669.67700000014</v>
      </c>
      <c r="AG32" s="11" t="str">
        <f>IFERROR(INDEX($E$30:$E$95,MATCH(3,$J$30:$J$95,0)),"")</f>
        <v>Chime($)</v>
      </c>
      <c r="AH32" s="13">
        <f>IFERROR(INDEX($F$30:$F$95,MATCH(3,$J$30:$J$95,0)),0)</f>
        <v>15384.035</v>
      </c>
      <c r="AJ32" s="11" t="str">
        <f>IFERROR(INDEX($E$30:$E$95,MATCH(3,$J$30:$J$95,0)),"")</f>
        <v>Chime($)</v>
      </c>
      <c r="AK32" s="13">
        <f>IFERROR(INDEX(Service_List!$2:67,IFERROR(MATCH(IFERROR(INDEX($E$30:$E$95,MATCH(3,$J$30:$J$95,0)),""),Service_List!$A$2:$A$67,0),0),IFERROR(INDEX($B$2:$B$7,IFERROR(MATCH(Dashboard!$K$5,$A$2:$A$7,0),1)),2)),0)</f>
        <v>15384.035</v>
      </c>
      <c r="AL32" s="13">
        <f>IFERROR(INDEX(Service_List!$2:67,IFERROR(MATCH(IFERROR(INDEX($E$30:$E$95,MATCH(3,$J$30:$J$95,0)),""),Service_List!$A$2:$A$67,0),0),IFERROR(INDEX($C$2:$C$7,IFERROR(MATCH(Dashboard!$K$5,$A$2:$A$7,0),1)),8)),0)</f>
        <v>4827.4089999999997</v>
      </c>
    </row>
    <row r="33" spans="5:38" ht="15" customHeight="1" x14ac:dyDescent="0.25">
      <c r="E33" s="11" t="str">
        <f>Service_List!$A$5</f>
        <v>AppStream($)</v>
      </c>
      <c r="F33" s="13">
        <f>IFERROR(INDEX(Service_List!$5:5,1,$B$28),0)</f>
        <v>7488.8140000000003</v>
      </c>
      <c r="G33" s="13">
        <f>IFERROR(INDEX(Service_List!$5:5,1,$B$29),0)</f>
        <v>8138.4489999999996</v>
      </c>
      <c r="H33" s="13">
        <f t="shared" si="0"/>
        <v>-649.63499999999931</v>
      </c>
      <c r="I33" s="14">
        <f t="shared" si="1"/>
        <v>-7.9822949065601972E-2</v>
      </c>
      <c r="J33" s="11">
        <f t="shared" si="2"/>
        <v>33</v>
      </c>
      <c r="K33" s="13">
        <f t="shared" si="3"/>
        <v>649.63499999999931</v>
      </c>
      <c r="L33" s="11">
        <f t="shared" si="4"/>
        <v>24</v>
      </c>
      <c r="N33" s="11">
        <v>4</v>
      </c>
      <c r="O33" s="11" t="str">
        <f>IFERROR(INDEX($E$30:$E$95,MATCH(4,$J$30:$J$95,0)),"")</f>
        <v>DataSync($)</v>
      </c>
      <c r="P33" s="13">
        <f>IFERROR(INDEX($F$30:$F$95,MATCH(4,$J$30:$J$95,0)),0)</f>
        <v>14365.915999999999</v>
      </c>
      <c r="Q33" s="13">
        <f>IFERROR(INDEX($G$30:$G$95,MATCH(4,$J$30:$J$95,0)),0)</f>
        <v>11053.966</v>
      </c>
      <c r="R33" s="13">
        <f>IFERROR(INDEX($H$30:$H$95,MATCH(4,$J$30:$J$95,0)),0)</f>
        <v>3311.9499999999989</v>
      </c>
      <c r="S33" s="14">
        <f>IFERROR(INDEX($I$30:$I$95,MATCH(4,$J$30:$J$95,0)),0)</f>
        <v>0.29961644535544968</v>
      </c>
      <c r="U33" s="11">
        <v>4</v>
      </c>
      <c r="V33" s="11" t="str">
        <f>IFERROR(INDEX($E$30:$E$95,MATCH(4,$L$30:$L$95,0)),"")</f>
        <v>CodeDeploy($)</v>
      </c>
      <c r="W33" s="13">
        <f>IFERROR(INDEX($F$30:$F$95,MATCH(4,$L$30:$L$95,0)),0)</f>
        <v>9030.6959999999999</v>
      </c>
      <c r="X33" s="13">
        <f>IFERROR(INDEX($G$30:$G$95,MATCH(4,$L$30:$L$95,0)),0)</f>
        <v>10918.243</v>
      </c>
      <c r="Y33" s="13">
        <f>IFERROR(INDEX($H$30:$H$95,MATCH(4,$L$30:$L$95,0)),0)</f>
        <v>-1887.5470000000005</v>
      </c>
      <c r="Z33" s="14">
        <f>IFERROR(INDEX($I$30:$I$95,MATCH(4,$L$30:$L$95,0)),0)</f>
        <v>-0.17288010534295678</v>
      </c>
      <c r="AB33" s="11" t="str">
        <f>IF(Months_Ref!$A$5="","",TEXT(Months_Ref!$A$5,"mmm-yy"))</f>
        <v>Nov-25</v>
      </c>
      <c r="AC33" s="13">
        <f>IFERROR(IF(Months_Ref!$A$5="",0,SUMPRODUCT((Acct1_Raw!$A$3:$A$26=Months_Ref!$A$5)*Acct1_Raw!$B$3:$BO$26)),0)</f>
        <v>477796.98200000002</v>
      </c>
      <c r="AD33" s="13">
        <f>IFERROR(IF(Months_Ref!$A$5="",0,SUMPRODUCT((Acct2_Raw!$A$3:$A$26=Months_Ref!$A$5)*Acct2_Raw!$B$3:$BO$26)),0)</f>
        <v>454138.27400000003</v>
      </c>
      <c r="AE33" s="13">
        <f t="shared" si="5"/>
        <v>931935.25600000005</v>
      </c>
      <c r="AG33" s="11" t="str">
        <f>IFERROR(INDEX($E$30:$E$95,MATCH(4,$J$30:$J$95,0)),"")</f>
        <v>DataSync($)</v>
      </c>
      <c r="AH33" s="13">
        <f>IFERROR(INDEX($F$30:$F$95,MATCH(4,$J$30:$J$95,0)),0)</f>
        <v>14365.915999999999</v>
      </c>
      <c r="AJ33" s="11" t="str">
        <f>IFERROR(INDEX($E$30:$E$95,MATCH(4,$J$30:$J$95,0)),"")</f>
        <v>DataSync($)</v>
      </c>
      <c r="AK33" s="13">
        <f>IFERROR(INDEX(Service_List!$2:67,IFERROR(MATCH(IFERROR(INDEX($E$30:$E$95,MATCH(4,$J$30:$J$95,0)),""),Service_List!$A$2:$A$67,0),0),IFERROR(INDEX($B$2:$B$7,IFERROR(MATCH(Dashboard!$K$5,$A$2:$A$7,0),1)),2)),0)</f>
        <v>14365.915999999999</v>
      </c>
      <c r="AL33" s="13">
        <f>IFERROR(INDEX(Service_List!$2:67,IFERROR(MATCH(IFERROR(INDEX($E$30:$E$95,MATCH(4,$J$30:$J$95,0)),""),Service_List!$A$2:$A$67,0),0),IFERROR(INDEX($C$2:$C$7,IFERROR(MATCH(Dashboard!$K$5,$A$2:$A$7,0),1)),8)),0)</f>
        <v>13517.198</v>
      </c>
    </row>
    <row r="34" spans="5:38" ht="15" customHeight="1" x14ac:dyDescent="0.25">
      <c r="E34" s="11" t="str">
        <f>Service_List!$A$6</f>
        <v>AppSync($)</v>
      </c>
      <c r="F34" s="13">
        <f>IFERROR(INDEX(Service_List!$6:6,1,$B$28),0)</f>
        <v>11093.646000000001</v>
      </c>
      <c r="G34" s="13">
        <f>IFERROR(INDEX(Service_List!$6:6,1,$B$29),0)</f>
        <v>10171.923000000001</v>
      </c>
      <c r="H34" s="13">
        <f t="shared" si="0"/>
        <v>921.72299999999996</v>
      </c>
      <c r="I34" s="14">
        <f t="shared" si="1"/>
        <v>9.0614429542968417E-2</v>
      </c>
      <c r="J34" s="11">
        <f t="shared" si="2"/>
        <v>14</v>
      </c>
      <c r="K34" s="13">
        <f t="shared" si="3"/>
        <v>921.72299999999996</v>
      </c>
      <c r="L34" s="11">
        <f t="shared" si="4"/>
        <v>14</v>
      </c>
      <c r="N34" s="11">
        <v>5</v>
      </c>
      <c r="O34" s="11" t="str">
        <f>IFERROR(INDEX($E$30:$E$95,MATCH(5,$J$30:$J$95,0)),"")</f>
        <v>CloudFront($)</v>
      </c>
      <c r="P34" s="13">
        <f>IFERROR(INDEX($F$30:$F$95,MATCH(5,$J$30:$J$95,0)),0)</f>
        <v>14222.876</v>
      </c>
      <c r="Q34" s="13">
        <f>IFERROR(INDEX($G$30:$G$95,MATCH(5,$J$30:$J$95,0)),0)</f>
        <v>13285.736999999999</v>
      </c>
      <c r="R34" s="13">
        <f>IFERROR(INDEX($H$30:$H$95,MATCH(5,$J$30:$J$95,0)),0)</f>
        <v>937.13900000000103</v>
      </c>
      <c r="S34" s="14">
        <f>IFERROR(INDEX($I$30:$I$95,MATCH(5,$J$30:$J$95,0)),0)</f>
        <v>7.0537223490123369E-2</v>
      </c>
      <c r="U34" s="11">
        <v>5</v>
      </c>
      <c r="V34" s="11" t="str">
        <f>IFERROR(INDEX($E$30:$E$95,MATCH(5,$L$30:$L$95,0)),"")</f>
        <v>CodeCommit($)</v>
      </c>
      <c r="W34" s="13">
        <f>IFERROR(INDEX($F$30:$F$95,MATCH(5,$L$30:$L$95,0)),0)</f>
        <v>8025.1170000000002</v>
      </c>
      <c r="X34" s="13">
        <f>IFERROR(INDEX($G$30:$G$95,MATCH(5,$L$30:$L$95,0)),0)</f>
        <v>9846.7900000000009</v>
      </c>
      <c r="Y34" s="13">
        <f>IFERROR(INDEX($H$30:$H$95,MATCH(5,$L$30:$L$95,0)),0)</f>
        <v>-1821.6730000000007</v>
      </c>
      <c r="Z34" s="14">
        <f>IFERROR(INDEX($I$30:$I$95,MATCH(5,$L$30:$L$95,0)),0)</f>
        <v>-0.18500171121756437</v>
      </c>
      <c r="AB34" s="11" t="str">
        <f>IF(Months_Ref!$A$6="","",TEXT(Months_Ref!$A$6,"mmm-yy"))</f>
        <v>Dec-25</v>
      </c>
      <c r="AC34" s="13">
        <f>IFERROR(IF(Months_Ref!$A$6="",0,SUMPRODUCT((Acct1_Raw!$A$3:$A$26=Months_Ref!$A$6)*Acct1_Raw!$B$3:$BO$26)),0)</f>
        <v>474735.20399999991</v>
      </c>
      <c r="AD34" s="13">
        <f>IFERROR(IF(Months_Ref!$A$6="",0,SUMPRODUCT((Acct2_Raw!$A$3:$A$26=Months_Ref!$A$6)*Acct2_Raw!$B$3:$BO$26)),0)</f>
        <v>449403.33</v>
      </c>
      <c r="AE34" s="13">
        <f t="shared" si="5"/>
        <v>924138.53399999999</v>
      </c>
      <c r="AG34" s="11" t="str">
        <f>IFERROR(INDEX($E$30:$E$95,MATCH(5,$J$30:$J$95,0)),"")</f>
        <v>CloudFront($)</v>
      </c>
      <c r="AH34" s="13">
        <f>IFERROR(INDEX($F$30:$F$95,MATCH(5,$J$30:$J$95,0)),0)</f>
        <v>14222.876</v>
      </c>
      <c r="AJ34" s="11" t="str">
        <f>IFERROR(INDEX($E$30:$E$95,MATCH(5,$J$30:$J$95,0)),"")</f>
        <v>CloudFront($)</v>
      </c>
      <c r="AK34" s="13">
        <f>IFERROR(INDEX(Service_List!$2:67,IFERROR(MATCH(IFERROR(INDEX($E$30:$E$95,MATCH(5,$J$30:$J$95,0)),""),Service_List!$A$2:$A$67,0),0),IFERROR(INDEX($B$2:$B$7,IFERROR(MATCH(Dashboard!$K$5,$A$2:$A$7,0),1)),2)),0)</f>
        <v>14222.876</v>
      </c>
      <c r="AL34" s="13">
        <f>IFERROR(INDEX(Service_List!$2:67,IFERROR(MATCH(IFERROR(INDEX($E$30:$E$95,MATCH(5,$J$30:$J$95,0)),""),Service_List!$A$2:$A$67,0),0),IFERROR(INDEX($C$2:$C$7,IFERROR(MATCH(Dashboard!$K$5,$A$2:$A$7,0),1)),8)),0)</f>
        <v>3871.4459999999999</v>
      </c>
    </row>
    <row r="35" spans="5:38" ht="15" customHeight="1" x14ac:dyDescent="0.25">
      <c r="E35" s="11" t="str">
        <f>Service_List!$A$7</f>
        <v>Athena($)</v>
      </c>
      <c r="F35" s="13">
        <f>IFERROR(INDEX(Service_List!$7:7,1,$B$28),0)</f>
        <v>11300.897000000001</v>
      </c>
      <c r="G35" s="13">
        <f>IFERROR(INDEX(Service_List!$7:7,1,$B$29),0)</f>
        <v>10423.939</v>
      </c>
      <c r="H35" s="13">
        <f t="shared" si="0"/>
        <v>876.95800000000054</v>
      </c>
      <c r="I35" s="14">
        <f t="shared" si="1"/>
        <v>8.4129233680281565E-2</v>
      </c>
      <c r="J35" s="11">
        <f t="shared" si="2"/>
        <v>13</v>
      </c>
      <c r="K35" s="13">
        <f t="shared" si="3"/>
        <v>876.95800000000054</v>
      </c>
      <c r="L35" s="11">
        <f t="shared" si="4"/>
        <v>15</v>
      </c>
      <c r="N35" s="11">
        <v>6</v>
      </c>
      <c r="O35" s="11" t="str">
        <f>IFERROR(INDEX($E$30:$E$95,MATCH(6,$J$30:$J$95,0)),"")</f>
        <v>SageMaker($)</v>
      </c>
      <c r="P35" s="13">
        <f>IFERROR(INDEX($F$30:$F$95,MATCH(6,$J$30:$J$95,0)),0)</f>
        <v>14013.558000000001</v>
      </c>
      <c r="Q35" s="13">
        <f>IFERROR(INDEX($G$30:$G$95,MATCH(6,$J$30:$J$95,0)),0)</f>
        <v>13993.823</v>
      </c>
      <c r="R35" s="13">
        <f>IFERROR(INDEX($H$30:$H$95,MATCH(6,$J$30:$J$95,0)),0)</f>
        <v>19.735000000000582</v>
      </c>
      <c r="S35" s="14">
        <f>IFERROR(INDEX($I$30:$I$95,MATCH(6,$J$30:$J$95,0)),0)</f>
        <v>1.4102650862455944E-3</v>
      </c>
      <c r="U35" s="11">
        <v>6</v>
      </c>
      <c r="V35" s="11" t="str">
        <f>IFERROR(INDEX($E$30:$E$95,MATCH(6,$L$30:$L$95,0)),"")</f>
        <v>Transfer Family($)</v>
      </c>
      <c r="W35" s="13">
        <f>IFERROR(INDEX($F$30:$F$95,MATCH(6,$L$30:$L$95,0)),0)</f>
        <v>11086.39</v>
      </c>
      <c r="X35" s="13">
        <f>IFERROR(INDEX($G$30:$G$95,MATCH(6,$L$30:$L$95,0)),0)</f>
        <v>9604.2080000000005</v>
      </c>
      <c r="Y35" s="13">
        <f>IFERROR(INDEX($H$30:$H$95,MATCH(6,$L$30:$L$95,0)),0)</f>
        <v>1482.1819999999989</v>
      </c>
      <c r="Z35" s="14">
        <f>IFERROR(INDEX($I$30:$I$95,MATCH(6,$L$30:$L$95,0)),0)</f>
        <v>0.15432631196658786</v>
      </c>
      <c r="AB35" s="11" t="str">
        <f>IF(Months_Ref!$A$7="","",TEXT(Months_Ref!$A$7,"mmm-yy"))</f>
        <v>Jan-26</v>
      </c>
      <c r="AC35" s="13">
        <f>IFERROR(IF(Months_Ref!$A$7="",0,SUMPRODUCT((Acct1_Raw!$A$3:$A$26=Months_Ref!$A$7)*Acct1_Raw!$B$3:$BO$26)),0)</f>
        <v>472288.4980000002</v>
      </c>
      <c r="AD35" s="13">
        <f>IFERROR(IF(Months_Ref!$A$7="",0,SUMPRODUCT((Acct2_Raw!$A$3:$A$26=Months_Ref!$A$7)*Acct2_Raw!$B$3:$BO$26)),0)</f>
        <v>449777.49700000003</v>
      </c>
      <c r="AE35" s="13">
        <f t="shared" si="5"/>
        <v>922065.99500000023</v>
      </c>
      <c r="AG35" s="11" t="str">
        <f>IFERROR(INDEX($E$30:$E$95,MATCH(6,$J$30:$J$95,0)),"")</f>
        <v>SageMaker($)</v>
      </c>
      <c r="AH35" s="13">
        <f>IFERROR(INDEX($F$30:$F$95,MATCH(6,$J$30:$J$95,0)),0)</f>
        <v>14013.558000000001</v>
      </c>
      <c r="AJ35" s="11" t="str">
        <f>IFERROR(INDEX($E$30:$E$95,MATCH(6,$J$30:$J$95,0)),"")</f>
        <v>SageMaker($)</v>
      </c>
      <c r="AK35" s="13">
        <f>IFERROR(INDEX(Service_List!$2:67,IFERROR(MATCH(IFERROR(INDEX($E$30:$E$95,MATCH(6,$J$30:$J$95,0)),""),Service_List!$A$2:$A$67,0),0),IFERROR(INDEX($B$2:$B$7,IFERROR(MATCH(Dashboard!$K$5,$A$2:$A$7,0),1)),2)),0)</f>
        <v>14013.558000000001</v>
      </c>
      <c r="AL35" s="13">
        <f>IFERROR(INDEX(Service_List!$2:67,IFERROR(MATCH(IFERROR(INDEX($E$30:$E$95,MATCH(6,$J$30:$J$95,0)),""),Service_List!$A$2:$A$67,0),0),IFERROR(INDEX($C$2:$C$7,IFERROR(MATCH(Dashboard!$K$5,$A$2:$A$7,0),1)),8)),0)</f>
        <v>169.57</v>
      </c>
    </row>
    <row r="36" spans="5:38" ht="15" customHeight="1" x14ac:dyDescent="0.25">
      <c r="E36" s="11" t="str">
        <f>Service_List!$A$8</f>
        <v>Backup($)</v>
      </c>
      <c r="F36" s="13">
        <f>IFERROR(INDEX(Service_List!$8:8,1,$B$28),0)</f>
        <v>10610.546</v>
      </c>
      <c r="G36" s="13">
        <f>IFERROR(INDEX(Service_List!$8:8,1,$B$29),0)</f>
        <v>10912.722</v>
      </c>
      <c r="H36" s="13">
        <f t="shared" si="0"/>
        <v>-302.17599999999948</v>
      </c>
      <c r="I36" s="14">
        <f t="shared" si="1"/>
        <v>-2.7690249966965116E-2</v>
      </c>
      <c r="J36" s="11">
        <f t="shared" si="2"/>
        <v>17</v>
      </c>
      <c r="K36" s="13">
        <f t="shared" si="3"/>
        <v>302.17599999999948</v>
      </c>
      <c r="L36" s="11">
        <f t="shared" si="4"/>
        <v>43</v>
      </c>
      <c r="N36" s="11">
        <v>7</v>
      </c>
      <c r="O36" s="11" t="str">
        <f>IFERROR(INDEX($E$30:$E$95,MATCH(7,$J$30:$J$95,0)),"")</f>
        <v>GuardDuty($)</v>
      </c>
      <c r="P36" s="13">
        <f>IFERROR(INDEX($F$30:$F$95,MATCH(7,$J$30:$J$95,0)),0)</f>
        <v>13414.013999999999</v>
      </c>
      <c r="Q36" s="13">
        <f>IFERROR(INDEX($G$30:$G$95,MATCH(7,$J$30:$J$95,0)),0)</f>
        <v>13009.142</v>
      </c>
      <c r="R36" s="13">
        <f>IFERROR(INDEX($H$30:$H$95,MATCH(7,$J$30:$J$95,0)),0)</f>
        <v>404.87199999999939</v>
      </c>
      <c r="S36" s="14">
        <f>IFERROR(INDEX($I$30:$I$95,MATCH(7,$J$30:$J$95,0)),0)</f>
        <v>3.1122113971851439E-2</v>
      </c>
      <c r="U36" s="11">
        <v>7</v>
      </c>
      <c r="V36" s="11" t="str">
        <f>IFERROR(INDEX($E$30:$E$95,MATCH(7,$L$30:$L$95,0)),"")</f>
        <v>Lambda($)</v>
      </c>
      <c r="W36" s="13">
        <f>IFERROR(INDEX($F$30:$F$95,MATCH(7,$L$30:$L$95,0)),0)</f>
        <v>10775.308999999999</v>
      </c>
      <c r="X36" s="13">
        <f>IFERROR(INDEX($G$30:$G$95,MATCH(7,$L$30:$L$95,0)),0)</f>
        <v>9308.2240000000002</v>
      </c>
      <c r="Y36" s="13">
        <f>IFERROR(INDEX($H$30:$H$95,MATCH(7,$L$30:$L$95,0)),0)</f>
        <v>1467.0849999999991</v>
      </c>
      <c r="Z36" s="14">
        <f>IFERROR(INDEX($I$30:$I$95,MATCH(7,$L$30:$L$95,0)),0)</f>
        <v>0.15761169907385117</v>
      </c>
      <c r="AG36" s="11" t="str">
        <f>IFERROR(INDEX($E$30:$E$95,MATCH(7,$J$30:$J$95,0)),"")</f>
        <v>GuardDuty($)</v>
      </c>
      <c r="AH36" s="13">
        <f>IFERROR(INDEX($F$30:$F$95,MATCH(7,$J$30:$J$95,0)),0)</f>
        <v>13414.013999999999</v>
      </c>
      <c r="AJ36" s="11" t="str">
        <f>IFERROR(INDEX($E$30:$E$95,MATCH(7,$J$30:$J$95,0)),"")</f>
        <v>GuardDuty($)</v>
      </c>
      <c r="AK36" s="13">
        <f>IFERROR(INDEX(Service_List!$2:67,IFERROR(MATCH(IFERROR(INDEX($E$30:$E$95,MATCH(7,$J$30:$J$95,0)),""),Service_List!$A$2:$A$67,0),0),IFERROR(INDEX($B$2:$B$7,IFERROR(MATCH(Dashboard!$K$5,$A$2:$A$7,0),1)),2)),0)</f>
        <v>13414.013999999999</v>
      </c>
      <c r="AL36" s="13">
        <f>IFERROR(INDEX(Service_List!$2:67,IFERROR(MATCH(IFERROR(INDEX($E$30:$E$95,MATCH(7,$J$30:$J$95,0)),""),Service_List!$A$2:$A$67,0),0),IFERROR(INDEX($C$2:$C$7,IFERROR(MATCH(Dashboard!$K$5,$A$2:$A$7,0),1)),8)),0)</f>
        <v>11676.933999999999</v>
      </c>
    </row>
    <row r="37" spans="5:38" ht="15" customHeight="1" x14ac:dyDescent="0.25">
      <c r="E37" s="11" t="str">
        <f>Service_List!$A$9</f>
        <v>Batch($)</v>
      </c>
      <c r="F37" s="13">
        <f>IFERROR(INDEX(Service_List!$9:9,1,$B$28),0)</f>
        <v>15512.514999999999</v>
      </c>
      <c r="G37" s="13">
        <f>IFERROR(INDEX(Service_List!$9:9,1,$B$29),0)</f>
        <v>16027.611000000001</v>
      </c>
      <c r="H37" s="13">
        <f t="shared" si="0"/>
        <v>-515.09600000000137</v>
      </c>
      <c r="I37" s="14">
        <f t="shared" si="1"/>
        <v>-3.213803978646608E-2</v>
      </c>
      <c r="J37" s="11">
        <f t="shared" si="2"/>
        <v>1</v>
      </c>
      <c r="K37" s="13">
        <f t="shared" si="3"/>
        <v>515.09600000000137</v>
      </c>
      <c r="L37" s="11">
        <f t="shared" si="4"/>
        <v>29</v>
      </c>
      <c r="N37" s="11">
        <v>8</v>
      </c>
      <c r="O37" s="11" t="str">
        <f>IFERROR(INDEX($E$30:$E$95,MATCH(8,$J$30:$J$95,0)),"")</f>
        <v>WAF($)</v>
      </c>
      <c r="P37" s="13">
        <f>IFERROR(INDEX($F$30:$F$95,MATCH(8,$J$30:$J$95,0)),0)</f>
        <v>12336.252</v>
      </c>
      <c r="Q37" s="13">
        <f>IFERROR(INDEX($G$30:$G$95,MATCH(8,$J$30:$J$95,0)),0)</f>
        <v>11246.776</v>
      </c>
      <c r="R37" s="13">
        <f>IFERROR(INDEX($H$30:$H$95,MATCH(8,$J$30:$J$95,0)),0)</f>
        <v>1089.4760000000006</v>
      </c>
      <c r="S37" s="14">
        <f>IFERROR(INDEX($I$30:$I$95,MATCH(8,$J$30:$J$95,0)),0)</f>
        <v>9.687007192105547E-2</v>
      </c>
      <c r="U37" s="11">
        <v>8</v>
      </c>
      <c r="V37" s="11" t="str">
        <f>IFERROR(INDEX($E$30:$E$95,MATCH(8,$L$30:$L$95,0)),"")</f>
        <v>Direct Connect($)</v>
      </c>
      <c r="W37" s="13">
        <f>IFERROR(INDEX($F$30:$F$95,MATCH(8,$L$30:$L$95,0)),0)</f>
        <v>9587.607</v>
      </c>
      <c r="X37" s="13">
        <f>IFERROR(INDEX($G$30:$G$95,MATCH(8,$L$30:$L$95,0)),0)</f>
        <v>8146.4970000000003</v>
      </c>
      <c r="Y37" s="13">
        <f>IFERROR(INDEX($H$30:$H$95,MATCH(8,$L$30:$L$95,0)),0)</f>
        <v>1441.1099999999997</v>
      </c>
      <c r="Z37" s="14">
        <f>IFERROR(INDEX($I$30:$I$95,MATCH(8,$L$30:$L$95,0)),0)</f>
        <v>0.17689934704450264</v>
      </c>
      <c r="AG37" s="11" t="str">
        <f>IFERROR(INDEX($E$30:$E$95,MATCH(8,$J$30:$J$95,0)),"")</f>
        <v>WAF($)</v>
      </c>
      <c r="AH37" s="13">
        <f>IFERROR(INDEX($F$30:$F$95,MATCH(8,$J$30:$J$95,0)),0)</f>
        <v>12336.252</v>
      </c>
      <c r="AJ37" s="11" t="str">
        <f>IFERROR(INDEX($E$30:$E$95,MATCH(8,$J$30:$J$95,0)),"")</f>
        <v>WAF($)</v>
      </c>
      <c r="AK37" s="13">
        <f>IFERROR(INDEX(Service_List!$2:67,IFERROR(MATCH(IFERROR(INDEX($E$30:$E$95,MATCH(8,$J$30:$J$95,0)),""),Service_List!$A$2:$A$67,0),0),IFERROR(INDEX($B$2:$B$7,IFERROR(MATCH(Dashboard!$K$5,$A$2:$A$7,0),1)),2)),0)</f>
        <v>12336.252</v>
      </c>
      <c r="AL37" s="13">
        <f>IFERROR(INDEX(Service_List!$2:67,IFERROR(MATCH(IFERROR(INDEX($E$30:$E$95,MATCH(8,$J$30:$J$95,0)),""),Service_List!$A$2:$A$67,0),0),IFERROR(INDEX($C$2:$C$7,IFERROR(MATCH(Dashboard!$K$5,$A$2:$A$7,0),1)),8)),0)</f>
        <v>3327.7820000000002</v>
      </c>
    </row>
    <row r="38" spans="5:38" ht="15" customHeight="1" x14ac:dyDescent="0.25">
      <c r="E38" s="11" t="str">
        <f>Service_List!$A$10</f>
        <v>Chime($)</v>
      </c>
      <c r="F38" s="13">
        <f>IFERROR(INDEX(Service_List!$10:10,1,$B$28),0)</f>
        <v>15384.035</v>
      </c>
      <c r="G38" s="13">
        <f>IFERROR(INDEX(Service_List!$10:10,1,$B$29),0)</f>
        <v>15782.181</v>
      </c>
      <c r="H38" s="13">
        <f t="shared" si="0"/>
        <v>-398.14600000000064</v>
      </c>
      <c r="I38" s="14">
        <f t="shared" si="1"/>
        <v>-2.5227565188867155E-2</v>
      </c>
      <c r="J38" s="11">
        <f t="shared" si="2"/>
        <v>3</v>
      </c>
      <c r="K38" s="13">
        <f t="shared" si="3"/>
        <v>398.14600000000064</v>
      </c>
      <c r="L38" s="11">
        <f t="shared" si="4"/>
        <v>37</v>
      </c>
      <c r="N38" s="11">
        <v>9</v>
      </c>
      <c r="O38" s="11" t="str">
        <f>IFERROR(INDEX($E$30:$E$95,MATCH(9,$J$30:$J$95,0)),"")</f>
        <v>Transcribe($)</v>
      </c>
      <c r="P38" s="13">
        <f>IFERROR(INDEX($F$30:$F$95,MATCH(9,$J$30:$J$95,0)),0)</f>
        <v>11892.790999999999</v>
      </c>
      <c r="Q38" s="13">
        <f>IFERROR(INDEX($G$30:$G$95,MATCH(9,$J$30:$J$95,0)),0)</f>
        <v>12693.929</v>
      </c>
      <c r="R38" s="13">
        <f>IFERROR(INDEX($H$30:$H$95,MATCH(9,$J$30:$J$95,0)),0)</f>
        <v>-801.13800000000083</v>
      </c>
      <c r="S38" s="14">
        <f>IFERROR(INDEX($I$30:$I$95,MATCH(9,$J$30:$J$95,0)),0)</f>
        <v>-6.3111901760282474E-2</v>
      </c>
      <c r="U38" s="11">
        <v>9</v>
      </c>
      <c r="V38" s="11" t="str">
        <f>IFERROR(INDEX($E$30:$E$95,MATCH(9,$L$30:$L$95,0)),"")</f>
        <v>CodeBuild($)</v>
      </c>
      <c r="W38" s="13">
        <f>IFERROR(INDEX($F$30:$F$95,MATCH(9,$L$30:$L$95,0)),0)</f>
        <v>15455.826999999999</v>
      </c>
      <c r="X38" s="13">
        <f>IFERROR(INDEX($G$30:$G$95,MATCH(9,$L$30:$L$95,0)),0)</f>
        <v>14258.022000000001</v>
      </c>
      <c r="Y38" s="13">
        <f>IFERROR(INDEX($H$30:$H$95,MATCH(9,$L$30:$L$95,0)),0)</f>
        <v>1197.8049999999985</v>
      </c>
      <c r="Z38" s="14">
        <f>IFERROR(INDEX($I$30:$I$95,MATCH(9,$L$30:$L$95,0)),0)</f>
        <v>8.4009198470867727E-2</v>
      </c>
      <c r="AG38" s="11" t="str">
        <f>IFERROR(INDEX($E$30:$E$95,MATCH(9,$J$30:$J$95,0)),"")</f>
        <v>Transcribe($)</v>
      </c>
      <c r="AH38" s="13">
        <f>IFERROR(INDEX($F$30:$F$95,MATCH(9,$J$30:$J$95,0)),0)</f>
        <v>11892.790999999999</v>
      </c>
      <c r="AJ38" s="11" t="str">
        <f>IFERROR(INDEX($E$30:$E$95,MATCH(9,$J$30:$J$95,0)),"")</f>
        <v>Transcribe($)</v>
      </c>
      <c r="AK38" s="13">
        <f>IFERROR(INDEX(Service_List!$2:67,IFERROR(MATCH(IFERROR(INDEX($E$30:$E$95,MATCH(9,$J$30:$J$95,0)),""),Service_List!$A$2:$A$67,0),0),IFERROR(INDEX($B$2:$B$7,IFERROR(MATCH(Dashboard!$K$5,$A$2:$A$7,0),1)),2)),0)</f>
        <v>11892.790999999999</v>
      </c>
      <c r="AL38" s="13">
        <f>IFERROR(INDEX(Service_List!$2:67,IFERROR(MATCH(IFERROR(INDEX($E$30:$E$95,MATCH(9,$J$30:$J$95,0)),""),Service_List!$A$2:$A$67,0),0),IFERROR(INDEX($C$2:$C$7,IFERROR(MATCH(Dashboard!$K$5,$A$2:$A$7,0),1)),8)),0)</f>
        <v>13663.332</v>
      </c>
    </row>
    <row r="39" spans="5:38" ht="15" customHeight="1" x14ac:dyDescent="0.25">
      <c r="E39" s="11" t="str">
        <f>Service_List!$A$11</f>
        <v>CloudFront($)</v>
      </c>
      <c r="F39" s="13">
        <f>IFERROR(INDEX(Service_List!$11:11,1,$B$28),0)</f>
        <v>14222.876</v>
      </c>
      <c r="G39" s="13">
        <f>IFERROR(INDEX(Service_List!$11:11,1,$B$29),0)</f>
        <v>13285.736999999999</v>
      </c>
      <c r="H39" s="13">
        <f t="shared" si="0"/>
        <v>937.13900000000103</v>
      </c>
      <c r="I39" s="14">
        <f t="shared" si="1"/>
        <v>7.0537223490123369E-2</v>
      </c>
      <c r="J39" s="11">
        <f t="shared" si="2"/>
        <v>5</v>
      </c>
      <c r="K39" s="13">
        <f t="shared" si="3"/>
        <v>937.13900000000103</v>
      </c>
      <c r="L39" s="11">
        <f t="shared" si="4"/>
        <v>13</v>
      </c>
      <c r="N39" s="11">
        <v>10</v>
      </c>
      <c r="O39" s="11" t="str">
        <f>IFERROR(INDEX($E$30:$E$95,MATCH(10,$J$30:$J$95,0)),"")</f>
        <v>API Gateway($)</v>
      </c>
      <c r="P39" s="13">
        <f>IFERROR(INDEX($F$30:$F$95,MATCH(10,$J$30:$J$95,0)),0)</f>
        <v>11724.125</v>
      </c>
      <c r="Q39" s="13">
        <f>IFERROR(INDEX($G$30:$G$95,MATCH(10,$J$30:$J$95,0)),0)</f>
        <v>11062.893</v>
      </c>
      <c r="R39" s="13">
        <f>IFERROR(INDEX($H$30:$H$95,MATCH(10,$J$30:$J$95,0)),0)</f>
        <v>661.23199999999997</v>
      </c>
      <c r="S39" s="14">
        <f>IFERROR(INDEX($I$30:$I$95,MATCH(10,$J$30:$J$95,0)),0)</f>
        <v>5.9770260816949056E-2</v>
      </c>
      <c r="U39" s="11">
        <v>10</v>
      </c>
      <c r="V39" s="11" t="str">
        <f>IFERROR(INDEX($E$30:$E$95,MATCH(10,$L$30:$L$95,0)),"")</f>
        <v>WAF($)</v>
      </c>
      <c r="W39" s="13">
        <f>IFERROR(INDEX($F$30:$F$95,MATCH(10,$L$30:$L$95,0)),0)</f>
        <v>12336.252</v>
      </c>
      <c r="X39" s="13">
        <f>IFERROR(INDEX($G$30:$G$95,MATCH(10,$L$30:$L$95,0)),0)</f>
        <v>11246.776</v>
      </c>
      <c r="Y39" s="13">
        <f>IFERROR(INDEX($H$30:$H$95,MATCH(10,$L$30:$L$95,0)),0)</f>
        <v>1089.4760000000006</v>
      </c>
      <c r="Z39" s="14">
        <f>IFERROR(INDEX($I$30:$I$95,MATCH(10,$L$30:$L$95,0)),0)</f>
        <v>9.687007192105547E-2</v>
      </c>
      <c r="AG39" s="11" t="s">
        <v>90</v>
      </c>
      <c r="AH39" s="13">
        <f>SUM($F$30:$F$95)-SUM(AH30:AH38)</f>
        <v>345690.71400000015</v>
      </c>
      <c r="AJ39" s="11" t="str">
        <f>IFERROR(INDEX($E$30:$E$95,MATCH(10,$J$30:$J$95,0)),"")</f>
        <v>API Gateway($)</v>
      </c>
      <c r="AK39" s="13">
        <f>IFERROR(INDEX(Service_List!$2:67,IFERROR(MATCH(IFERROR(INDEX($E$30:$E$95,MATCH(10,$J$30:$J$95,0)),""),Service_List!$A$2:$A$67,0),0),IFERROR(INDEX($B$2:$B$7,IFERROR(MATCH(Dashboard!$K$5,$A$2:$A$7,0),1)),2)),0)</f>
        <v>11724.125</v>
      </c>
      <c r="AL39" s="13">
        <f>IFERROR(INDEX(Service_List!$2:67,IFERROR(MATCH(IFERROR(INDEX($E$30:$E$95,MATCH(10,$J$30:$J$95,0)),""),Service_List!$A$2:$A$67,0),0),IFERROR(INDEX($C$2:$C$7,IFERROR(MATCH(Dashboard!$K$5,$A$2:$A$7,0),1)),8)),0)</f>
        <v>8243.2759999999998</v>
      </c>
    </row>
    <row r="40" spans="5:38" ht="15" customHeight="1" x14ac:dyDescent="0.25">
      <c r="E40" s="11" t="str">
        <f>Service_List!$A$12</f>
        <v>CloudTrail($)</v>
      </c>
      <c r="F40" s="13">
        <f>IFERROR(INDEX(Service_List!$12:12,1,$B$28),0)</f>
        <v>4600.8190000000004</v>
      </c>
      <c r="G40" s="13">
        <f>IFERROR(INDEX(Service_List!$12:12,1,$B$29),0)</f>
        <v>4810.8249999999998</v>
      </c>
      <c r="H40" s="13">
        <f t="shared" si="0"/>
        <v>-210.0059999999994</v>
      </c>
      <c r="I40" s="14">
        <f t="shared" si="1"/>
        <v>-4.365280383302228E-2</v>
      </c>
      <c r="J40" s="11">
        <f t="shared" si="2"/>
        <v>43</v>
      </c>
      <c r="K40" s="13">
        <f t="shared" si="3"/>
        <v>210.0059999999994</v>
      </c>
      <c r="L40" s="11">
        <f t="shared" si="4"/>
        <v>45</v>
      </c>
      <c r="N40" s="11">
        <v>11</v>
      </c>
      <c r="O40" s="11" t="str">
        <f>IFERROR(INDEX($E$30:$E$95,MATCH(11,$J$30:$J$95,0)),"")</f>
        <v>Translate($)</v>
      </c>
      <c r="P40" s="13">
        <f>IFERROR(INDEX($F$30:$F$95,MATCH(11,$J$30:$J$95,0)),0)</f>
        <v>11660.599</v>
      </c>
      <c r="Q40" s="13">
        <f>IFERROR(INDEX($G$30:$G$95,MATCH(11,$J$30:$J$95,0)),0)</f>
        <v>12706.196</v>
      </c>
      <c r="R40" s="13">
        <f>IFERROR(INDEX($H$30:$H$95,MATCH(11,$J$30:$J$95,0)),0)</f>
        <v>-1045.5969999999998</v>
      </c>
      <c r="S40" s="14">
        <f>IFERROR(INDEX($I$30:$I$95,MATCH(11,$J$30:$J$95,0)),0)</f>
        <v>-8.2290325129566688E-2</v>
      </c>
      <c r="U40" s="11">
        <v>11</v>
      </c>
      <c r="V40" s="11" t="str">
        <f>IFERROR(INDEX($E$30:$E$95,MATCH(11,$L$30:$L$95,0)),"")</f>
        <v>Translate($)</v>
      </c>
      <c r="W40" s="13">
        <f>IFERROR(INDEX($F$30:$F$95,MATCH(11,$L$30:$L$95,0)),0)</f>
        <v>11660.599</v>
      </c>
      <c r="X40" s="13">
        <f>IFERROR(INDEX($G$30:$G$95,MATCH(11,$L$30:$L$95,0)),0)</f>
        <v>12706.196</v>
      </c>
      <c r="Y40" s="13">
        <f>IFERROR(INDEX($H$30:$H$95,MATCH(11,$L$30:$L$95,0)),0)</f>
        <v>-1045.5969999999998</v>
      </c>
      <c r="Z40" s="14">
        <f>IFERROR(INDEX($I$30:$I$95,MATCH(11,$L$30:$L$95,0)),0)</f>
        <v>-8.2290325129566688E-2</v>
      </c>
      <c r="AJ40" s="11" t="str">
        <f>IFERROR(INDEX($E$30:$E$95,MATCH(11,$J$30:$J$95,0)),"")</f>
        <v>Translate($)</v>
      </c>
      <c r="AK40" s="13">
        <f>IFERROR(INDEX(Service_List!$2:67,IFERROR(MATCH(IFERROR(INDEX($E$30:$E$95,MATCH(11,$J$30:$J$95,0)),""),Service_List!$A$2:$A$67,0),0),IFERROR(INDEX($B$2:$B$7,IFERROR(MATCH(Dashboard!$K$5,$A$2:$A$7,0),1)),2)),0)</f>
        <v>11660.599</v>
      </c>
      <c r="AL40" s="13">
        <f>IFERROR(INDEX(Service_List!$2:67,IFERROR(MATCH(IFERROR(INDEX($E$30:$E$95,MATCH(11,$J$30:$J$95,0)),""),Service_List!$A$2:$A$67,0),0),IFERROR(INDEX($C$2:$C$7,IFERROR(MATCH(Dashboard!$K$5,$A$2:$A$7,0),1)),8)),0)</f>
        <v>9714.6200000000008</v>
      </c>
    </row>
    <row r="41" spans="5:38" ht="15" customHeight="1" x14ac:dyDescent="0.25">
      <c r="E41" s="11" t="str">
        <f>Service_List!$A$13</f>
        <v>CloudWatch($)</v>
      </c>
      <c r="F41" s="13">
        <f>IFERROR(INDEX(Service_List!$13:13,1,$B$28),0)</f>
        <v>6209.5959999999995</v>
      </c>
      <c r="G41" s="13">
        <f>IFERROR(INDEX(Service_List!$13:13,1,$B$29),0)</f>
        <v>6953.8159999999998</v>
      </c>
      <c r="H41" s="13">
        <f t="shared" si="0"/>
        <v>-744.22000000000025</v>
      </c>
      <c r="I41" s="14">
        <f t="shared" si="1"/>
        <v>-0.10702325169374632</v>
      </c>
      <c r="J41" s="11">
        <f t="shared" si="2"/>
        <v>36</v>
      </c>
      <c r="K41" s="13">
        <f t="shared" si="3"/>
        <v>744.22000000000025</v>
      </c>
      <c r="L41" s="11">
        <f t="shared" si="4"/>
        <v>18</v>
      </c>
      <c r="N41" s="11">
        <v>12</v>
      </c>
      <c r="O41" s="11" t="str">
        <f>IFERROR(INDEX($E$30:$E$95,MATCH(12,$J$30:$J$95,0)),"")</f>
        <v>Firehose($)</v>
      </c>
      <c r="P41" s="13">
        <f>IFERROR(INDEX($F$30:$F$95,MATCH(12,$J$30:$J$95,0)),0)</f>
        <v>11568.293</v>
      </c>
      <c r="Q41" s="13">
        <f>IFERROR(INDEX($G$30:$G$95,MATCH(12,$J$30:$J$95,0)),0)</f>
        <v>11179.972</v>
      </c>
      <c r="R41" s="13">
        <f>IFERROR(INDEX($H$30:$H$95,MATCH(12,$J$30:$J$95,0)),0)</f>
        <v>388.32099999999991</v>
      </c>
      <c r="S41" s="14">
        <f>IFERROR(INDEX($I$30:$I$95,MATCH(12,$J$30:$J$95,0)),0)</f>
        <v>3.473362902876679E-2</v>
      </c>
      <c r="U41" s="11">
        <v>12</v>
      </c>
      <c r="V41" s="11" t="str">
        <f>IFERROR(INDEX($E$30:$E$95,MATCH(12,$L$30:$L$95,0)),"")</f>
        <v>Connect($)</v>
      </c>
      <c r="W41" s="13">
        <f>IFERROR(INDEX($F$30:$F$95,MATCH(12,$L$30:$L$95,0)),0)</f>
        <v>7692.0950000000003</v>
      </c>
      <c r="X41" s="13">
        <f>IFERROR(INDEX($G$30:$G$95,MATCH(12,$L$30:$L$95,0)),0)</f>
        <v>8698.8739999999998</v>
      </c>
      <c r="Y41" s="13">
        <f>IFERROR(INDEX($H$30:$H$95,MATCH(12,$L$30:$L$95,0)),0)</f>
        <v>-1006.7789999999995</v>
      </c>
      <c r="Z41" s="14">
        <f>IFERROR(INDEX($I$30:$I$95,MATCH(12,$L$30:$L$95,0)),0)</f>
        <v>-0.11573670339402543</v>
      </c>
      <c r="AJ41" s="11" t="str">
        <f>IFERROR(INDEX($E$30:$E$95,MATCH(12,$J$30:$J$95,0)),"")</f>
        <v>Firehose($)</v>
      </c>
      <c r="AK41" s="13">
        <f>IFERROR(INDEX(Service_List!$2:67,IFERROR(MATCH(IFERROR(INDEX($E$30:$E$95,MATCH(12,$J$30:$J$95,0)),""),Service_List!$A$2:$A$67,0),0),IFERROR(INDEX($B$2:$B$7,IFERROR(MATCH(Dashboard!$K$5,$A$2:$A$7,0),1)),2)),0)</f>
        <v>11568.293</v>
      </c>
      <c r="AL41" s="13">
        <f>IFERROR(INDEX(Service_List!$2:67,IFERROR(MATCH(IFERROR(INDEX($E$30:$E$95,MATCH(12,$J$30:$J$95,0)),""),Service_List!$A$2:$A$67,0),0),IFERROR(INDEX($C$2:$C$7,IFERROR(MATCH(Dashboard!$K$5,$A$2:$A$7,0),1)),8)),0)</f>
        <v>13047.047</v>
      </c>
    </row>
    <row r="42" spans="5:38" ht="15" customHeight="1" x14ac:dyDescent="0.25">
      <c r="E42" s="11" t="str">
        <f>Service_List!$A$14</f>
        <v>CodeBuild($)</v>
      </c>
      <c r="F42" s="13">
        <f>IFERROR(INDEX(Service_List!$14:14,1,$B$28),0)</f>
        <v>15455.826999999999</v>
      </c>
      <c r="G42" s="13">
        <f>IFERROR(INDEX(Service_List!$14:14,1,$B$29),0)</f>
        <v>14258.022000000001</v>
      </c>
      <c r="H42" s="13">
        <f t="shared" si="0"/>
        <v>1197.8049999999985</v>
      </c>
      <c r="I42" s="14">
        <f t="shared" si="1"/>
        <v>8.4009198470867727E-2</v>
      </c>
      <c r="J42" s="11">
        <f t="shared" si="2"/>
        <v>2</v>
      </c>
      <c r="K42" s="13">
        <f t="shared" si="3"/>
        <v>1197.8049999999985</v>
      </c>
      <c r="L42" s="11">
        <f t="shared" si="4"/>
        <v>9</v>
      </c>
      <c r="N42" s="11">
        <v>13</v>
      </c>
      <c r="O42" s="11" t="str">
        <f>IFERROR(INDEX($E$30:$E$95,MATCH(13,$J$30:$J$95,0)),"")</f>
        <v>Athena($)</v>
      </c>
      <c r="P42" s="13">
        <f>IFERROR(INDEX($F$30:$F$95,MATCH(13,$J$30:$J$95,0)),0)</f>
        <v>11300.897000000001</v>
      </c>
      <c r="Q42" s="13">
        <f>IFERROR(INDEX($G$30:$G$95,MATCH(13,$J$30:$J$95,0)),0)</f>
        <v>10423.939</v>
      </c>
      <c r="R42" s="13">
        <f>IFERROR(INDEX($H$30:$H$95,MATCH(13,$J$30:$J$95,0)),0)</f>
        <v>876.95800000000054</v>
      </c>
      <c r="S42" s="14">
        <f>IFERROR(INDEX($I$30:$I$95,MATCH(13,$J$30:$J$95,0)),0)</f>
        <v>8.4129233680281565E-2</v>
      </c>
      <c r="U42" s="11">
        <v>13</v>
      </c>
      <c r="V42" s="11" t="str">
        <f>IFERROR(INDEX($E$30:$E$95,MATCH(13,$L$30:$L$95,0)),"")</f>
        <v>CloudFront($)</v>
      </c>
      <c r="W42" s="13">
        <f>IFERROR(INDEX($F$30:$F$95,MATCH(13,$L$30:$L$95,0)),0)</f>
        <v>14222.876</v>
      </c>
      <c r="X42" s="13">
        <f>IFERROR(INDEX($G$30:$G$95,MATCH(13,$L$30:$L$95,0)),0)</f>
        <v>13285.736999999999</v>
      </c>
      <c r="Y42" s="13">
        <f>IFERROR(INDEX($H$30:$H$95,MATCH(13,$L$30:$L$95,0)),0)</f>
        <v>937.13900000000103</v>
      </c>
      <c r="Z42" s="14">
        <f>IFERROR(INDEX($I$30:$I$95,MATCH(13,$L$30:$L$95,0)),0)</f>
        <v>7.0537223490123369E-2</v>
      </c>
      <c r="AJ42" s="11" t="str">
        <f>IFERROR(INDEX($E$30:$E$95,MATCH(13,$J$30:$J$95,0)),"")</f>
        <v>Athena($)</v>
      </c>
      <c r="AK42" s="13">
        <f>IFERROR(INDEX(Service_List!$2:67,IFERROR(MATCH(IFERROR(INDEX($E$30:$E$95,MATCH(13,$J$30:$J$95,0)),""),Service_List!$A$2:$A$67,0),0),IFERROR(INDEX($B$2:$B$7,IFERROR(MATCH(Dashboard!$K$5,$A$2:$A$7,0),1)),2)),0)</f>
        <v>11300.897000000001</v>
      </c>
      <c r="AL42" s="13">
        <f>IFERROR(INDEX(Service_List!$2:67,IFERROR(MATCH(IFERROR(INDEX($E$30:$E$95,MATCH(13,$J$30:$J$95,0)),""),Service_List!$A$2:$A$67,0),0),IFERROR(INDEX($C$2:$C$7,IFERROR(MATCH(Dashboard!$K$5,$A$2:$A$7,0),1)),8)),0)</f>
        <v>2112.433</v>
      </c>
    </row>
    <row r="43" spans="5:38" ht="15" customHeight="1" x14ac:dyDescent="0.25">
      <c r="E43" s="11" t="str">
        <f>Service_List!$A$15</f>
        <v>CodeCommit($)</v>
      </c>
      <c r="F43" s="13">
        <f>IFERROR(INDEX(Service_List!$15:15,1,$B$28),0)</f>
        <v>8025.1170000000002</v>
      </c>
      <c r="G43" s="13">
        <f>IFERROR(INDEX(Service_List!$15:15,1,$B$29),0)</f>
        <v>9846.7900000000009</v>
      </c>
      <c r="H43" s="13">
        <f t="shared" si="0"/>
        <v>-1821.6730000000007</v>
      </c>
      <c r="I43" s="14">
        <f t="shared" si="1"/>
        <v>-0.18500171121756437</v>
      </c>
      <c r="J43" s="11">
        <f t="shared" si="2"/>
        <v>31</v>
      </c>
      <c r="K43" s="13">
        <f t="shared" si="3"/>
        <v>1821.6730000000007</v>
      </c>
      <c r="L43" s="11">
        <f t="shared" si="4"/>
        <v>5</v>
      </c>
      <c r="N43" s="11">
        <v>14</v>
      </c>
      <c r="O43" s="11" t="str">
        <f>IFERROR(INDEX($E$30:$E$95,MATCH(14,$J$30:$J$95,0)),"")</f>
        <v>AppSync($)</v>
      </c>
      <c r="P43" s="13">
        <f>IFERROR(INDEX($F$30:$F$95,MATCH(14,$J$30:$J$95,0)),0)</f>
        <v>11093.646000000001</v>
      </c>
      <c r="Q43" s="13">
        <f>IFERROR(INDEX($G$30:$G$95,MATCH(14,$J$30:$J$95,0)),0)</f>
        <v>10171.923000000001</v>
      </c>
      <c r="R43" s="13">
        <f>IFERROR(INDEX($H$30:$H$95,MATCH(14,$J$30:$J$95,0)),0)</f>
        <v>921.72299999999996</v>
      </c>
      <c r="S43" s="14">
        <f>IFERROR(INDEX($I$30:$I$95,MATCH(14,$J$30:$J$95,0)),0)</f>
        <v>9.0614429542968417E-2</v>
      </c>
      <c r="U43" s="11">
        <v>14</v>
      </c>
      <c r="V43" s="11" t="str">
        <f>IFERROR(INDEX($E$30:$E$95,MATCH(14,$L$30:$L$95,0)),"")</f>
        <v>AppSync($)</v>
      </c>
      <c r="W43" s="13">
        <f>IFERROR(INDEX($F$30:$F$95,MATCH(14,$L$30:$L$95,0)),0)</f>
        <v>11093.646000000001</v>
      </c>
      <c r="X43" s="13">
        <f>IFERROR(INDEX($G$30:$G$95,MATCH(14,$L$30:$L$95,0)),0)</f>
        <v>10171.923000000001</v>
      </c>
      <c r="Y43" s="13">
        <f>IFERROR(INDEX($H$30:$H$95,MATCH(14,$L$30:$L$95,0)),0)</f>
        <v>921.72299999999996</v>
      </c>
      <c r="Z43" s="14">
        <f>IFERROR(INDEX($I$30:$I$95,MATCH(14,$L$30:$L$95,0)),0)</f>
        <v>9.0614429542968417E-2</v>
      </c>
      <c r="AJ43" s="11" t="str">
        <f>IFERROR(INDEX($E$30:$E$95,MATCH(14,$J$30:$J$95,0)),"")</f>
        <v>AppSync($)</v>
      </c>
      <c r="AK43" s="13">
        <f>IFERROR(INDEX(Service_List!$2:67,IFERROR(MATCH(IFERROR(INDEX($E$30:$E$95,MATCH(14,$J$30:$J$95,0)),""),Service_List!$A$2:$A$67,0),0),IFERROR(INDEX($B$2:$B$7,IFERROR(MATCH(Dashboard!$K$5,$A$2:$A$7,0),1)),2)),0)</f>
        <v>11093.646000000001</v>
      </c>
      <c r="AL43" s="13">
        <f>IFERROR(INDEX(Service_List!$2:67,IFERROR(MATCH(IFERROR(INDEX($E$30:$E$95,MATCH(14,$J$30:$J$95,0)),""),Service_List!$A$2:$A$67,0),0),IFERROR(INDEX($C$2:$C$7,IFERROR(MATCH(Dashboard!$K$5,$A$2:$A$7,0),1)),8)),0)</f>
        <v>15178.999</v>
      </c>
    </row>
    <row r="44" spans="5:38" ht="15" customHeight="1" x14ac:dyDescent="0.25">
      <c r="E44" s="11" t="str">
        <f>Service_List!$A$16</f>
        <v>CodeDeploy($)</v>
      </c>
      <c r="F44" s="13">
        <f>IFERROR(INDEX(Service_List!$16:16,1,$B$28),0)</f>
        <v>9030.6959999999999</v>
      </c>
      <c r="G44" s="13">
        <f>IFERROR(INDEX(Service_List!$16:16,1,$B$29),0)</f>
        <v>10918.243</v>
      </c>
      <c r="H44" s="13">
        <f t="shared" si="0"/>
        <v>-1887.5470000000005</v>
      </c>
      <c r="I44" s="14">
        <f t="shared" si="1"/>
        <v>-0.17288010534295678</v>
      </c>
      <c r="J44" s="11">
        <f t="shared" si="2"/>
        <v>24</v>
      </c>
      <c r="K44" s="13">
        <f t="shared" si="3"/>
        <v>1887.5470000000005</v>
      </c>
      <c r="L44" s="11">
        <f t="shared" si="4"/>
        <v>4</v>
      </c>
      <c r="N44" s="11">
        <v>15</v>
      </c>
      <c r="O44" s="11" t="str">
        <f>IFERROR(INDEX($E$30:$E$95,MATCH(15,$J$30:$J$95,0)),"")</f>
        <v>Transfer Family($)</v>
      </c>
      <c r="P44" s="13">
        <f>IFERROR(INDEX($F$30:$F$95,MATCH(15,$J$30:$J$95,0)),0)</f>
        <v>11086.39</v>
      </c>
      <c r="Q44" s="13">
        <f>IFERROR(INDEX($G$30:$G$95,MATCH(15,$J$30:$J$95,0)),0)</f>
        <v>9604.2080000000005</v>
      </c>
      <c r="R44" s="13">
        <f>IFERROR(INDEX($H$30:$H$95,MATCH(15,$J$30:$J$95,0)),0)</f>
        <v>1482.1819999999989</v>
      </c>
      <c r="S44" s="14">
        <f>IFERROR(INDEX($I$30:$I$95,MATCH(15,$J$30:$J$95,0)),0)</f>
        <v>0.15432631196658786</v>
      </c>
      <c r="U44" s="11">
        <v>15</v>
      </c>
      <c r="V44" s="11" t="str">
        <f>IFERROR(INDEX($E$30:$E$95,MATCH(15,$L$30:$L$95,0)),"")</f>
        <v>Athena($)</v>
      </c>
      <c r="W44" s="13">
        <f>IFERROR(INDEX($F$30:$F$95,MATCH(15,$L$30:$L$95,0)),0)</f>
        <v>11300.897000000001</v>
      </c>
      <c r="X44" s="13">
        <f>IFERROR(INDEX($G$30:$G$95,MATCH(15,$L$30:$L$95,0)),0)</f>
        <v>10423.939</v>
      </c>
      <c r="Y44" s="13">
        <f>IFERROR(INDEX($H$30:$H$95,MATCH(15,$L$30:$L$95,0)),0)</f>
        <v>876.95800000000054</v>
      </c>
      <c r="Z44" s="14">
        <f>IFERROR(INDEX($I$30:$I$95,MATCH(15,$L$30:$L$95,0)),0)</f>
        <v>8.4129233680281565E-2</v>
      </c>
      <c r="AJ44" s="11" t="str">
        <f>IFERROR(INDEX($E$30:$E$95,MATCH(15,$J$30:$J$95,0)),"")</f>
        <v>Transfer Family($)</v>
      </c>
      <c r="AK44" s="13">
        <f>IFERROR(INDEX(Service_List!$2:67,IFERROR(MATCH(IFERROR(INDEX($E$30:$E$95,MATCH(15,$J$30:$J$95,0)),""),Service_List!$A$2:$A$67,0),0),IFERROR(INDEX($B$2:$B$7,IFERROR(MATCH(Dashboard!$K$5,$A$2:$A$7,0),1)),2)),0)</f>
        <v>11086.39</v>
      </c>
      <c r="AL44" s="13">
        <f>IFERROR(INDEX(Service_List!$2:67,IFERROR(MATCH(IFERROR(INDEX($E$30:$E$95,MATCH(15,$J$30:$J$95,0)),""),Service_List!$A$2:$A$67,0),0),IFERROR(INDEX($C$2:$C$7,IFERROR(MATCH(Dashboard!$K$5,$A$2:$A$7,0),1)),8)),0)</f>
        <v>13576.395</v>
      </c>
    </row>
    <row r="45" spans="5:38" ht="15" customHeight="1" x14ac:dyDescent="0.25">
      <c r="E45" s="11" t="str">
        <f>Service_List!$A$17</f>
        <v>CodePipeline($)</v>
      </c>
      <c r="F45" s="13">
        <f>IFERROR(INDEX(Service_List!$17:17,1,$B$28),0)</f>
        <v>4386.2759999999998</v>
      </c>
      <c r="G45" s="13">
        <f>IFERROR(INDEX(Service_List!$17:17,1,$B$29),0)</f>
        <v>4482.3850000000002</v>
      </c>
      <c r="H45" s="13">
        <f t="shared" si="0"/>
        <v>-96.109000000000378</v>
      </c>
      <c r="I45" s="14">
        <f t="shared" si="1"/>
        <v>-2.1441487065479735E-2</v>
      </c>
      <c r="J45" s="11">
        <f t="shared" si="2"/>
        <v>44</v>
      </c>
      <c r="K45" s="13">
        <f t="shared" si="3"/>
        <v>96.109000000000378</v>
      </c>
      <c r="L45" s="11">
        <f t="shared" si="4"/>
        <v>53</v>
      </c>
    </row>
    <row r="46" spans="5:38" ht="15" customHeight="1" x14ac:dyDescent="0.25">
      <c r="E46" s="11" t="str">
        <f>Service_List!$A$18</f>
        <v>Comprehend($)</v>
      </c>
      <c r="F46" s="13">
        <f>IFERROR(INDEX(Service_List!$18:18,1,$B$28),0)</f>
        <v>1588.81</v>
      </c>
      <c r="G46" s="13">
        <f>IFERROR(INDEX(Service_List!$18:18,1,$B$29),0)</f>
        <v>1631.8530000000001</v>
      </c>
      <c r="H46" s="13">
        <f t="shared" si="0"/>
        <v>-43.04300000000012</v>
      </c>
      <c r="I46" s="14">
        <f t="shared" si="1"/>
        <v>-2.6376763103049181E-2</v>
      </c>
      <c r="J46" s="11">
        <f t="shared" si="2"/>
        <v>57</v>
      </c>
      <c r="K46" s="13">
        <f t="shared" si="3"/>
        <v>43.04300000000012</v>
      </c>
      <c r="L46" s="11">
        <f t="shared" si="4"/>
        <v>61</v>
      </c>
    </row>
    <row r="47" spans="5:38" ht="15" customHeight="1" x14ac:dyDescent="0.25">
      <c r="E47" s="11" t="str">
        <f>Service_List!$A$19</f>
        <v>Config($)</v>
      </c>
      <c r="F47" s="13">
        <f>IFERROR(INDEX(Service_List!$19:19,1,$B$28),0)</f>
        <v>2999.7539999999999</v>
      </c>
      <c r="G47" s="13">
        <f>IFERROR(INDEX(Service_List!$19:19,1,$B$29),0)</f>
        <v>3450.0259999999998</v>
      </c>
      <c r="H47" s="13">
        <f t="shared" si="0"/>
        <v>-450.27199999999993</v>
      </c>
      <c r="I47" s="14">
        <f t="shared" si="1"/>
        <v>-0.13051263961488985</v>
      </c>
      <c r="J47" s="11">
        <f t="shared" si="2"/>
        <v>53</v>
      </c>
      <c r="K47" s="13">
        <f t="shared" si="3"/>
        <v>450.27199999999993</v>
      </c>
      <c r="L47" s="11">
        <f t="shared" si="4"/>
        <v>35</v>
      </c>
    </row>
    <row r="48" spans="5:38" ht="15" customHeight="1" x14ac:dyDescent="0.25">
      <c r="E48" s="11" t="str">
        <f>Service_List!$A$20</f>
        <v>Connect($)</v>
      </c>
      <c r="F48" s="13">
        <f>IFERROR(INDEX(Service_List!$20:20,1,$B$28),0)</f>
        <v>7692.0950000000003</v>
      </c>
      <c r="G48" s="13">
        <f>IFERROR(INDEX(Service_List!$20:20,1,$B$29),0)</f>
        <v>8698.8739999999998</v>
      </c>
      <c r="H48" s="13">
        <f t="shared" si="0"/>
        <v>-1006.7789999999995</v>
      </c>
      <c r="I48" s="14">
        <f t="shared" si="1"/>
        <v>-0.11573670339402543</v>
      </c>
      <c r="J48" s="11">
        <f t="shared" si="2"/>
        <v>32</v>
      </c>
      <c r="K48" s="13">
        <f t="shared" si="3"/>
        <v>1006.7789999999995</v>
      </c>
      <c r="L48" s="11">
        <f t="shared" si="4"/>
        <v>12</v>
      </c>
    </row>
    <row r="49" spans="5:12" ht="15" customHeight="1" x14ac:dyDescent="0.25">
      <c r="E49" s="11" t="str">
        <f>Service_List!$A$21</f>
        <v>Control Tower($)</v>
      </c>
      <c r="F49" s="13">
        <f>IFERROR(INDEX(Service_List!$21:21,1,$B$28),0)</f>
        <v>6055.7920000000004</v>
      </c>
      <c r="G49" s="13">
        <f>IFERROR(INDEX(Service_List!$21:21,1,$B$29),0)</f>
        <v>5985.1090000000004</v>
      </c>
      <c r="H49" s="13">
        <f t="shared" si="0"/>
        <v>70.682999999999993</v>
      </c>
      <c r="I49" s="14">
        <f t="shared" si="1"/>
        <v>1.1809809980068866E-2</v>
      </c>
      <c r="J49" s="11">
        <f t="shared" si="2"/>
        <v>37</v>
      </c>
      <c r="K49" s="13">
        <f t="shared" si="3"/>
        <v>70.682999999999993</v>
      </c>
      <c r="L49" s="11">
        <f t="shared" si="4"/>
        <v>55</v>
      </c>
    </row>
    <row r="50" spans="5:12" ht="15" customHeight="1" x14ac:dyDescent="0.25">
      <c r="E50" s="11" t="str">
        <f>Service_List!$A$22</f>
        <v>DMS($)</v>
      </c>
      <c r="F50" s="13">
        <f>IFERROR(INDEX(Service_List!$22:22,1,$B$28),0)</f>
        <v>4248.5039999999999</v>
      </c>
      <c r="G50" s="13">
        <f>IFERROR(INDEX(Service_List!$22:22,1,$B$29),0)</f>
        <v>4392.7700000000004</v>
      </c>
      <c r="H50" s="13">
        <f t="shared" si="0"/>
        <v>-144.26600000000053</v>
      </c>
      <c r="I50" s="14">
        <f t="shared" si="1"/>
        <v>-3.2841692144136958E-2</v>
      </c>
      <c r="J50" s="11">
        <f t="shared" si="2"/>
        <v>45</v>
      </c>
      <c r="K50" s="13">
        <f t="shared" si="3"/>
        <v>144.26600000000053</v>
      </c>
      <c r="L50" s="11">
        <f t="shared" si="4"/>
        <v>50</v>
      </c>
    </row>
    <row r="51" spans="5:12" ht="15" customHeight="1" x14ac:dyDescent="0.25">
      <c r="E51" s="11" t="str">
        <f>Service_List!$A$23</f>
        <v>DataSync($)</v>
      </c>
      <c r="F51" s="13">
        <f>IFERROR(INDEX(Service_List!$23:23,1,$B$28),0)</f>
        <v>14365.915999999999</v>
      </c>
      <c r="G51" s="13">
        <f>IFERROR(INDEX(Service_List!$23:23,1,$B$29),0)</f>
        <v>11053.966</v>
      </c>
      <c r="H51" s="13">
        <f t="shared" si="0"/>
        <v>3311.9499999999989</v>
      </c>
      <c r="I51" s="14">
        <f t="shared" si="1"/>
        <v>0.29961644535544968</v>
      </c>
      <c r="J51" s="11">
        <f t="shared" si="2"/>
        <v>4</v>
      </c>
      <c r="K51" s="13">
        <f t="shared" si="3"/>
        <v>3311.9499999999989</v>
      </c>
      <c r="L51" s="11">
        <f t="shared" si="4"/>
        <v>1</v>
      </c>
    </row>
    <row r="52" spans="5:12" ht="15" customHeight="1" x14ac:dyDescent="0.25">
      <c r="E52" s="11" t="str">
        <f>Service_List!$A$24</f>
        <v>Direct Connect($)</v>
      </c>
      <c r="F52" s="13">
        <f>IFERROR(INDEX(Service_List!$24:24,1,$B$28),0)</f>
        <v>9587.607</v>
      </c>
      <c r="G52" s="13">
        <f>IFERROR(INDEX(Service_List!$24:24,1,$B$29),0)</f>
        <v>8146.4970000000003</v>
      </c>
      <c r="H52" s="13">
        <f t="shared" si="0"/>
        <v>1441.1099999999997</v>
      </c>
      <c r="I52" s="14">
        <f t="shared" si="1"/>
        <v>0.17689934704450264</v>
      </c>
      <c r="J52" s="11">
        <f t="shared" si="2"/>
        <v>22</v>
      </c>
      <c r="K52" s="13">
        <f t="shared" si="3"/>
        <v>1441.1099999999997</v>
      </c>
      <c r="L52" s="11">
        <f t="shared" si="4"/>
        <v>8</v>
      </c>
    </row>
    <row r="53" spans="5:12" ht="15" customHeight="1" x14ac:dyDescent="0.25">
      <c r="E53" s="11" t="str">
        <f>Service_List!$A$25</f>
        <v>DynamoDB($)</v>
      </c>
      <c r="F53" s="13">
        <f>IFERROR(INDEX(Service_List!$25:25,1,$B$28),0)</f>
        <v>6958.7560000000003</v>
      </c>
      <c r="G53" s="13">
        <f>IFERROR(INDEX(Service_List!$25:25,1,$B$29),0)</f>
        <v>7665.1620000000003</v>
      </c>
      <c r="H53" s="13">
        <f t="shared" si="0"/>
        <v>-706.40599999999995</v>
      </c>
      <c r="I53" s="14">
        <f t="shared" si="1"/>
        <v>-9.2158000052705982E-2</v>
      </c>
      <c r="J53" s="11">
        <f t="shared" si="2"/>
        <v>35</v>
      </c>
      <c r="K53" s="13">
        <f t="shared" si="3"/>
        <v>706.40599999999995</v>
      </c>
      <c r="L53" s="11">
        <f t="shared" si="4"/>
        <v>20</v>
      </c>
    </row>
    <row r="54" spans="5:12" ht="15" customHeight="1" x14ac:dyDescent="0.25">
      <c r="E54" s="11" t="str">
        <f>Service_List!$A$26</f>
        <v>EC2-Instances($)</v>
      </c>
      <c r="F54" s="13">
        <f>IFERROR(INDEX(Service_List!$26:26,1,$B$28),0)</f>
        <v>10180.665000000001</v>
      </c>
      <c r="G54" s="13">
        <f>IFERROR(INDEX(Service_List!$26:26,1,$B$29),0)</f>
        <v>10881.273999999999</v>
      </c>
      <c r="H54" s="13">
        <f t="shared" si="0"/>
        <v>-700.60899999999856</v>
      </c>
      <c r="I54" s="14">
        <f t="shared" si="1"/>
        <v>-6.4386670163806059E-2</v>
      </c>
      <c r="J54" s="11">
        <f t="shared" si="2"/>
        <v>20</v>
      </c>
      <c r="K54" s="13">
        <f t="shared" si="3"/>
        <v>700.60899999999856</v>
      </c>
      <c r="L54" s="11">
        <f t="shared" si="4"/>
        <v>21</v>
      </c>
    </row>
    <row r="55" spans="5:12" ht="15" customHeight="1" x14ac:dyDescent="0.25">
      <c r="E55" s="11" t="str">
        <f>Service_List!$A$27</f>
        <v>ECR($)</v>
      </c>
      <c r="F55" s="13">
        <f>IFERROR(INDEX(Service_List!$27:27,1,$B$28),0)</f>
        <v>8701.7659999999996</v>
      </c>
      <c r="G55" s="13">
        <f>IFERROR(INDEX(Service_List!$27:27,1,$B$29),0)</f>
        <v>8838.9069999999992</v>
      </c>
      <c r="H55" s="13">
        <f t="shared" si="0"/>
        <v>-137.14099999999962</v>
      </c>
      <c r="I55" s="14">
        <f t="shared" si="1"/>
        <v>-1.5515606171668016E-2</v>
      </c>
      <c r="J55" s="11">
        <f t="shared" si="2"/>
        <v>28</v>
      </c>
      <c r="K55" s="13">
        <f t="shared" si="3"/>
        <v>137.14099999999962</v>
      </c>
      <c r="L55" s="11">
        <f t="shared" si="4"/>
        <v>51</v>
      </c>
    </row>
    <row r="56" spans="5:12" ht="15" customHeight="1" x14ac:dyDescent="0.25">
      <c r="E56" s="11" t="str">
        <f>Service_List!$A$28</f>
        <v>ECS($)</v>
      </c>
      <c r="F56" s="13">
        <f>IFERROR(INDEX(Service_List!$28:28,1,$B$28),0)</f>
        <v>3434.6480000000001</v>
      </c>
      <c r="G56" s="13">
        <f>IFERROR(INDEX(Service_List!$28:28,1,$B$29),0)</f>
        <v>2911.2510000000002</v>
      </c>
      <c r="H56" s="13">
        <f t="shared" si="0"/>
        <v>523.39699999999993</v>
      </c>
      <c r="I56" s="14">
        <f t="shared" si="1"/>
        <v>0.17978422334590866</v>
      </c>
      <c r="J56" s="11">
        <f t="shared" si="2"/>
        <v>49</v>
      </c>
      <c r="K56" s="13">
        <f t="shared" si="3"/>
        <v>523.39699999999993</v>
      </c>
      <c r="L56" s="11">
        <f t="shared" si="4"/>
        <v>28</v>
      </c>
    </row>
    <row r="57" spans="5:12" ht="15" customHeight="1" x14ac:dyDescent="0.25">
      <c r="E57" s="11" t="str">
        <f>Service_List!$A$29</f>
        <v>EKS($)</v>
      </c>
      <c r="F57" s="13">
        <f>IFERROR(INDEX(Service_List!$29:29,1,$B$28),0)</f>
        <v>10030.049999999999</v>
      </c>
      <c r="G57" s="13">
        <f>IFERROR(INDEX(Service_List!$29:29,1,$B$29),0)</f>
        <v>10717.846</v>
      </c>
      <c r="H57" s="13">
        <f t="shared" si="0"/>
        <v>-687.79600000000028</v>
      </c>
      <c r="I57" s="14">
        <f t="shared" si="1"/>
        <v>-6.4172969083526696E-2</v>
      </c>
      <c r="J57" s="11">
        <f t="shared" si="2"/>
        <v>21</v>
      </c>
      <c r="K57" s="13">
        <f t="shared" si="3"/>
        <v>687.79600000000028</v>
      </c>
      <c r="L57" s="11">
        <f t="shared" si="4"/>
        <v>22</v>
      </c>
    </row>
    <row r="58" spans="5:12" ht="15" customHeight="1" x14ac:dyDescent="0.25">
      <c r="E58" s="11" t="str">
        <f>Service_List!$A$30</f>
        <v>EMR($)</v>
      </c>
      <c r="F58" s="13">
        <f>IFERROR(INDEX(Service_List!$30:30,1,$B$28),0)</f>
        <v>2745.3789999999999</v>
      </c>
      <c r="G58" s="13">
        <f>IFERROR(INDEX(Service_List!$30:30,1,$B$29),0)</f>
        <v>2106.9479999999999</v>
      </c>
      <c r="H58" s="13">
        <f t="shared" si="0"/>
        <v>638.43100000000004</v>
      </c>
      <c r="I58" s="14">
        <f t="shared" si="1"/>
        <v>0.30301222431687924</v>
      </c>
      <c r="J58" s="11">
        <f t="shared" si="2"/>
        <v>55</v>
      </c>
      <c r="K58" s="13">
        <f t="shared" si="3"/>
        <v>638.43100000000004</v>
      </c>
      <c r="L58" s="11">
        <f t="shared" si="4"/>
        <v>25</v>
      </c>
    </row>
    <row r="59" spans="5:12" ht="15" customHeight="1" x14ac:dyDescent="0.25">
      <c r="E59" s="11" t="str">
        <f>Service_List!$A$31</f>
        <v>ElastiCache($)</v>
      </c>
      <c r="F59" s="13">
        <f>IFERROR(INDEX(Service_List!$31:31,1,$B$28),0)</f>
        <v>483.51799999999997</v>
      </c>
      <c r="G59" s="13">
        <f>IFERROR(INDEX(Service_List!$31:31,1,$B$29),0)</f>
        <v>515.14300000000003</v>
      </c>
      <c r="H59" s="13">
        <f t="shared" si="0"/>
        <v>-31.625000000000057</v>
      </c>
      <c r="I59" s="14">
        <f t="shared" si="1"/>
        <v>-6.1390720634852951E-2</v>
      </c>
      <c r="J59" s="11">
        <f t="shared" si="2"/>
        <v>64</v>
      </c>
      <c r="K59" s="13">
        <f t="shared" si="3"/>
        <v>31.625000000000057</v>
      </c>
      <c r="L59" s="11">
        <f t="shared" si="4"/>
        <v>63</v>
      </c>
    </row>
    <row r="60" spans="5:12" ht="15" customHeight="1" x14ac:dyDescent="0.25">
      <c r="E60" s="11" t="str">
        <f>Service_List!$A$32</f>
        <v>EventBridge($)</v>
      </c>
      <c r="F60" s="13">
        <f>IFERROR(INDEX(Service_List!$32:32,1,$B$28),0)</f>
        <v>2914.8319999999999</v>
      </c>
      <c r="G60" s="13">
        <f>IFERROR(INDEX(Service_List!$32:32,1,$B$29),0)</f>
        <v>2342.4960000000001</v>
      </c>
      <c r="H60" s="13">
        <f t="shared" si="0"/>
        <v>572.33599999999979</v>
      </c>
      <c r="I60" s="14">
        <f t="shared" si="1"/>
        <v>0.24432741827520721</v>
      </c>
      <c r="J60" s="11">
        <f t="shared" si="2"/>
        <v>54</v>
      </c>
      <c r="K60" s="13">
        <f t="shared" si="3"/>
        <v>572.33599999999979</v>
      </c>
      <c r="L60" s="11">
        <f t="shared" si="4"/>
        <v>26</v>
      </c>
    </row>
    <row r="61" spans="5:12" ht="15" customHeight="1" x14ac:dyDescent="0.25">
      <c r="E61" s="11" t="str">
        <f>Service_List!$A$33</f>
        <v>Fargate($)</v>
      </c>
      <c r="F61" s="13">
        <f>IFERROR(INDEX(Service_List!$33:33,1,$B$28),0)</f>
        <v>10448.985000000001</v>
      </c>
      <c r="G61" s="13">
        <f>IFERROR(INDEX(Service_List!$33:33,1,$B$29),0)</f>
        <v>9697.57</v>
      </c>
      <c r="H61" s="13">
        <f t="shared" si="0"/>
        <v>751.41500000000087</v>
      </c>
      <c r="I61" s="14">
        <f t="shared" si="1"/>
        <v>7.7484875076952356E-2</v>
      </c>
      <c r="J61" s="11">
        <f t="shared" si="2"/>
        <v>18</v>
      </c>
      <c r="K61" s="13">
        <f t="shared" si="3"/>
        <v>751.41500000000087</v>
      </c>
      <c r="L61" s="11">
        <f t="shared" si="4"/>
        <v>17</v>
      </c>
    </row>
    <row r="62" spans="5:12" ht="15" customHeight="1" x14ac:dyDescent="0.25">
      <c r="E62" s="11" t="str">
        <f>Service_List!$A$34</f>
        <v>Firehose($)</v>
      </c>
      <c r="F62" s="13">
        <f>IFERROR(INDEX(Service_List!$34:34,1,$B$28),0)</f>
        <v>11568.293</v>
      </c>
      <c r="G62" s="13">
        <f>IFERROR(INDEX(Service_List!$34:34,1,$B$29),0)</f>
        <v>11179.972</v>
      </c>
      <c r="H62" s="13">
        <f t="shared" ref="H62:H93" si="6">F62-G62</f>
        <v>388.32099999999991</v>
      </c>
      <c r="I62" s="14">
        <f t="shared" ref="I62:I93" si="7">IFERROR(H62/G62,0)</f>
        <v>3.473362902876679E-2</v>
      </c>
      <c r="J62" s="11">
        <f t="shared" ref="J62:J95" si="8">RANK(F62,$F$30:$F$95,0)</f>
        <v>12</v>
      </c>
      <c r="K62" s="13">
        <f t="shared" ref="K62:K95" si="9">ABS(H62)</f>
        <v>388.32099999999991</v>
      </c>
      <c r="L62" s="11">
        <f t="shared" ref="L62:L93" si="10">RANK(K62,$K$30:$K$95,0)</f>
        <v>38</v>
      </c>
    </row>
    <row r="63" spans="5:12" ht="15" customHeight="1" x14ac:dyDescent="0.25">
      <c r="E63" s="11" t="str">
        <f>Service_List!$A$35</f>
        <v>Glue($)</v>
      </c>
      <c r="F63" s="13">
        <f>IFERROR(INDEX(Service_List!$35:35,1,$B$28),0)</f>
        <v>3054.1779999999999</v>
      </c>
      <c r="G63" s="13">
        <f>IFERROR(INDEX(Service_List!$35:35,1,$B$29),0)</f>
        <v>3389.857</v>
      </c>
      <c r="H63" s="13">
        <f t="shared" si="6"/>
        <v>-335.67900000000009</v>
      </c>
      <c r="I63" s="14">
        <f t="shared" si="7"/>
        <v>-9.9024531123289294E-2</v>
      </c>
      <c r="J63" s="11">
        <f t="shared" si="8"/>
        <v>52</v>
      </c>
      <c r="K63" s="13">
        <f t="shared" si="9"/>
        <v>335.67900000000009</v>
      </c>
      <c r="L63" s="11">
        <f t="shared" si="10"/>
        <v>41</v>
      </c>
    </row>
    <row r="64" spans="5:12" ht="15" customHeight="1" x14ac:dyDescent="0.25">
      <c r="E64" s="11" t="str">
        <f>Service_List!$A$36</f>
        <v>GuardDuty($)</v>
      </c>
      <c r="F64" s="13">
        <f>IFERROR(INDEX(Service_List!$36:36,1,$B$28),0)</f>
        <v>13414.013999999999</v>
      </c>
      <c r="G64" s="13">
        <f>IFERROR(INDEX(Service_List!$36:36,1,$B$29),0)</f>
        <v>13009.142</v>
      </c>
      <c r="H64" s="13">
        <f t="shared" si="6"/>
        <v>404.87199999999939</v>
      </c>
      <c r="I64" s="14">
        <f t="shared" si="7"/>
        <v>3.1122113971851439E-2</v>
      </c>
      <c r="J64" s="11">
        <f t="shared" si="8"/>
        <v>7</v>
      </c>
      <c r="K64" s="13">
        <f t="shared" si="9"/>
        <v>404.87199999999939</v>
      </c>
      <c r="L64" s="11">
        <f t="shared" si="10"/>
        <v>36</v>
      </c>
    </row>
    <row r="65" spans="5:12" ht="15" customHeight="1" x14ac:dyDescent="0.25">
      <c r="E65" s="11" t="str">
        <f>Service_List!$A$37</f>
        <v>IAM($)</v>
      </c>
      <c r="F65" s="13">
        <f>IFERROR(INDEX(Service_List!$37:37,1,$B$28),0)</f>
        <v>8743.7279999999992</v>
      </c>
      <c r="G65" s="13">
        <f>IFERROR(INDEX(Service_List!$37:37,1,$B$29),0)</f>
        <v>10695.681</v>
      </c>
      <c r="H65" s="13">
        <f t="shared" si="6"/>
        <v>-1951.9530000000013</v>
      </c>
      <c r="I65" s="14">
        <f t="shared" si="7"/>
        <v>-0.18249917887416436</v>
      </c>
      <c r="J65" s="11">
        <f t="shared" si="8"/>
        <v>27</v>
      </c>
      <c r="K65" s="13">
        <f t="shared" si="9"/>
        <v>1951.9530000000013</v>
      </c>
      <c r="L65" s="11">
        <f t="shared" si="10"/>
        <v>3</v>
      </c>
    </row>
    <row r="66" spans="5:12" ht="15" customHeight="1" x14ac:dyDescent="0.25">
      <c r="E66" s="11" t="str">
        <f>Service_List!$A$38</f>
        <v>Inspector($)</v>
      </c>
      <c r="F66" s="13">
        <f>IFERROR(INDEX(Service_List!$38:38,1,$B$28),0)</f>
        <v>7467.5680000000002</v>
      </c>
      <c r="G66" s="13">
        <f>IFERROR(INDEX(Service_List!$38:38,1,$B$29),0)</f>
        <v>7528.2730000000001</v>
      </c>
      <c r="H66" s="13">
        <f t="shared" si="6"/>
        <v>-60.704999999999927</v>
      </c>
      <c r="I66" s="14">
        <f t="shared" si="7"/>
        <v>-8.0636023693614629E-3</v>
      </c>
      <c r="J66" s="11">
        <f t="shared" si="8"/>
        <v>34</v>
      </c>
      <c r="K66" s="13">
        <f t="shared" si="9"/>
        <v>60.704999999999927</v>
      </c>
      <c r="L66" s="11">
        <f t="shared" si="10"/>
        <v>60</v>
      </c>
    </row>
    <row r="67" spans="5:12" ht="15" customHeight="1" x14ac:dyDescent="0.25">
      <c r="E67" s="11" t="str">
        <f>Service_List!$A$39</f>
        <v>KMS($)</v>
      </c>
      <c r="F67" s="13">
        <f>IFERROR(INDEX(Service_List!$39:39,1,$B$28),0)</f>
        <v>1388.394</v>
      </c>
      <c r="G67" s="13">
        <f>IFERROR(INDEX(Service_List!$39:39,1,$B$29),0)</f>
        <v>1650.8789999999999</v>
      </c>
      <c r="H67" s="13">
        <f t="shared" si="6"/>
        <v>-262.4849999999999</v>
      </c>
      <c r="I67" s="14">
        <f t="shared" si="7"/>
        <v>-0.15899711608179637</v>
      </c>
      <c r="J67" s="11">
        <f t="shared" si="8"/>
        <v>59</v>
      </c>
      <c r="K67" s="13">
        <f t="shared" si="9"/>
        <v>262.4849999999999</v>
      </c>
      <c r="L67" s="11">
        <f t="shared" si="10"/>
        <v>44</v>
      </c>
    </row>
    <row r="68" spans="5:12" ht="15" customHeight="1" x14ac:dyDescent="0.25">
      <c r="E68" s="11" t="str">
        <f>Service_List!$A$40</f>
        <v>Kinesis($)</v>
      </c>
      <c r="F68" s="13">
        <f>IFERROR(INDEX(Service_List!$40:40,1,$B$28),0)</f>
        <v>167.655</v>
      </c>
      <c r="G68" s="13">
        <f>IFERROR(INDEX(Service_List!$40:40,1,$B$29),0)</f>
        <v>168.749</v>
      </c>
      <c r="H68" s="13">
        <f t="shared" si="6"/>
        <v>-1.0939999999999941</v>
      </c>
      <c r="I68" s="14">
        <f t="shared" si="7"/>
        <v>-6.4830013807488885E-3</v>
      </c>
      <c r="J68" s="11">
        <f t="shared" si="8"/>
        <v>66</v>
      </c>
      <c r="K68" s="13">
        <f t="shared" si="9"/>
        <v>1.0939999999999941</v>
      </c>
      <c r="L68" s="11">
        <f t="shared" si="10"/>
        <v>66</v>
      </c>
    </row>
    <row r="69" spans="5:12" ht="15" customHeight="1" x14ac:dyDescent="0.25">
      <c r="E69" s="11" t="str">
        <f>Service_List!$A$41</f>
        <v>Lambda($)</v>
      </c>
      <c r="F69" s="13">
        <f>IFERROR(INDEX(Service_List!$41:41,1,$B$28),0)</f>
        <v>10775.308999999999</v>
      </c>
      <c r="G69" s="13">
        <f>IFERROR(INDEX(Service_List!$41:41,1,$B$29),0)</f>
        <v>9308.2240000000002</v>
      </c>
      <c r="H69" s="13">
        <f t="shared" si="6"/>
        <v>1467.0849999999991</v>
      </c>
      <c r="I69" s="14">
        <f t="shared" si="7"/>
        <v>0.15761169907385117</v>
      </c>
      <c r="J69" s="11">
        <f t="shared" si="8"/>
        <v>16</v>
      </c>
      <c r="K69" s="13">
        <f t="shared" si="9"/>
        <v>1467.0849999999991</v>
      </c>
      <c r="L69" s="11">
        <f t="shared" si="10"/>
        <v>7</v>
      </c>
    </row>
    <row r="70" spans="5:12" ht="15" customHeight="1" x14ac:dyDescent="0.25">
      <c r="E70" s="11" t="str">
        <f>Service_List!$A$42</f>
        <v>Lex($)</v>
      </c>
      <c r="F70" s="13">
        <f>IFERROR(INDEX(Service_List!$42:42,1,$B$28),0)</f>
        <v>9422.6</v>
      </c>
      <c r="G70" s="13">
        <f>IFERROR(INDEX(Service_List!$42:42,1,$B$29),0)</f>
        <v>9345.3060000000005</v>
      </c>
      <c r="H70" s="13">
        <f t="shared" si="6"/>
        <v>77.293999999999869</v>
      </c>
      <c r="I70" s="14">
        <f t="shared" si="7"/>
        <v>8.2708902201811124E-3</v>
      </c>
      <c r="J70" s="11">
        <f t="shared" si="8"/>
        <v>23</v>
      </c>
      <c r="K70" s="13">
        <f t="shared" si="9"/>
        <v>77.293999999999869</v>
      </c>
      <c r="L70" s="11">
        <f t="shared" si="10"/>
        <v>54</v>
      </c>
    </row>
    <row r="71" spans="5:12" ht="15" customHeight="1" x14ac:dyDescent="0.25">
      <c r="E71" s="11" t="str">
        <f>Service_List!$A$43</f>
        <v>Lightsail($)</v>
      </c>
      <c r="F71" s="13">
        <f>IFERROR(INDEX(Service_List!$43:43,1,$B$28),0)</f>
        <v>8780.9069999999992</v>
      </c>
      <c r="G71" s="13">
        <f>IFERROR(INDEX(Service_List!$43:43,1,$B$29),0)</f>
        <v>8717.902</v>
      </c>
      <c r="H71" s="13">
        <f t="shared" si="6"/>
        <v>63.0049999999992</v>
      </c>
      <c r="I71" s="14">
        <f t="shared" si="7"/>
        <v>7.2270828463085728E-3</v>
      </c>
      <c r="J71" s="11">
        <f t="shared" si="8"/>
        <v>26</v>
      </c>
      <c r="K71" s="13">
        <f t="shared" si="9"/>
        <v>63.0049999999992</v>
      </c>
      <c r="L71" s="11">
        <f t="shared" si="10"/>
        <v>58</v>
      </c>
    </row>
    <row r="72" spans="5:12" ht="15" customHeight="1" x14ac:dyDescent="0.25">
      <c r="E72" s="11" t="str">
        <f>Service_List!$A$44</f>
        <v>Macie($)</v>
      </c>
      <c r="F72" s="13">
        <f>IFERROR(INDEX(Service_List!$44:44,1,$B$28),0)</f>
        <v>10261.165000000001</v>
      </c>
      <c r="G72" s="13">
        <f>IFERROR(INDEX(Service_List!$44:44,1,$B$29),0)</f>
        <v>9800.7119999999995</v>
      </c>
      <c r="H72" s="13">
        <f t="shared" si="6"/>
        <v>460.45300000000134</v>
      </c>
      <c r="I72" s="14">
        <f t="shared" si="7"/>
        <v>4.6981586643909272E-2</v>
      </c>
      <c r="J72" s="11">
        <f t="shared" si="8"/>
        <v>19</v>
      </c>
      <c r="K72" s="13">
        <f t="shared" si="9"/>
        <v>460.45300000000134</v>
      </c>
      <c r="L72" s="11">
        <f t="shared" si="10"/>
        <v>33</v>
      </c>
    </row>
    <row r="73" spans="5:12" ht="15" customHeight="1" x14ac:dyDescent="0.25">
      <c r="E73" s="11" t="str">
        <f>Service_List!$A$45</f>
        <v>Organizations($)</v>
      </c>
      <c r="F73" s="13">
        <f>IFERROR(INDEX(Service_List!$45:45,1,$B$28),0)</f>
        <v>5248.4250000000002</v>
      </c>
      <c r="G73" s="13">
        <f>IFERROR(INDEX(Service_List!$45:45,1,$B$29),0)</f>
        <v>5723.0919999999996</v>
      </c>
      <c r="H73" s="13">
        <f t="shared" si="6"/>
        <v>-474.66699999999946</v>
      </c>
      <c r="I73" s="14">
        <f t="shared" si="7"/>
        <v>-8.2938907849113647E-2</v>
      </c>
      <c r="J73" s="11">
        <f t="shared" si="8"/>
        <v>42</v>
      </c>
      <c r="K73" s="13">
        <f t="shared" si="9"/>
        <v>474.66699999999946</v>
      </c>
      <c r="L73" s="11">
        <f t="shared" si="10"/>
        <v>32</v>
      </c>
    </row>
    <row r="74" spans="5:12" ht="15" customHeight="1" x14ac:dyDescent="0.25">
      <c r="E74" s="11" t="str">
        <f>Service_List!$A$46</f>
        <v>Polly($)</v>
      </c>
      <c r="F74" s="13">
        <f>IFERROR(INDEX(Service_List!$46:46,1,$B$28),0)</f>
        <v>8329.9159999999993</v>
      </c>
      <c r="G74" s="13">
        <f>IFERROR(INDEX(Service_List!$46:46,1,$B$29),0)</f>
        <v>8396.94</v>
      </c>
      <c r="H74" s="13">
        <f t="shared" si="6"/>
        <v>-67.024000000001251</v>
      </c>
      <c r="I74" s="14">
        <f t="shared" si="7"/>
        <v>-7.9819553313470442E-3</v>
      </c>
      <c r="J74" s="11">
        <f t="shared" si="8"/>
        <v>29</v>
      </c>
      <c r="K74" s="13">
        <f t="shared" si="9"/>
        <v>67.024000000001251</v>
      </c>
      <c r="L74" s="11">
        <f t="shared" si="10"/>
        <v>56</v>
      </c>
    </row>
    <row r="75" spans="5:12" ht="15" customHeight="1" x14ac:dyDescent="0.25">
      <c r="E75" s="11" t="str">
        <f>Service_List!$A$47</f>
        <v>Redshift($)</v>
      </c>
      <c r="F75" s="13">
        <f>IFERROR(INDEX(Service_List!$47:47,1,$B$28),0)</f>
        <v>5717.902</v>
      </c>
      <c r="G75" s="13">
        <f>IFERROR(INDEX(Service_List!$47:47,1,$B$29),0)</f>
        <v>5712.1480000000001</v>
      </c>
      <c r="H75" s="13">
        <f t="shared" si="6"/>
        <v>5.7539999999999054</v>
      </c>
      <c r="I75" s="14">
        <f t="shared" si="7"/>
        <v>1.0073268409711907E-3</v>
      </c>
      <c r="J75" s="11">
        <f t="shared" si="8"/>
        <v>38</v>
      </c>
      <c r="K75" s="13">
        <f t="shared" si="9"/>
        <v>5.7539999999999054</v>
      </c>
      <c r="L75" s="11">
        <f t="shared" si="10"/>
        <v>65</v>
      </c>
    </row>
    <row r="76" spans="5:12" ht="15" customHeight="1" x14ac:dyDescent="0.25">
      <c r="E76" s="11" t="str">
        <f>Service_List!$A$48</f>
        <v>Rekognition($)</v>
      </c>
      <c r="F76" s="13">
        <f>IFERROR(INDEX(Service_List!$48:48,1,$B$28),0)</f>
        <v>5495.0910000000003</v>
      </c>
      <c r="G76" s="13">
        <f>IFERROR(INDEX(Service_List!$48:48,1,$B$29),0)</f>
        <v>5314.3940000000002</v>
      </c>
      <c r="H76" s="13">
        <f t="shared" si="6"/>
        <v>180.69700000000012</v>
      </c>
      <c r="I76" s="14">
        <f t="shared" si="7"/>
        <v>3.400143083105997E-2</v>
      </c>
      <c r="J76" s="11">
        <f t="shared" si="8"/>
        <v>40</v>
      </c>
      <c r="K76" s="13">
        <f t="shared" si="9"/>
        <v>180.69700000000012</v>
      </c>
      <c r="L76" s="11">
        <f t="shared" si="10"/>
        <v>48</v>
      </c>
    </row>
    <row r="77" spans="5:12" ht="15" customHeight="1" x14ac:dyDescent="0.25">
      <c r="E77" s="11" t="str">
        <f>Service_List!$A$49</f>
        <v>Relational Database Service($)</v>
      </c>
      <c r="F77" s="13">
        <f>IFERROR(INDEX(Service_List!$49:49,1,$B$28),0)</f>
        <v>8968.1180000000004</v>
      </c>
      <c r="G77" s="13">
        <f>IFERROR(INDEX(Service_List!$49:49,1,$B$29),0)</f>
        <v>9424.9599999999991</v>
      </c>
      <c r="H77" s="13">
        <f t="shared" si="6"/>
        <v>-456.84199999999873</v>
      </c>
      <c r="I77" s="14">
        <f t="shared" si="7"/>
        <v>-4.8471505449359867E-2</v>
      </c>
      <c r="J77" s="11">
        <f t="shared" si="8"/>
        <v>25</v>
      </c>
      <c r="K77" s="13">
        <f t="shared" si="9"/>
        <v>456.84199999999873</v>
      </c>
      <c r="L77" s="11">
        <f t="shared" si="10"/>
        <v>34</v>
      </c>
    </row>
    <row r="78" spans="5:12" ht="15" customHeight="1" x14ac:dyDescent="0.25">
      <c r="E78" s="11" t="str">
        <f>Service_List!$A$50</f>
        <v>Route53($)</v>
      </c>
      <c r="F78" s="13">
        <f>IFERROR(INDEX(Service_List!$50:50,1,$B$28),0)</f>
        <v>1212.9680000000001</v>
      </c>
      <c r="G78" s="13">
        <f>IFERROR(INDEX(Service_List!$50:50,1,$B$29),0)</f>
        <v>1563.33</v>
      </c>
      <c r="H78" s="13">
        <f t="shared" si="6"/>
        <v>-350.36199999999985</v>
      </c>
      <c r="I78" s="14">
        <f t="shared" si="7"/>
        <v>-0.22411263137021606</v>
      </c>
      <c r="J78" s="11">
        <f t="shared" si="8"/>
        <v>60</v>
      </c>
      <c r="K78" s="13">
        <f t="shared" si="9"/>
        <v>350.36199999999985</v>
      </c>
      <c r="L78" s="11">
        <f t="shared" si="10"/>
        <v>40</v>
      </c>
    </row>
    <row r="79" spans="5:12" ht="15" customHeight="1" x14ac:dyDescent="0.25">
      <c r="E79" s="11" t="str">
        <f>Service_List!$A$51</f>
        <v>S3($)</v>
      </c>
      <c r="F79" s="13">
        <f>IFERROR(INDEX(Service_List!$51:51,1,$B$28),0)</f>
        <v>447.09500000000003</v>
      </c>
      <c r="G79" s="13">
        <f>IFERROR(INDEX(Service_List!$51:51,1,$B$29),0)</f>
        <v>484.00200000000001</v>
      </c>
      <c r="H79" s="13">
        <f t="shared" si="6"/>
        <v>-36.906999999999982</v>
      </c>
      <c r="I79" s="14">
        <f t="shared" si="7"/>
        <v>-7.6253817132987012E-2</v>
      </c>
      <c r="J79" s="11">
        <f t="shared" si="8"/>
        <v>65</v>
      </c>
      <c r="K79" s="13">
        <f t="shared" si="9"/>
        <v>36.906999999999982</v>
      </c>
      <c r="L79" s="11">
        <f t="shared" si="10"/>
        <v>62</v>
      </c>
    </row>
    <row r="80" spans="5:12" ht="15" customHeight="1" x14ac:dyDescent="0.25">
      <c r="E80" s="11" t="str">
        <f>Service_List!$A$52</f>
        <v>SNS($)</v>
      </c>
      <c r="F80" s="13">
        <f>IFERROR(INDEX(Service_List!$52:52,1,$B$28),0)</f>
        <v>550.93200000000002</v>
      </c>
      <c r="G80" s="13">
        <f>IFERROR(INDEX(Service_List!$52:52,1,$B$29),0)</f>
        <v>490.07400000000001</v>
      </c>
      <c r="H80" s="13">
        <f t="shared" si="6"/>
        <v>60.858000000000004</v>
      </c>
      <c r="I80" s="14">
        <f t="shared" si="7"/>
        <v>0.12418124609752813</v>
      </c>
      <c r="J80" s="11">
        <f t="shared" si="8"/>
        <v>63</v>
      </c>
      <c r="K80" s="13">
        <f t="shared" si="9"/>
        <v>60.858000000000004</v>
      </c>
      <c r="L80" s="11">
        <f t="shared" si="10"/>
        <v>59</v>
      </c>
    </row>
    <row r="81" spans="5:12" ht="15" customHeight="1" x14ac:dyDescent="0.25">
      <c r="E81" s="11" t="str">
        <f>Service_List!$A$53</f>
        <v>SQS($)</v>
      </c>
      <c r="F81" s="13">
        <f>IFERROR(INDEX(Service_List!$53:53,1,$B$28),0)</f>
        <v>3272.864</v>
      </c>
      <c r="G81" s="13">
        <f>IFERROR(INDEX(Service_List!$53:53,1,$B$29),0)</f>
        <v>2939.4650000000001</v>
      </c>
      <c r="H81" s="13">
        <f t="shared" si="6"/>
        <v>333.39899999999989</v>
      </c>
      <c r="I81" s="14">
        <f t="shared" si="7"/>
        <v>0.11342166006399119</v>
      </c>
      <c r="J81" s="11">
        <f t="shared" si="8"/>
        <v>50</v>
      </c>
      <c r="K81" s="13">
        <f t="shared" si="9"/>
        <v>333.39899999999989</v>
      </c>
      <c r="L81" s="11">
        <f t="shared" si="10"/>
        <v>42</v>
      </c>
    </row>
    <row r="82" spans="5:12" ht="15" customHeight="1" x14ac:dyDescent="0.25">
      <c r="E82" s="11" t="str">
        <f>Service_List!$A$54</f>
        <v>SageMaker($)</v>
      </c>
      <c r="F82" s="13">
        <f>IFERROR(INDEX(Service_List!$54:54,1,$B$28),0)</f>
        <v>14013.558000000001</v>
      </c>
      <c r="G82" s="13">
        <f>IFERROR(INDEX(Service_List!$54:54,1,$B$29),0)</f>
        <v>13993.823</v>
      </c>
      <c r="H82" s="13">
        <f t="shared" si="6"/>
        <v>19.735000000000582</v>
      </c>
      <c r="I82" s="14">
        <f t="shared" si="7"/>
        <v>1.4102650862455944E-3</v>
      </c>
      <c r="J82" s="11">
        <f t="shared" si="8"/>
        <v>6</v>
      </c>
      <c r="K82" s="13">
        <f t="shared" si="9"/>
        <v>19.735000000000582</v>
      </c>
      <c r="L82" s="11">
        <f t="shared" si="10"/>
        <v>64</v>
      </c>
    </row>
    <row r="83" spans="5:12" ht="15" customHeight="1" x14ac:dyDescent="0.25">
      <c r="E83" s="11" t="str">
        <f>Service_List!$A$55</f>
        <v>Secrets Manager($)</v>
      </c>
      <c r="F83" s="13">
        <f>IFERROR(INDEX(Service_List!$55:55,1,$B$28),0)</f>
        <v>3527.58</v>
      </c>
      <c r="G83" s="13">
        <f>IFERROR(INDEX(Service_List!$55:55,1,$B$29),0)</f>
        <v>4090.91</v>
      </c>
      <c r="H83" s="13">
        <f t="shared" si="6"/>
        <v>-563.32999999999993</v>
      </c>
      <c r="I83" s="14">
        <f t="shared" si="7"/>
        <v>-0.13770285828825371</v>
      </c>
      <c r="J83" s="11">
        <f t="shared" si="8"/>
        <v>48</v>
      </c>
      <c r="K83" s="13">
        <f t="shared" si="9"/>
        <v>563.32999999999993</v>
      </c>
      <c r="L83" s="11">
        <f t="shared" si="10"/>
        <v>27</v>
      </c>
    </row>
    <row r="84" spans="5:12" ht="15" customHeight="1" x14ac:dyDescent="0.25">
      <c r="E84" s="11" t="str">
        <f>Service_List!$A$56</f>
        <v>Security Hub($)</v>
      </c>
      <c r="F84" s="13">
        <f>IFERROR(INDEX(Service_List!$56:56,1,$B$28),0)</f>
        <v>797.90499999999997</v>
      </c>
      <c r="G84" s="13">
        <f>IFERROR(INDEX(Service_List!$56:56,1,$B$29),0)</f>
        <v>864.58500000000004</v>
      </c>
      <c r="H84" s="13">
        <f t="shared" si="6"/>
        <v>-66.680000000000064</v>
      </c>
      <c r="I84" s="14">
        <f t="shared" si="7"/>
        <v>-7.7123706749481033E-2</v>
      </c>
      <c r="J84" s="11">
        <f t="shared" si="8"/>
        <v>62</v>
      </c>
      <c r="K84" s="13">
        <f t="shared" si="9"/>
        <v>66.680000000000064</v>
      </c>
      <c r="L84" s="11">
        <f t="shared" si="10"/>
        <v>57</v>
      </c>
    </row>
    <row r="85" spans="5:12" ht="15" customHeight="1" x14ac:dyDescent="0.25">
      <c r="E85" s="11" t="str">
        <f>Service_List!$A$57</f>
        <v>Service Catalog($)</v>
      </c>
      <c r="F85" s="13">
        <f>IFERROR(INDEX(Service_List!$57:57,1,$B$28),0)</f>
        <v>3104.8310000000001</v>
      </c>
      <c r="G85" s="13">
        <f>IFERROR(INDEX(Service_List!$57:57,1,$B$29),0)</f>
        <v>3226.2730000000001</v>
      </c>
      <c r="H85" s="13">
        <f t="shared" si="6"/>
        <v>-121.44200000000001</v>
      </c>
      <c r="I85" s="14">
        <f t="shared" si="7"/>
        <v>-3.7641575898877747E-2</v>
      </c>
      <c r="J85" s="11">
        <f t="shared" si="8"/>
        <v>51</v>
      </c>
      <c r="K85" s="13">
        <f t="shared" si="9"/>
        <v>121.44200000000001</v>
      </c>
      <c r="L85" s="11">
        <f t="shared" si="10"/>
        <v>52</v>
      </c>
    </row>
    <row r="86" spans="5:12" ht="15" customHeight="1" x14ac:dyDescent="0.25">
      <c r="E86" s="11" t="str">
        <f>Service_List!$A$58</f>
        <v>Shield($)</v>
      </c>
      <c r="F86" s="13">
        <f>IFERROR(INDEX(Service_List!$58:58,1,$B$28),0)</f>
        <v>8275.2450000000008</v>
      </c>
      <c r="G86" s="13">
        <f>IFERROR(INDEX(Service_List!$58:58,1,$B$29),0)</f>
        <v>10595.86</v>
      </c>
      <c r="H86" s="13">
        <f t="shared" si="6"/>
        <v>-2320.6149999999998</v>
      </c>
      <c r="I86" s="14">
        <f t="shared" si="7"/>
        <v>-0.21901148184290842</v>
      </c>
      <c r="J86" s="11">
        <f t="shared" si="8"/>
        <v>30</v>
      </c>
      <c r="K86" s="13">
        <f t="shared" si="9"/>
        <v>2320.6149999999998</v>
      </c>
      <c r="L86" s="11">
        <f t="shared" si="10"/>
        <v>2</v>
      </c>
    </row>
    <row r="87" spans="5:12" ht="15" customHeight="1" x14ac:dyDescent="0.25">
      <c r="E87" s="11" t="str">
        <f>Service_List!$A$59</f>
        <v>Step Functions($)</v>
      </c>
      <c r="F87" s="13">
        <f>IFERROR(INDEX(Service_List!$59:59,1,$B$28),0)</f>
        <v>5494.893</v>
      </c>
      <c r="G87" s="13">
        <f>IFERROR(INDEX(Service_List!$59:59,1,$B$29),0)</f>
        <v>5991.5129999999999</v>
      </c>
      <c r="H87" s="13">
        <f t="shared" si="6"/>
        <v>-496.61999999999989</v>
      </c>
      <c r="I87" s="14">
        <f t="shared" si="7"/>
        <v>-8.288724400664739E-2</v>
      </c>
      <c r="J87" s="11">
        <f t="shared" si="8"/>
        <v>41</v>
      </c>
      <c r="K87" s="13">
        <f t="shared" si="9"/>
        <v>496.61999999999989</v>
      </c>
      <c r="L87" s="11">
        <f t="shared" si="10"/>
        <v>31</v>
      </c>
    </row>
    <row r="88" spans="5:12" ht="15" customHeight="1" x14ac:dyDescent="0.25">
      <c r="E88" s="11" t="str">
        <f>Service_List!$A$60</f>
        <v>Systems Manager($)</v>
      </c>
      <c r="F88" s="13">
        <f>IFERROR(INDEX(Service_List!$60:60,1,$B$28),0)</f>
        <v>1148.0360000000001</v>
      </c>
      <c r="G88" s="13">
        <f>IFERROR(INDEX(Service_List!$60:60,1,$B$29),0)</f>
        <v>1353.6980000000001</v>
      </c>
      <c r="H88" s="13">
        <f t="shared" si="6"/>
        <v>-205.66200000000003</v>
      </c>
      <c r="I88" s="14">
        <f t="shared" si="7"/>
        <v>-0.15192605736286824</v>
      </c>
      <c r="J88" s="11">
        <f t="shared" si="8"/>
        <v>61</v>
      </c>
      <c r="K88" s="13">
        <f t="shared" si="9"/>
        <v>205.66200000000003</v>
      </c>
      <c r="L88" s="11">
        <f t="shared" si="10"/>
        <v>46</v>
      </c>
    </row>
    <row r="89" spans="5:12" ht="15" customHeight="1" x14ac:dyDescent="0.25">
      <c r="E89" s="11" t="str">
        <f>Service_List!$A$61</f>
        <v>Textract($)</v>
      </c>
      <c r="F89" s="13">
        <f>IFERROR(INDEX(Service_List!$61:61,1,$B$28),0)</f>
        <v>1502.422</v>
      </c>
      <c r="G89" s="13">
        <f>IFERROR(INDEX(Service_List!$61:61,1,$B$29),0)</f>
        <v>1346.067</v>
      </c>
      <c r="H89" s="13">
        <f t="shared" si="6"/>
        <v>156.35500000000002</v>
      </c>
      <c r="I89" s="14">
        <f t="shared" si="7"/>
        <v>0.11615692235230492</v>
      </c>
      <c r="J89" s="11">
        <f t="shared" si="8"/>
        <v>58</v>
      </c>
      <c r="K89" s="13">
        <f t="shared" si="9"/>
        <v>156.35500000000002</v>
      </c>
      <c r="L89" s="11">
        <f t="shared" si="10"/>
        <v>49</v>
      </c>
    </row>
    <row r="90" spans="5:12" ht="15" customHeight="1" x14ac:dyDescent="0.25">
      <c r="E90" s="11" t="str">
        <f>Service_List!$A$62</f>
        <v>Transcribe($)</v>
      </c>
      <c r="F90" s="13">
        <f>IFERROR(INDEX(Service_List!$62:62,1,$B$28),0)</f>
        <v>11892.790999999999</v>
      </c>
      <c r="G90" s="13">
        <f>IFERROR(INDEX(Service_List!$62:62,1,$B$29),0)</f>
        <v>12693.929</v>
      </c>
      <c r="H90" s="13">
        <f t="shared" si="6"/>
        <v>-801.13800000000083</v>
      </c>
      <c r="I90" s="14">
        <f t="shared" si="7"/>
        <v>-6.3111901760282474E-2</v>
      </c>
      <c r="J90" s="11">
        <f t="shared" si="8"/>
        <v>9</v>
      </c>
      <c r="K90" s="13">
        <f t="shared" si="9"/>
        <v>801.13800000000083</v>
      </c>
      <c r="L90" s="11">
        <f t="shared" si="10"/>
        <v>16</v>
      </c>
    </row>
    <row r="91" spans="5:12" ht="15" customHeight="1" x14ac:dyDescent="0.25">
      <c r="E91" s="11" t="str">
        <f>Service_List!$A$63</f>
        <v>Transfer Family($)</v>
      </c>
      <c r="F91" s="13">
        <f>IFERROR(INDEX(Service_List!$63:63,1,$B$28),0)</f>
        <v>11086.39</v>
      </c>
      <c r="G91" s="13">
        <f>IFERROR(INDEX(Service_List!$63:63,1,$B$29),0)</f>
        <v>9604.2080000000005</v>
      </c>
      <c r="H91" s="13">
        <f t="shared" si="6"/>
        <v>1482.1819999999989</v>
      </c>
      <c r="I91" s="14">
        <f t="shared" si="7"/>
        <v>0.15432631196658786</v>
      </c>
      <c r="J91" s="11">
        <f t="shared" si="8"/>
        <v>15</v>
      </c>
      <c r="K91" s="13">
        <f t="shared" si="9"/>
        <v>1482.1819999999989</v>
      </c>
      <c r="L91" s="11">
        <f t="shared" si="10"/>
        <v>6</v>
      </c>
    </row>
    <row r="92" spans="5:12" ht="15" customHeight="1" x14ac:dyDescent="0.25">
      <c r="E92" s="11" t="str">
        <f>Service_List!$A$64</f>
        <v>Translate($)</v>
      </c>
      <c r="F92" s="13">
        <f>IFERROR(INDEX(Service_List!$64:64,1,$B$28),0)</f>
        <v>11660.599</v>
      </c>
      <c r="G92" s="13">
        <f>IFERROR(INDEX(Service_List!$64:64,1,$B$29),0)</f>
        <v>12706.196</v>
      </c>
      <c r="H92" s="13">
        <f t="shared" si="6"/>
        <v>-1045.5969999999998</v>
      </c>
      <c r="I92" s="14">
        <f t="shared" si="7"/>
        <v>-8.2290325129566688E-2</v>
      </c>
      <c r="J92" s="11">
        <f t="shared" si="8"/>
        <v>11</v>
      </c>
      <c r="K92" s="13">
        <f t="shared" si="9"/>
        <v>1045.5969999999998</v>
      </c>
      <c r="L92" s="11">
        <f t="shared" si="10"/>
        <v>11</v>
      </c>
    </row>
    <row r="93" spans="5:12" ht="15" customHeight="1" x14ac:dyDescent="0.25">
      <c r="E93" s="11" t="str">
        <f>Service_List!$A$65</f>
        <v>VPC($)</v>
      </c>
      <c r="F93" s="13">
        <f>IFERROR(INDEX(Service_List!$65:65,1,$B$28),0)</f>
        <v>3746.78</v>
      </c>
      <c r="G93" s="13">
        <f>IFERROR(INDEX(Service_List!$65:65,1,$B$29),0)</f>
        <v>3560.0169999999998</v>
      </c>
      <c r="H93" s="13">
        <f t="shared" si="6"/>
        <v>186.76300000000037</v>
      </c>
      <c r="I93" s="14">
        <f t="shared" si="7"/>
        <v>5.2461266336649624E-2</v>
      </c>
      <c r="J93" s="11">
        <f t="shared" si="8"/>
        <v>47</v>
      </c>
      <c r="K93" s="13">
        <f t="shared" si="9"/>
        <v>186.76300000000037</v>
      </c>
      <c r="L93" s="11">
        <f t="shared" si="10"/>
        <v>47</v>
      </c>
    </row>
    <row r="94" spans="5:12" ht="15" customHeight="1" x14ac:dyDescent="0.25">
      <c r="E94" s="11" t="str">
        <f>Service_List!$A$66</f>
        <v>WAF($)</v>
      </c>
      <c r="F94" s="13">
        <f>IFERROR(INDEX(Service_List!$66:66,1,$B$28),0)</f>
        <v>12336.252</v>
      </c>
      <c r="G94" s="13">
        <f>IFERROR(INDEX(Service_List!$66:66,1,$B$29),0)</f>
        <v>11246.776</v>
      </c>
      <c r="H94" s="13">
        <f t="shared" ref="H94:H125" si="11">F94-G94</f>
        <v>1089.4760000000006</v>
      </c>
      <c r="I94" s="14">
        <f t="shared" ref="I94:I125" si="12">IFERROR(H94/G94,0)</f>
        <v>9.687007192105547E-2</v>
      </c>
      <c r="J94" s="11">
        <f t="shared" si="8"/>
        <v>8</v>
      </c>
      <c r="K94" s="13">
        <f t="shared" si="9"/>
        <v>1089.4760000000006</v>
      </c>
      <c r="L94" s="11">
        <f t="shared" ref="L94:L125" si="13">RANK(K94,$K$30:$K$95,0)</f>
        <v>10</v>
      </c>
    </row>
    <row r="95" spans="5:12" ht="15" customHeight="1" x14ac:dyDescent="0.25">
      <c r="E95" s="11" t="str">
        <f>Service_List!$A$67</f>
        <v>WorkSpaces($)</v>
      </c>
      <c r="F95" s="13">
        <f>IFERROR(INDEX(Service_List!$67:67,1,$B$28),0)</f>
        <v>5575.3909999999996</v>
      </c>
      <c r="G95" s="13">
        <f>IFERROR(INDEX(Service_List!$67:67,1,$B$29),0)</f>
        <v>5062.6859999999997</v>
      </c>
      <c r="H95" s="13">
        <f t="shared" si="11"/>
        <v>512.70499999999993</v>
      </c>
      <c r="I95" s="14">
        <f t="shared" si="12"/>
        <v>0.10127134094431295</v>
      </c>
      <c r="J95" s="11">
        <f t="shared" si="8"/>
        <v>39</v>
      </c>
      <c r="K95" s="13">
        <f t="shared" si="9"/>
        <v>512.70499999999993</v>
      </c>
      <c r="L95" s="11">
        <f t="shared" si="13"/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P300"/>
  <sheetViews>
    <sheetView zoomScaleNormal="100" workbookViewId="0">
      <pane ySplit="2" topLeftCell="A3" activePane="bottomLeft" state="frozen"/>
      <selection pane="bottomLeft" sqref="A1:Z1"/>
    </sheetView>
  </sheetViews>
  <sheetFormatPr defaultColWidth="8.7109375" defaultRowHeight="15" x14ac:dyDescent="0.25"/>
  <cols>
    <col min="1" max="1" width="1.5703125" customWidth="1"/>
    <col min="2" max="2" width="3" customWidth="1"/>
    <col min="3" max="3" width="16" customWidth="1"/>
    <col min="4" max="4" width="3" customWidth="1"/>
    <col min="5" max="5" width="16" customWidth="1"/>
    <col min="6" max="6" width="3" customWidth="1"/>
    <col min="7" max="7" width="16" customWidth="1"/>
    <col min="8" max="8" width="3" customWidth="1"/>
    <col min="9" max="9" width="16" customWidth="1"/>
    <col min="10" max="10" width="3" customWidth="1"/>
    <col min="11" max="11" width="16" customWidth="1"/>
    <col min="12" max="12" width="3" customWidth="1"/>
    <col min="13" max="13" width="16" customWidth="1"/>
    <col min="14" max="14" width="3" customWidth="1"/>
    <col min="15" max="15" width="16" customWidth="1"/>
    <col min="16" max="16" width="3" customWidth="1"/>
    <col min="17" max="17" width="16" customWidth="1"/>
    <col min="18" max="18" width="3" customWidth="1"/>
    <col min="19" max="19" width="16" customWidth="1"/>
    <col min="20" max="20" width="3" customWidth="1"/>
    <col min="21" max="21" width="16" customWidth="1"/>
    <col min="22" max="22" width="3" customWidth="1"/>
    <col min="23" max="23" width="16" customWidth="1"/>
    <col min="24" max="24" width="3" customWidth="1"/>
    <col min="25" max="25" width="16" customWidth="1"/>
    <col min="26" max="26" width="3" customWidth="1"/>
    <col min="28" max="28" width="30" customWidth="1"/>
    <col min="29" max="47" width="13" customWidth="1"/>
  </cols>
  <sheetData>
    <row r="1" spans="1:42" ht="39.75" customHeight="1" x14ac:dyDescent="0.25">
      <c r="A1" s="33" t="s">
        <v>91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18" customHeight="1" x14ac:dyDescent="0.25">
      <c r="A2" s="60" t="s">
        <v>92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15"/>
      <c r="AB2" s="15" t="s">
        <v>0</v>
      </c>
      <c r="AC2" s="15" t="s">
        <v>93</v>
      </c>
      <c r="AD2" s="15" t="s">
        <v>78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42" ht="7.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 t="str">
        <f>Chart_Engine!O30</f>
        <v>Batch($)</v>
      </c>
      <c r="AC3" s="17">
        <f>Chart_Engine!P30</f>
        <v>15512.514999999999</v>
      </c>
      <c r="AD3" s="17">
        <f>Chart_Engine!Q30</f>
        <v>16027.611000000001</v>
      </c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2" ht="21.75" customHeight="1" x14ac:dyDescent="0.25">
      <c r="A4" s="15"/>
      <c r="B4" s="61" t="s">
        <v>94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15"/>
      <c r="AB4" s="16" t="str">
        <f>Chart_Engine!O31</f>
        <v>CodeBuild($)</v>
      </c>
      <c r="AC4" s="17">
        <f>Chart_Engine!P31</f>
        <v>15455.826999999999</v>
      </c>
      <c r="AD4" s="17">
        <f>Chart_Engine!Q31</f>
        <v>14258.022000000001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ht="25.5" customHeight="1" x14ac:dyDescent="0.25">
      <c r="A5" s="15"/>
      <c r="B5" s="44" t="s">
        <v>95</v>
      </c>
      <c r="C5" s="30"/>
      <c r="D5" s="30"/>
      <c r="E5" s="18" t="s">
        <v>96</v>
      </c>
      <c r="F5" s="15"/>
      <c r="G5" s="44" t="s">
        <v>97</v>
      </c>
      <c r="H5" s="30"/>
      <c r="I5" s="30"/>
      <c r="J5" s="15"/>
      <c r="K5" s="28">
        <v>46023</v>
      </c>
      <c r="L5" s="15"/>
      <c r="M5" s="44" t="s">
        <v>98</v>
      </c>
      <c r="N5" s="30"/>
      <c r="O5" s="30"/>
      <c r="P5" s="15"/>
      <c r="Q5" s="28">
        <v>45992</v>
      </c>
      <c r="R5" s="15"/>
      <c r="S5" s="44" t="s">
        <v>99</v>
      </c>
      <c r="T5" s="30"/>
      <c r="U5" s="30"/>
      <c r="V5" s="15"/>
      <c r="W5" s="18" t="s">
        <v>100</v>
      </c>
      <c r="X5" s="15"/>
      <c r="Y5" s="15"/>
      <c r="Z5" s="15"/>
      <c r="AA5" s="15"/>
      <c r="AB5" s="16" t="str">
        <f>Chart_Engine!O32</f>
        <v>Chime($)</v>
      </c>
      <c r="AC5" s="17">
        <f>Chart_Engine!P32</f>
        <v>15384.035</v>
      </c>
      <c r="AD5" s="17">
        <f>Chart_Engine!Q32</f>
        <v>15782.181</v>
      </c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1:42" ht="9.7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 t="str">
        <f>Chart_Engine!O33</f>
        <v>DataSync($)</v>
      </c>
      <c r="AC6" s="17">
        <f>Chart_Engine!P33</f>
        <v>14365.915999999999</v>
      </c>
      <c r="AD6" s="17">
        <f>Chart_Engine!Q33</f>
        <v>11053.966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ht="9.7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 t="str">
        <f>Chart_Engine!O34</f>
        <v>CloudFront($)</v>
      </c>
      <c r="AC7" s="17">
        <f>Chart_Engine!P34</f>
        <v>14222.876</v>
      </c>
      <c r="AD7" s="17">
        <f>Chart_Engine!Q34</f>
        <v>13285.736999999999</v>
      </c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18" customHeight="1" x14ac:dyDescent="0.25">
      <c r="A8" s="15"/>
      <c r="B8" s="62" t="s">
        <v>101</v>
      </c>
      <c r="C8" s="30"/>
      <c r="D8" s="30"/>
      <c r="E8" s="30"/>
      <c r="F8" s="15"/>
      <c r="G8" s="43" t="s">
        <v>102</v>
      </c>
      <c r="H8" s="30"/>
      <c r="I8" s="30"/>
      <c r="J8" s="30"/>
      <c r="K8" s="15"/>
      <c r="L8" s="51" t="s">
        <v>103</v>
      </c>
      <c r="M8" s="30"/>
      <c r="N8" s="30"/>
      <c r="O8" s="30"/>
      <c r="P8" s="15"/>
      <c r="Q8" s="63" t="s">
        <v>104</v>
      </c>
      <c r="R8" s="30"/>
      <c r="S8" s="30"/>
      <c r="T8" s="30"/>
      <c r="U8" s="15"/>
      <c r="V8" s="62" t="s">
        <v>105</v>
      </c>
      <c r="W8" s="30"/>
      <c r="X8" s="30"/>
      <c r="Y8" s="30"/>
      <c r="Z8" s="15"/>
      <c r="AA8" s="15"/>
      <c r="AB8" s="16" t="str">
        <f>Chart_Engine!O35</f>
        <v>SageMaker($)</v>
      </c>
      <c r="AC8" s="17">
        <f>Chart_Engine!P35</f>
        <v>14013.558000000001</v>
      </c>
      <c r="AD8" s="17">
        <f>Chart_Engine!Q35</f>
        <v>13993.823</v>
      </c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ht="36" customHeight="1" x14ac:dyDescent="0.25">
      <c r="A9" s="15"/>
      <c r="B9" s="53">
        <f>IF($E$5="Acct1",SUMPRODUCT((Acct1_Raw!$A$3:$A$26=$K$5)*Acct1_Raw!$B$3:$BO$26),IF($E$5="Acct2",SUMPRODUCT((Acct2_Raw!$A$3:$A$26=$K$5)*Acct2_Raw!$B$3:$BO$26),SUMPRODUCT((Acct1_Raw!$A$3:$A$26=$K$5)*Acct1_Raw!$B$3:$BO$26)+SUMPRODUCT((Acct2_Raw!$A$3:$A$26=$K$5)*Acct2_Raw!$B$3:$BO$26)))</f>
        <v>472288.4980000002</v>
      </c>
      <c r="C9" s="30"/>
      <c r="D9" s="30"/>
      <c r="E9" s="30"/>
      <c r="F9" s="15"/>
      <c r="G9" s="56">
        <f>IF($E$5="Acct1",SUMPRODUCT((Acct1_Raw!$A$3:$A$26=$Q$5)*Acct1_Raw!$B$3:$BO$26),IF($E$5="Acct2",SUMPRODUCT((Acct2_Raw!$A$3:$A$26=$Q$5)*Acct2_Raw!$B$3:$BO$26),SUMPRODUCT((Acct1_Raw!$A$3:$A$26=$Q$5)*Acct1_Raw!$B$3:$BO$26)+SUMPRODUCT((Acct2_Raw!$A$3:$A$26=$Q$5)*Acct2_Raw!$B$3:$BO$26)))</f>
        <v>474735.20399999991</v>
      </c>
      <c r="H9" s="30"/>
      <c r="I9" s="30"/>
      <c r="J9" s="30"/>
      <c r="K9" s="15"/>
      <c r="L9" s="46">
        <f>B9-G9</f>
        <v>-2446.7059999997145</v>
      </c>
      <c r="M9" s="30"/>
      <c r="N9" s="30"/>
      <c r="O9" s="30"/>
      <c r="P9" s="15"/>
      <c r="Q9" s="59">
        <f>IFERROR((B9-G9)/G9,0)</f>
        <v>-5.1538330829152389E-3</v>
      </c>
      <c r="R9" s="30"/>
      <c r="S9" s="30"/>
      <c r="T9" s="30"/>
      <c r="U9" s="15"/>
      <c r="V9" s="49">
        <f>66</f>
        <v>66</v>
      </c>
      <c r="W9" s="30"/>
      <c r="X9" s="30"/>
      <c r="Y9" s="30"/>
      <c r="Z9" s="15"/>
      <c r="AA9" s="15"/>
      <c r="AB9" s="16" t="str">
        <f>Chart_Engine!O36</f>
        <v>GuardDuty($)</v>
      </c>
      <c r="AC9" s="17">
        <f>Chart_Engine!P36</f>
        <v>13414.013999999999</v>
      </c>
      <c r="AD9" s="17">
        <f>Chart_Engine!Q36</f>
        <v>13009.142</v>
      </c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ht="15.75" customHeight="1" x14ac:dyDescent="0.25">
      <c r="A10" s="15"/>
      <c r="B10" s="55" t="str">
        <f>TEXT($K$5,"mmm-yy")&amp;"  |  "&amp;$E$5</f>
        <v>Jan-26  |  Acct1</v>
      </c>
      <c r="C10" s="30"/>
      <c r="D10" s="30"/>
      <c r="E10" s="30"/>
      <c r="F10" s="15"/>
      <c r="G10" s="54" t="str">
        <f>TEXT($Q$5,"mmm-yy")&amp;"  |  "&amp;$E$5</f>
        <v>Dec-25  |  Acct1</v>
      </c>
      <c r="H10" s="30"/>
      <c r="I10" s="30"/>
      <c r="J10" s="30"/>
      <c r="K10" s="15"/>
      <c r="L10" s="52" t="s">
        <v>106</v>
      </c>
      <c r="M10" s="30"/>
      <c r="N10" s="30"/>
      <c r="O10" s="30"/>
      <c r="P10" s="15"/>
      <c r="Q10" s="64" t="s">
        <v>106</v>
      </c>
      <c r="R10" s="30"/>
      <c r="S10" s="30"/>
      <c r="T10" s="30"/>
      <c r="U10" s="15"/>
      <c r="V10" s="55" t="s">
        <v>107</v>
      </c>
      <c r="W10" s="30"/>
      <c r="X10" s="30"/>
      <c r="Y10" s="30"/>
      <c r="Z10" s="15"/>
      <c r="AA10" s="15"/>
      <c r="AB10" s="16" t="str">
        <f>Chart_Engine!O37</f>
        <v>WAF($)</v>
      </c>
      <c r="AC10" s="17">
        <f>Chart_Engine!P37</f>
        <v>12336.252</v>
      </c>
      <c r="AD10" s="17">
        <f>Chart_Engine!Q37</f>
        <v>11246.776</v>
      </c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9.7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6" t="str">
        <f>Chart_Engine!O38</f>
        <v>Transcribe($)</v>
      </c>
      <c r="AC11" s="17">
        <f>Chart_Engine!P38</f>
        <v>11892.790999999999</v>
      </c>
      <c r="AD11" s="17">
        <f>Chart_Engine!Q38</f>
        <v>12693.929</v>
      </c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ht="21.75" customHeight="1" x14ac:dyDescent="0.25">
      <c r="A12" s="15"/>
      <c r="B12" s="35" t="s">
        <v>108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15"/>
      <c r="AA12" s="15"/>
      <c r="AB12" s="16" t="str">
        <f>Chart_Engine!O39</f>
        <v>API Gateway($)</v>
      </c>
      <c r="AC12" s="17">
        <f>Chart_Engine!P39</f>
        <v>11724.125</v>
      </c>
      <c r="AD12" s="17">
        <f>Chart_Engine!Q39</f>
        <v>11062.893</v>
      </c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ht="19.5" customHeight="1" x14ac:dyDescent="0.25">
      <c r="A13" s="15"/>
      <c r="B13" s="19" t="s">
        <v>109</v>
      </c>
      <c r="C13" s="43" t="s">
        <v>0</v>
      </c>
      <c r="D13" s="30"/>
      <c r="E13" s="30"/>
      <c r="F13" s="43" t="s">
        <v>110</v>
      </c>
      <c r="G13" s="30"/>
      <c r="H13" s="43" t="s">
        <v>111</v>
      </c>
      <c r="I13" s="30"/>
      <c r="J13" s="43" t="s">
        <v>112</v>
      </c>
      <c r="K13" s="30"/>
      <c r="L13" s="43" t="s">
        <v>113</v>
      </c>
      <c r="M13" s="30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6" t="str">
        <f>Chart_Engine!O40</f>
        <v>Translate($)</v>
      </c>
      <c r="AC13" s="17">
        <f>Chart_Engine!P40</f>
        <v>11660.599</v>
      </c>
      <c r="AD13" s="17">
        <f>Chart_Engine!Q40</f>
        <v>12706.196</v>
      </c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15" customHeight="1" x14ac:dyDescent="0.25">
      <c r="A14" s="15"/>
      <c r="B14" s="20">
        <v>1</v>
      </c>
      <c r="C14" s="34" t="str">
        <f>IF(1&lt;=Dashboard!$W$5,Chart_Engine!O30,"")</f>
        <v>Batch($)</v>
      </c>
      <c r="D14" s="30"/>
      <c r="E14" s="30"/>
      <c r="F14" s="29">
        <f>IF(1&lt;=Dashboard!$W$5,Chart_Engine!P30,0)</f>
        <v>15512.514999999999</v>
      </c>
      <c r="G14" s="30"/>
      <c r="H14" s="29">
        <f>IF(1&lt;=Dashboard!$W$5,Chart_Engine!Q30,0)</f>
        <v>16027.611000000001</v>
      </c>
      <c r="I14" s="30"/>
      <c r="J14" s="47">
        <f>IF(1&lt;=Dashboard!$W$5,Chart_Engine!R30,0)</f>
        <v>-515.09600000000137</v>
      </c>
      <c r="K14" s="30"/>
      <c r="L14" s="41">
        <f>IF(1&lt;=Dashboard!$W$5,Chart_Engine!S30,0)</f>
        <v>-3.213803978646608E-2</v>
      </c>
      <c r="M14" s="30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 t="str">
        <f>Chart_Engine!O41</f>
        <v>Firehose($)</v>
      </c>
      <c r="AC14" s="17">
        <f>Chart_Engine!P41</f>
        <v>11568.293</v>
      </c>
      <c r="AD14" s="17">
        <f>Chart_Engine!Q41</f>
        <v>11179.972</v>
      </c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15" customHeight="1" x14ac:dyDescent="0.25">
      <c r="A15" s="15"/>
      <c r="B15" s="21">
        <v>2</v>
      </c>
      <c r="C15" s="31" t="str">
        <f>IF(2&lt;=Dashboard!$W$5,Chart_Engine!O31,"")</f>
        <v>CodeBuild($)</v>
      </c>
      <c r="D15" s="30"/>
      <c r="E15" s="30"/>
      <c r="F15" s="36">
        <f>IF(2&lt;=Dashboard!$W$5,Chart_Engine!P31,0)</f>
        <v>15455.826999999999</v>
      </c>
      <c r="G15" s="30"/>
      <c r="H15" s="36">
        <f>IF(2&lt;=Dashboard!$W$5,Chart_Engine!Q31,0)</f>
        <v>14258.022000000001</v>
      </c>
      <c r="I15" s="30"/>
      <c r="J15" s="37">
        <f>IF(2&lt;=Dashboard!$W$5,Chart_Engine!R31,0)</f>
        <v>1197.8049999999985</v>
      </c>
      <c r="K15" s="30"/>
      <c r="L15" s="39">
        <f>IF(2&lt;=Dashboard!$W$5,Chart_Engine!S31,0)</f>
        <v>8.4009198470867727E-2</v>
      </c>
      <c r="M15" s="30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 t="str">
        <f>Chart_Engine!O42</f>
        <v>Athena($)</v>
      </c>
      <c r="AC15" s="17">
        <f>Chart_Engine!P42</f>
        <v>11300.897000000001</v>
      </c>
      <c r="AD15" s="17">
        <f>Chart_Engine!Q42</f>
        <v>10423.939</v>
      </c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15" customHeight="1" x14ac:dyDescent="0.25">
      <c r="A16" s="15"/>
      <c r="B16" s="20">
        <v>3</v>
      </c>
      <c r="C16" s="34" t="str">
        <f>IF(3&lt;=Dashboard!$W$5,Chart_Engine!O32,"")</f>
        <v>Chime($)</v>
      </c>
      <c r="D16" s="30"/>
      <c r="E16" s="30"/>
      <c r="F16" s="29">
        <f>IF(3&lt;=Dashboard!$W$5,Chart_Engine!P32,0)</f>
        <v>15384.035</v>
      </c>
      <c r="G16" s="30"/>
      <c r="H16" s="29">
        <f>IF(3&lt;=Dashboard!$W$5,Chart_Engine!Q32,0)</f>
        <v>15782.181</v>
      </c>
      <c r="I16" s="30"/>
      <c r="J16" s="47">
        <f>IF(3&lt;=Dashboard!$W$5,Chart_Engine!R32,0)</f>
        <v>-398.14600000000064</v>
      </c>
      <c r="K16" s="30"/>
      <c r="L16" s="41">
        <f>IF(3&lt;=Dashboard!$W$5,Chart_Engine!S32,0)</f>
        <v>-2.5227565188867155E-2</v>
      </c>
      <c r="M16" s="30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 t="str">
        <f>Chart_Engine!O43</f>
        <v>AppSync($)</v>
      </c>
      <c r="AC16" s="17">
        <f>Chart_Engine!P43</f>
        <v>11093.646000000001</v>
      </c>
      <c r="AD16" s="17">
        <f>Chart_Engine!Q43</f>
        <v>10171.923000000001</v>
      </c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15" customHeight="1" x14ac:dyDescent="0.25">
      <c r="A17" s="15"/>
      <c r="B17" s="21">
        <v>4</v>
      </c>
      <c r="C17" s="31" t="str">
        <f>IF(4&lt;=Dashboard!$W$5,Chart_Engine!O33,"")</f>
        <v>DataSync($)</v>
      </c>
      <c r="D17" s="30"/>
      <c r="E17" s="30"/>
      <c r="F17" s="36">
        <f>IF(4&lt;=Dashboard!$W$5,Chart_Engine!P33,0)</f>
        <v>14365.915999999999</v>
      </c>
      <c r="G17" s="30"/>
      <c r="H17" s="36">
        <f>IF(4&lt;=Dashboard!$W$5,Chart_Engine!Q33,0)</f>
        <v>11053.966</v>
      </c>
      <c r="I17" s="30"/>
      <c r="J17" s="37">
        <f>IF(4&lt;=Dashboard!$W$5,Chart_Engine!R33,0)</f>
        <v>3311.9499999999989</v>
      </c>
      <c r="K17" s="30"/>
      <c r="L17" s="39">
        <f>IF(4&lt;=Dashboard!$W$5,Chart_Engine!S33,0)</f>
        <v>0.29961644535544968</v>
      </c>
      <c r="M17" s="30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 t="str">
        <f>Chart_Engine!O44</f>
        <v>Transfer Family($)</v>
      </c>
      <c r="AC17" s="17">
        <f>Chart_Engine!P44</f>
        <v>11086.39</v>
      </c>
      <c r="AD17" s="17">
        <f>Chart_Engine!Q44</f>
        <v>9604.2080000000005</v>
      </c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ht="15" customHeight="1" x14ac:dyDescent="0.25">
      <c r="A18" s="15"/>
      <c r="B18" s="20">
        <v>5</v>
      </c>
      <c r="C18" s="34" t="str">
        <f>IF(5&lt;=Dashboard!$W$5,Chart_Engine!O34,"")</f>
        <v>CloudFront($)</v>
      </c>
      <c r="D18" s="30"/>
      <c r="E18" s="30"/>
      <c r="F18" s="29">
        <f>IF(5&lt;=Dashboard!$W$5,Chart_Engine!P34,0)</f>
        <v>14222.876</v>
      </c>
      <c r="G18" s="30"/>
      <c r="H18" s="29">
        <f>IF(5&lt;=Dashboard!$W$5,Chart_Engine!Q34,0)</f>
        <v>13285.736999999999</v>
      </c>
      <c r="I18" s="30"/>
      <c r="J18" s="47">
        <f>IF(5&lt;=Dashboard!$W$5,Chart_Engine!R34,0)</f>
        <v>937.13900000000103</v>
      </c>
      <c r="K18" s="30"/>
      <c r="L18" s="41">
        <f>IF(5&lt;=Dashboard!$W$5,Chart_Engine!S34,0)</f>
        <v>7.0537223490123369E-2</v>
      </c>
      <c r="M18" s="30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ht="15" customHeight="1" x14ac:dyDescent="0.25">
      <c r="A19" s="15"/>
      <c r="B19" s="21">
        <v>6</v>
      </c>
      <c r="C19" s="31" t="str">
        <f>IF(6&lt;=Dashboard!$W$5,Chart_Engine!O35,"")</f>
        <v>SageMaker($)</v>
      </c>
      <c r="D19" s="30"/>
      <c r="E19" s="30"/>
      <c r="F19" s="36">
        <f>IF(6&lt;=Dashboard!$W$5,Chart_Engine!P35,0)</f>
        <v>14013.558000000001</v>
      </c>
      <c r="G19" s="30"/>
      <c r="H19" s="36">
        <f>IF(6&lt;=Dashboard!$W$5,Chart_Engine!Q35,0)</f>
        <v>13993.823</v>
      </c>
      <c r="I19" s="30"/>
      <c r="J19" s="37">
        <f>IF(6&lt;=Dashboard!$W$5,Chart_Engine!R35,0)</f>
        <v>19.735000000000582</v>
      </c>
      <c r="K19" s="30"/>
      <c r="L19" s="39">
        <f>IF(6&lt;=Dashboard!$W$5,Chart_Engine!S35,0)</f>
        <v>1.4102650862455944E-3</v>
      </c>
      <c r="M19" s="30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 t="s">
        <v>0</v>
      </c>
      <c r="AC19" s="15" t="s">
        <v>114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ht="15" customHeight="1" x14ac:dyDescent="0.25">
      <c r="A20" s="15"/>
      <c r="B20" s="20">
        <v>7</v>
      </c>
      <c r="C20" s="34" t="str">
        <f>IF(7&lt;=Dashboard!$W$5,Chart_Engine!O36,"")</f>
        <v>GuardDuty($)</v>
      </c>
      <c r="D20" s="30"/>
      <c r="E20" s="30"/>
      <c r="F20" s="29">
        <f>IF(7&lt;=Dashboard!$W$5,Chart_Engine!P36,0)</f>
        <v>13414.013999999999</v>
      </c>
      <c r="G20" s="30"/>
      <c r="H20" s="29">
        <f>IF(7&lt;=Dashboard!$W$5,Chart_Engine!Q36,0)</f>
        <v>13009.142</v>
      </c>
      <c r="I20" s="30"/>
      <c r="J20" s="47">
        <f>IF(7&lt;=Dashboard!$W$5,Chart_Engine!R36,0)</f>
        <v>404.87199999999939</v>
      </c>
      <c r="K20" s="30"/>
      <c r="L20" s="41">
        <f>IF(7&lt;=Dashboard!$W$5,Chart_Engine!S36,0)</f>
        <v>3.1122113971851439E-2</v>
      </c>
      <c r="M20" s="30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6" t="str">
        <f>Chart_Engine!V30</f>
        <v>DataSync($)</v>
      </c>
      <c r="AC20" s="17">
        <f>Chart_Engine!Y30</f>
        <v>3311.9499999999989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ht="15" customHeight="1" x14ac:dyDescent="0.25">
      <c r="A21" s="15"/>
      <c r="B21" s="21">
        <v>8</v>
      </c>
      <c r="C21" s="31" t="str">
        <f>IF(8&lt;=Dashboard!$W$5,Chart_Engine!O37,"")</f>
        <v>WAF($)</v>
      </c>
      <c r="D21" s="30"/>
      <c r="E21" s="30"/>
      <c r="F21" s="36">
        <f>IF(8&lt;=Dashboard!$W$5,Chart_Engine!P37,0)</f>
        <v>12336.252</v>
      </c>
      <c r="G21" s="30"/>
      <c r="H21" s="36">
        <f>IF(8&lt;=Dashboard!$W$5,Chart_Engine!Q37,0)</f>
        <v>11246.776</v>
      </c>
      <c r="I21" s="30"/>
      <c r="J21" s="37">
        <f>IF(8&lt;=Dashboard!$W$5,Chart_Engine!R37,0)</f>
        <v>1089.4760000000006</v>
      </c>
      <c r="K21" s="30"/>
      <c r="L21" s="39">
        <f>IF(8&lt;=Dashboard!$W$5,Chart_Engine!S37,0)</f>
        <v>9.687007192105547E-2</v>
      </c>
      <c r="M21" s="30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 t="str">
        <f>Chart_Engine!V31</f>
        <v>Shield($)</v>
      </c>
      <c r="AC21" s="17">
        <f>Chart_Engine!Y31</f>
        <v>-2320.6149999999998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ht="15" customHeight="1" x14ac:dyDescent="0.25">
      <c r="A22" s="15"/>
      <c r="B22" s="20">
        <v>9</v>
      </c>
      <c r="C22" s="34" t="str">
        <f>IF(9&lt;=Dashboard!$W$5,Chart_Engine!O38,"")</f>
        <v>Transcribe($)</v>
      </c>
      <c r="D22" s="30"/>
      <c r="E22" s="30"/>
      <c r="F22" s="29">
        <f>IF(9&lt;=Dashboard!$W$5,Chart_Engine!P38,0)</f>
        <v>11892.790999999999</v>
      </c>
      <c r="G22" s="30"/>
      <c r="H22" s="29">
        <f>IF(9&lt;=Dashboard!$W$5,Chart_Engine!Q38,0)</f>
        <v>12693.929</v>
      </c>
      <c r="I22" s="30"/>
      <c r="J22" s="47">
        <f>IF(9&lt;=Dashboard!$W$5,Chart_Engine!R38,0)</f>
        <v>-801.13800000000083</v>
      </c>
      <c r="K22" s="30"/>
      <c r="L22" s="41">
        <f>IF(9&lt;=Dashboard!$W$5,Chart_Engine!S38,0)</f>
        <v>-6.3111901760282474E-2</v>
      </c>
      <c r="M22" s="30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 t="str">
        <f>Chart_Engine!V32</f>
        <v>IAM($)</v>
      </c>
      <c r="AC22" s="17">
        <f>Chart_Engine!Y32</f>
        <v>-1951.9530000000013</v>
      </c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ht="15" customHeight="1" x14ac:dyDescent="0.25">
      <c r="A23" s="15"/>
      <c r="B23" s="21">
        <v>10</v>
      </c>
      <c r="C23" s="31" t="str">
        <f>IF(10&lt;=Dashboard!$W$5,Chart_Engine!O39,"")</f>
        <v>API Gateway($)</v>
      </c>
      <c r="D23" s="30"/>
      <c r="E23" s="30"/>
      <c r="F23" s="36">
        <f>IF(10&lt;=Dashboard!$W$5,Chart_Engine!P39,0)</f>
        <v>11724.125</v>
      </c>
      <c r="G23" s="30"/>
      <c r="H23" s="36">
        <f>IF(10&lt;=Dashboard!$W$5,Chart_Engine!Q39,0)</f>
        <v>11062.893</v>
      </c>
      <c r="I23" s="30"/>
      <c r="J23" s="37">
        <f>IF(10&lt;=Dashboard!$W$5,Chart_Engine!R39,0)</f>
        <v>661.23199999999997</v>
      </c>
      <c r="K23" s="30"/>
      <c r="L23" s="39">
        <f>IF(10&lt;=Dashboard!$W$5,Chart_Engine!S39,0)</f>
        <v>5.9770260816949056E-2</v>
      </c>
      <c r="M23" s="30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 t="str">
        <f>Chart_Engine!V33</f>
        <v>CodeDeploy($)</v>
      </c>
      <c r="AC23" s="17">
        <f>Chart_Engine!Y33</f>
        <v>-1887.5470000000005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ht="15" customHeight="1" x14ac:dyDescent="0.25">
      <c r="A24" s="15"/>
      <c r="B24" s="20">
        <v>11</v>
      </c>
      <c r="C24" s="34" t="str">
        <f>IF(11&lt;=Dashboard!$W$5,Chart_Engine!O40,"")</f>
        <v>Translate($)</v>
      </c>
      <c r="D24" s="30"/>
      <c r="E24" s="30"/>
      <c r="F24" s="29">
        <f>IF(11&lt;=Dashboard!$W$5,Chart_Engine!P40,0)</f>
        <v>11660.599</v>
      </c>
      <c r="G24" s="30"/>
      <c r="H24" s="29">
        <f>IF(11&lt;=Dashboard!$W$5,Chart_Engine!Q40,0)</f>
        <v>12706.196</v>
      </c>
      <c r="I24" s="30"/>
      <c r="J24" s="47">
        <f>IF(11&lt;=Dashboard!$W$5,Chart_Engine!R40,0)</f>
        <v>-1045.5969999999998</v>
      </c>
      <c r="K24" s="30"/>
      <c r="L24" s="41">
        <f>IF(11&lt;=Dashboard!$W$5,Chart_Engine!S40,0)</f>
        <v>-8.2290325129566688E-2</v>
      </c>
      <c r="M24" s="30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 t="str">
        <f>Chart_Engine!V34</f>
        <v>CodeCommit($)</v>
      </c>
      <c r="AC24" s="17">
        <f>Chart_Engine!Y34</f>
        <v>-1821.6730000000007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ht="15" customHeight="1" x14ac:dyDescent="0.25">
      <c r="A25" s="15"/>
      <c r="B25" s="21">
        <v>12</v>
      </c>
      <c r="C25" s="31" t="str">
        <f>IF(12&lt;=Dashboard!$W$5,Chart_Engine!O41,"")</f>
        <v>Firehose($)</v>
      </c>
      <c r="D25" s="30"/>
      <c r="E25" s="30"/>
      <c r="F25" s="36">
        <f>IF(12&lt;=Dashboard!$W$5,Chart_Engine!P41,0)</f>
        <v>11568.293</v>
      </c>
      <c r="G25" s="30"/>
      <c r="H25" s="36">
        <f>IF(12&lt;=Dashboard!$W$5,Chart_Engine!Q41,0)</f>
        <v>11179.972</v>
      </c>
      <c r="I25" s="30"/>
      <c r="J25" s="37">
        <f>IF(12&lt;=Dashboard!$W$5,Chart_Engine!R41,0)</f>
        <v>388.32099999999991</v>
      </c>
      <c r="K25" s="30"/>
      <c r="L25" s="39">
        <f>IF(12&lt;=Dashboard!$W$5,Chart_Engine!S41,0)</f>
        <v>3.473362902876679E-2</v>
      </c>
      <c r="M25" s="30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6" t="str">
        <f>Chart_Engine!V35</f>
        <v>Transfer Family($)</v>
      </c>
      <c r="AC25" s="17">
        <f>Chart_Engine!Y35</f>
        <v>1482.1819999999989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ht="15" customHeight="1" x14ac:dyDescent="0.25">
      <c r="A26" s="15"/>
      <c r="B26" s="20">
        <v>13</v>
      </c>
      <c r="C26" s="34" t="str">
        <f>IF(13&lt;=Dashboard!$W$5,Chart_Engine!O42,"")</f>
        <v>Athena($)</v>
      </c>
      <c r="D26" s="30"/>
      <c r="E26" s="30"/>
      <c r="F26" s="29">
        <f>IF(13&lt;=Dashboard!$W$5,Chart_Engine!P42,0)</f>
        <v>11300.897000000001</v>
      </c>
      <c r="G26" s="30"/>
      <c r="H26" s="29">
        <f>IF(13&lt;=Dashboard!$W$5,Chart_Engine!Q42,0)</f>
        <v>10423.939</v>
      </c>
      <c r="I26" s="30"/>
      <c r="J26" s="47">
        <f>IF(13&lt;=Dashboard!$W$5,Chart_Engine!R42,0)</f>
        <v>876.95800000000054</v>
      </c>
      <c r="K26" s="30"/>
      <c r="L26" s="41">
        <f>IF(13&lt;=Dashboard!$W$5,Chart_Engine!S42,0)</f>
        <v>8.4129233680281565E-2</v>
      </c>
      <c r="M26" s="30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6" t="str">
        <f>Chart_Engine!V36</f>
        <v>Lambda($)</v>
      </c>
      <c r="AC26" s="17">
        <f>Chart_Engine!Y36</f>
        <v>1467.0849999999991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ht="15" customHeight="1" x14ac:dyDescent="0.25">
      <c r="A27" s="15"/>
      <c r="B27" s="21">
        <v>14</v>
      </c>
      <c r="C27" s="31" t="str">
        <f>IF(14&lt;=Dashboard!$W$5,Chart_Engine!O43,"")</f>
        <v>AppSync($)</v>
      </c>
      <c r="D27" s="30"/>
      <c r="E27" s="30"/>
      <c r="F27" s="36">
        <f>IF(14&lt;=Dashboard!$W$5,Chart_Engine!P43,0)</f>
        <v>11093.646000000001</v>
      </c>
      <c r="G27" s="30"/>
      <c r="H27" s="36">
        <f>IF(14&lt;=Dashboard!$W$5,Chart_Engine!Q43,0)</f>
        <v>10171.923000000001</v>
      </c>
      <c r="I27" s="30"/>
      <c r="J27" s="37">
        <f>IF(14&lt;=Dashboard!$W$5,Chart_Engine!R43,0)</f>
        <v>921.72299999999996</v>
      </c>
      <c r="K27" s="30"/>
      <c r="L27" s="39">
        <f>IF(14&lt;=Dashboard!$W$5,Chart_Engine!S43,0)</f>
        <v>9.0614429542968417E-2</v>
      </c>
      <c r="M27" s="30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6" t="str">
        <f>Chart_Engine!V37</f>
        <v>Direct Connect($)</v>
      </c>
      <c r="AC27" s="17">
        <f>Chart_Engine!Y37</f>
        <v>1441.1099999999997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ht="15" customHeight="1" x14ac:dyDescent="0.25">
      <c r="A28" s="15"/>
      <c r="B28" s="20">
        <v>15</v>
      </c>
      <c r="C28" s="34" t="str">
        <f>IF(15&lt;=Dashboard!$W$5,Chart_Engine!O44,"")</f>
        <v>Transfer Family($)</v>
      </c>
      <c r="D28" s="30"/>
      <c r="E28" s="30"/>
      <c r="F28" s="29">
        <f>IF(15&lt;=Dashboard!$W$5,Chart_Engine!P44,0)</f>
        <v>11086.39</v>
      </c>
      <c r="G28" s="30"/>
      <c r="H28" s="29">
        <f>IF(15&lt;=Dashboard!$W$5,Chart_Engine!Q44,0)</f>
        <v>9604.2080000000005</v>
      </c>
      <c r="I28" s="30"/>
      <c r="J28" s="47">
        <f>IF(15&lt;=Dashboard!$W$5,Chart_Engine!R44,0)</f>
        <v>1482.1819999999989</v>
      </c>
      <c r="K28" s="30"/>
      <c r="L28" s="41">
        <f>IF(15&lt;=Dashboard!$W$5,Chart_Engine!S44,0)</f>
        <v>0.15432631196658786</v>
      </c>
      <c r="M28" s="30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6" t="str">
        <f>Chart_Engine!V38</f>
        <v>CodeBuild($)</v>
      </c>
      <c r="AC28" s="17">
        <f>Chart_Engine!Y38</f>
        <v>1197.8049999999985</v>
      </c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ht="21.75" customHeight="1" x14ac:dyDescent="0.25">
      <c r="A29" s="15"/>
      <c r="B29" s="57" t="s">
        <v>115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15"/>
      <c r="AA29" s="15"/>
      <c r="AB29" s="16" t="str">
        <f>Chart_Engine!V39</f>
        <v>WAF($)</v>
      </c>
      <c r="AC29" s="17">
        <f>Chart_Engine!Y39</f>
        <v>1089.4760000000006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ht="19.5" customHeight="1" x14ac:dyDescent="0.25">
      <c r="A30" s="15"/>
      <c r="B30" s="19" t="s">
        <v>109</v>
      </c>
      <c r="C30" s="43" t="s">
        <v>0</v>
      </c>
      <c r="D30" s="30"/>
      <c r="E30" s="30"/>
      <c r="F30" s="43" t="s">
        <v>110</v>
      </c>
      <c r="G30" s="30"/>
      <c r="H30" s="43" t="s">
        <v>111</v>
      </c>
      <c r="I30" s="30"/>
      <c r="J30" s="43" t="s">
        <v>112</v>
      </c>
      <c r="K30" s="30"/>
      <c r="L30" s="43" t="s">
        <v>113</v>
      </c>
      <c r="M30" s="30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6" t="str">
        <f>Chart_Engine!V40</f>
        <v>Translate($)</v>
      </c>
      <c r="AC30" s="17">
        <f>Chart_Engine!Y40</f>
        <v>-1045.5969999999998</v>
      </c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1:42" ht="15" customHeight="1" x14ac:dyDescent="0.25">
      <c r="A31" s="15"/>
      <c r="B31" s="21">
        <v>1</v>
      </c>
      <c r="C31" s="31" t="str">
        <f>IF(1&lt;=Dashboard!$W$5,Chart_Engine!V30,"")</f>
        <v>DataSync($)</v>
      </c>
      <c r="D31" s="30"/>
      <c r="E31" s="30"/>
      <c r="F31" s="36">
        <f>IF(1&lt;=Dashboard!$W$5,Chart_Engine!W30,0)</f>
        <v>14365.915999999999</v>
      </c>
      <c r="G31" s="30"/>
      <c r="H31" s="36">
        <f>IF(1&lt;=Dashboard!$W$5,Chart_Engine!X30,0)</f>
        <v>11053.966</v>
      </c>
      <c r="I31" s="30"/>
      <c r="J31" s="37">
        <f>IF(1&lt;=Dashboard!$W$5,Chart_Engine!Y30,0)</f>
        <v>3311.9499999999989</v>
      </c>
      <c r="K31" s="30"/>
      <c r="L31" s="39">
        <f>IF(1&lt;=Dashboard!$W$5,Chart_Engine!Z30,0)</f>
        <v>0.29961644535544968</v>
      </c>
      <c r="M31" s="30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6" t="str">
        <f>Chart_Engine!V41</f>
        <v>Connect($)</v>
      </c>
      <c r="AC31" s="17">
        <f>Chart_Engine!Y41</f>
        <v>-1006.7789999999995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ht="15" customHeight="1" x14ac:dyDescent="0.25">
      <c r="A32" s="15"/>
      <c r="B32" s="20">
        <v>2</v>
      </c>
      <c r="C32" s="34" t="str">
        <f>IF(2&lt;=Dashboard!$W$5,Chart_Engine!V31,"")</f>
        <v>Shield($)</v>
      </c>
      <c r="D32" s="30"/>
      <c r="E32" s="30"/>
      <c r="F32" s="29">
        <f>IF(2&lt;=Dashboard!$W$5,Chart_Engine!W31,0)</f>
        <v>8275.2450000000008</v>
      </c>
      <c r="G32" s="30"/>
      <c r="H32" s="29">
        <f>IF(2&lt;=Dashboard!$W$5,Chart_Engine!X31,0)</f>
        <v>10595.86</v>
      </c>
      <c r="I32" s="30"/>
      <c r="J32" s="47">
        <f>IF(2&lt;=Dashboard!$W$5,Chart_Engine!Y31,0)</f>
        <v>-2320.6149999999998</v>
      </c>
      <c r="K32" s="30"/>
      <c r="L32" s="41">
        <f>IF(2&lt;=Dashboard!$W$5,Chart_Engine!Z31,0)</f>
        <v>-0.21901148184290842</v>
      </c>
      <c r="M32" s="30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6" t="str">
        <f>Chart_Engine!V42</f>
        <v>CloudFront($)</v>
      </c>
      <c r="AC32" s="17">
        <f>Chart_Engine!Y42</f>
        <v>937.13900000000103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ht="15" customHeight="1" x14ac:dyDescent="0.25">
      <c r="A33" s="15"/>
      <c r="B33" s="21">
        <v>3</v>
      </c>
      <c r="C33" s="31" t="str">
        <f>IF(3&lt;=Dashboard!$W$5,Chart_Engine!V32,"")</f>
        <v>IAM($)</v>
      </c>
      <c r="D33" s="30"/>
      <c r="E33" s="30"/>
      <c r="F33" s="36">
        <f>IF(3&lt;=Dashboard!$W$5,Chart_Engine!W32,0)</f>
        <v>8743.7279999999992</v>
      </c>
      <c r="G33" s="30"/>
      <c r="H33" s="36">
        <f>IF(3&lt;=Dashboard!$W$5,Chart_Engine!X32,0)</f>
        <v>10695.681</v>
      </c>
      <c r="I33" s="30"/>
      <c r="J33" s="37">
        <f>IF(3&lt;=Dashboard!$W$5,Chart_Engine!Y32,0)</f>
        <v>-1951.9530000000013</v>
      </c>
      <c r="K33" s="30"/>
      <c r="L33" s="39">
        <f>IF(3&lt;=Dashboard!$W$5,Chart_Engine!Z32,0)</f>
        <v>-0.18249917887416436</v>
      </c>
      <c r="M33" s="30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6" t="str">
        <f>Chart_Engine!V43</f>
        <v>AppSync($)</v>
      </c>
      <c r="AC33" s="17">
        <f>Chart_Engine!Y43</f>
        <v>921.72299999999996</v>
      </c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ht="15" customHeight="1" x14ac:dyDescent="0.25">
      <c r="A34" s="15"/>
      <c r="B34" s="20">
        <v>4</v>
      </c>
      <c r="C34" s="34" t="str">
        <f>IF(4&lt;=Dashboard!$W$5,Chart_Engine!V33,"")</f>
        <v>CodeDeploy($)</v>
      </c>
      <c r="D34" s="30"/>
      <c r="E34" s="30"/>
      <c r="F34" s="29">
        <f>IF(4&lt;=Dashboard!$W$5,Chart_Engine!W33,0)</f>
        <v>9030.6959999999999</v>
      </c>
      <c r="G34" s="30"/>
      <c r="H34" s="29">
        <f>IF(4&lt;=Dashboard!$W$5,Chart_Engine!X33,0)</f>
        <v>10918.243</v>
      </c>
      <c r="I34" s="30"/>
      <c r="J34" s="47">
        <f>IF(4&lt;=Dashboard!$W$5,Chart_Engine!Y33,0)</f>
        <v>-1887.5470000000005</v>
      </c>
      <c r="K34" s="30"/>
      <c r="L34" s="41">
        <f>IF(4&lt;=Dashboard!$W$5,Chart_Engine!Z33,0)</f>
        <v>-0.17288010534295678</v>
      </c>
      <c r="M34" s="30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6" t="str">
        <f>Chart_Engine!V44</f>
        <v>Athena($)</v>
      </c>
      <c r="AC34" s="17">
        <f>Chart_Engine!Y44</f>
        <v>876.95800000000054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ht="15" customHeight="1" x14ac:dyDescent="0.25">
      <c r="A35" s="15"/>
      <c r="B35" s="21">
        <v>5</v>
      </c>
      <c r="C35" s="31" t="str">
        <f>IF(5&lt;=Dashboard!$W$5,Chart_Engine!V34,"")</f>
        <v>CodeCommit($)</v>
      </c>
      <c r="D35" s="30"/>
      <c r="E35" s="30"/>
      <c r="F35" s="36">
        <f>IF(5&lt;=Dashboard!$W$5,Chart_Engine!W34,0)</f>
        <v>8025.1170000000002</v>
      </c>
      <c r="G35" s="30"/>
      <c r="H35" s="36">
        <f>IF(5&lt;=Dashboard!$W$5,Chart_Engine!X34,0)</f>
        <v>9846.7900000000009</v>
      </c>
      <c r="I35" s="30"/>
      <c r="J35" s="37">
        <f>IF(5&lt;=Dashboard!$W$5,Chart_Engine!Y34,0)</f>
        <v>-1821.6730000000007</v>
      </c>
      <c r="K35" s="30"/>
      <c r="L35" s="39">
        <f>IF(5&lt;=Dashboard!$W$5,Chart_Engine!Z34,0)</f>
        <v>-0.18500171121756437</v>
      </c>
      <c r="M35" s="30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ht="15" customHeight="1" x14ac:dyDescent="0.25">
      <c r="A36" s="15"/>
      <c r="B36" s="20">
        <v>6</v>
      </c>
      <c r="C36" s="34" t="str">
        <f>IF(6&lt;=Dashboard!$W$5,Chart_Engine!V35,"")</f>
        <v>Transfer Family($)</v>
      </c>
      <c r="D36" s="30"/>
      <c r="E36" s="30"/>
      <c r="F36" s="29">
        <f>IF(6&lt;=Dashboard!$W$5,Chart_Engine!W35,0)</f>
        <v>11086.39</v>
      </c>
      <c r="G36" s="30"/>
      <c r="H36" s="29">
        <f>IF(6&lt;=Dashboard!$W$5,Chart_Engine!X35,0)</f>
        <v>9604.2080000000005</v>
      </c>
      <c r="I36" s="30"/>
      <c r="J36" s="47">
        <f>IF(6&lt;=Dashboard!$W$5,Chart_Engine!Y35,0)</f>
        <v>1482.1819999999989</v>
      </c>
      <c r="K36" s="30"/>
      <c r="L36" s="41">
        <f>IF(6&lt;=Dashboard!$W$5,Chart_Engine!Z35,0)</f>
        <v>0.15432631196658786</v>
      </c>
      <c r="M36" s="30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 t="s">
        <v>71</v>
      </c>
      <c r="AC36" s="15" t="s">
        <v>96</v>
      </c>
      <c r="AD36" s="15" t="s">
        <v>116</v>
      </c>
      <c r="AE36" s="15" t="s">
        <v>117</v>
      </c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ht="15" customHeight="1" x14ac:dyDescent="0.25">
      <c r="A37" s="15"/>
      <c r="B37" s="21">
        <v>7</v>
      </c>
      <c r="C37" s="31" t="str">
        <f>IF(7&lt;=Dashboard!$W$5,Chart_Engine!V36,"")</f>
        <v>Lambda($)</v>
      </c>
      <c r="D37" s="30"/>
      <c r="E37" s="30"/>
      <c r="F37" s="36">
        <f>IF(7&lt;=Dashboard!$W$5,Chart_Engine!W36,0)</f>
        <v>10775.308999999999</v>
      </c>
      <c r="G37" s="30"/>
      <c r="H37" s="36">
        <f>IF(7&lt;=Dashboard!$W$5,Chart_Engine!X36,0)</f>
        <v>9308.2240000000002</v>
      </c>
      <c r="I37" s="30"/>
      <c r="J37" s="37">
        <f>IF(7&lt;=Dashboard!$W$5,Chart_Engine!Y36,0)</f>
        <v>1467.0849999999991</v>
      </c>
      <c r="K37" s="30"/>
      <c r="L37" s="39">
        <f>IF(7&lt;=Dashboard!$W$5,Chart_Engine!Z36,0)</f>
        <v>0.15761169907385117</v>
      </c>
      <c r="M37" s="30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6" t="str">
        <f>Chart_Engine!AB30</f>
        <v>Aug-25</v>
      </c>
      <c r="AC37" s="17">
        <f>Chart_Engine!AC30</f>
        <v>474371.39699999982</v>
      </c>
      <c r="AD37" s="17">
        <f>Chart_Engine!AD30</f>
        <v>447795.00400000019</v>
      </c>
      <c r="AE37" s="17">
        <f>Chart_Engine!AE30</f>
        <v>922166.40100000007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ht="15" customHeight="1" x14ac:dyDescent="0.25">
      <c r="A38" s="15"/>
      <c r="B38" s="20">
        <v>8</v>
      </c>
      <c r="C38" s="34" t="str">
        <f>IF(8&lt;=Dashboard!$W$5,Chart_Engine!V37,"")</f>
        <v>Direct Connect($)</v>
      </c>
      <c r="D38" s="30"/>
      <c r="E38" s="30"/>
      <c r="F38" s="29">
        <f>IF(8&lt;=Dashboard!$W$5,Chart_Engine!W37,0)</f>
        <v>9587.607</v>
      </c>
      <c r="G38" s="30"/>
      <c r="H38" s="29">
        <f>IF(8&lt;=Dashboard!$W$5,Chart_Engine!X37,0)</f>
        <v>8146.4970000000003</v>
      </c>
      <c r="I38" s="30"/>
      <c r="J38" s="47">
        <f>IF(8&lt;=Dashboard!$W$5,Chart_Engine!Y37,0)</f>
        <v>1441.1099999999997</v>
      </c>
      <c r="K38" s="30"/>
      <c r="L38" s="41">
        <f>IF(8&lt;=Dashboard!$W$5,Chart_Engine!Z37,0)</f>
        <v>0.17689934704450264</v>
      </c>
      <c r="M38" s="30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6" t="str">
        <f>Chart_Engine!AB31</f>
        <v>Sep-25</v>
      </c>
      <c r="AC38" s="17">
        <f>Chart_Engine!AC31</f>
        <v>480182.00899999985</v>
      </c>
      <c r="AD38" s="17">
        <f>Chart_Engine!AD31</f>
        <v>433250.80900000012</v>
      </c>
      <c r="AE38" s="17">
        <f>Chart_Engine!AE31</f>
        <v>913432.81799999997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ht="15" customHeight="1" x14ac:dyDescent="0.25">
      <c r="A39" s="15"/>
      <c r="B39" s="21">
        <v>9</v>
      </c>
      <c r="C39" s="31" t="str">
        <f>IF(9&lt;=Dashboard!$W$5,Chart_Engine!V38,"")</f>
        <v>CodeBuild($)</v>
      </c>
      <c r="D39" s="30"/>
      <c r="E39" s="30"/>
      <c r="F39" s="36">
        <f>IF(9&lt;=Dashboard!$W$5,Chart_Engine!W38,0)</f>
        <v>15455.826999999999</v>
      </c>
      <c r="G39" s="30"/>
      <c r="H39" s="36">
        <f>IF(9&lt;=Dashboard!$W$5,Chart_Engine!X38,0)</f>
        <v>14258.022000000001</v>
      </c>
      <c r="I39" s="30"/>
      <c r="J39" s="37">
        <f>IF(9&lt;=Dashboard!$W$5,Chart_Engine!Y38,0)</f>
        <v>1197.8049999999985</v>
      </c>
      <c r="K39" s="30"/>
      <c r="L39" s="39">
        <f>IF(9&lt;=Dashboard!$W$5,Chart_Engine!Z38,0)</f>
        <v>8.4009198470867727E-2</v>
      </c>
      <c r="M39" s="30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6" t="str">
        <f>Chart_Engine!AB32</f>
        <v>Oct-25</v>
      </c>
      <c r="AC39" s="17">
        <f>Chart_Engine!AC32</f>
        <v>483330.51899999997</v>
      </c>
      <c r="AD39" s="17">
        <f>Chart_Engine!AD32</f>
        <v>441339.15800000017</v>
      </c>
      <c r="AE39" s="17">
        <f>Chart_Engine!AE32</f>
        <v>924669.67700000014</v>
      </c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ht="15" customHeight="1" x14ac:dyDescent="0.25">
      <c r="A40" s="15"/>
      <c r="B40" s="20">
        <v>10</v>
      </c>
      <c r="C40" s="34" t="str">
        <f>IF(10&lt;=Dashboard!$W$5,Chart_Engine!V39,"")</f>
        <v>WAF($)</v>
      </c>
      <c r="D40" s="30"/>
      <c r="E40" s="30"/>
      <c r="F40" s="29">
        <f>IF(10&lt;=Dashboard!$W$5,Chart_Engine!W39,0)</f>
        <v>12336.252</v>
      </c>
      <c r="G40" s="30"/>
      <c r="H40" s="29">
        <f>IF(10&lt;=Dashboard!$W$5,Chart_Engine!X39,0)</f>
        <v>11246.776</v>
      </c>
      <c r="I40" s="30"/>
      <c r="J40" s="47">
        <f>IF(10&lt;=Dashboard!$W$5,Chart_Engine!Y39,0)</f>
        <v>1089.4760000000006</v>
      </c>
      <c r="K40" s="30"/>
      <c r="L40" s="41">
        <f>IF(10&lt;=Dashboard!$W$5,Chart_Engine!Z39,0)</f>
        <v>9.687007192105547E-2</v>
      </c>
      <c r="M40" s="30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6" t="str">
        <f>Chart_Engine!AB33</f>
        <v>Nov-25</v>
      </c>
      <c r="AC40" s="17">
        <f>Chart_Engine!AC33</f>
        <v>477796.98200000002</v>
      </c>
      <c r="AD40" s="17">
        <f>Chart_Engine!AD33</f>
        <v>454138.27400000003</v>
      </c>
      <c r="AE40" s="17">
        <f>Chart_Engine!AE33</f>
        <v>931935.25600000005</v>
      </c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1" spans="1:42" ht="15" customHeight="1" x14ac:dyDescent="0.25">
      <c r="A41" s="15"/>
      <c r="B41" s="21">
        <v>11</v>
      </c>
      <c r="C41" s="31" t="str">
        <f>IF(11&lt;=Dashboard!$W$5,Chart_Engine!V40,"")</f>
        <v>Translate($)</v>
      </c>
      <c r="D41" s="30"/>
      <c r="E41" s="30"/>
      <c r="F41" s="36">
        <f>IF(11&lt;=Dashboard!$W$5,Chart_Engine!W40,0)</f>
        <v>11660.599</v>
      </c>
      <c r="G41" s="30"/>
      <c r="H41" s="36">
        <f>IF(11&lt;=Dashboard!$W$5,Chart_Engine!X40,0)</f>
        <v>12706.196</v>
      </c>
      <c r="I41" s="30"/>
      <c r="J41" s="37">
        <f>IF(11&lt;=Dashboard!$W$5,Chart_Engine!Y40,0)</f>
        <v>-1045.5969999999998</v>
      </c>
      <c r="K41" s="30"/>
      <c r="L41" s="39">
        <f>IF(11&lt;=Dashboard!$W$5,Chart_Engine!Z40,0)</f>
        <v>-8.2290325129566688E-2</v>
      </c>
      <c r="M41" s="30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6" t="str">
        <f>Chart_Engine!AB34</f>
        <v>Dec-25</v>
      </c>
      <c r="AC41" s="17">
        <f>Chart_Engine!AC34</f>
        <v>474735.20399999991</v>
      </c>
      <c r="AD41" s="17">
        <f>Chart_Engine!AD34</f>
        <v>449403.33</v>
      </c>
      <c r="AE41" s="17">
        <f>Chart_Engine!AE34</f>
        <v>924138.53399999999</v>
      </c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</row>
    <row r="42" spans="1:42" ht="15" customHeight="1" x14ac:dyDescent="0.25">
      <c r="A42" s="15"/>
      <c r="B42" s="20">
        <v>12</v>
      </c>
      <c r="C42" s="34" t="str">
        <f>IF(12&lt;=Dashboard!$W$5,Chart_Engine!V41,"")</f>
        <v>Connect($)</v>
      </c>
      <c r="D42" s="30"/>
      <c r="E42" s="30"/>
      <c r="F42" s="29">
        <f>IF(12&lt;=Dashboard!$W$5,Chart_Engine!W41,0)</f>
        <v>7692.0950000000003</v>
      </c>
      <c r="G42" s="30"/>
      <c r="H42" s="29">
        <f>IF(12&lt;=Dashboard!$W$5,Chart_Engine!X41,0)</f>
        <v>8698.8739999999998</v>
      </c>
      <c r="I42" s="30"/>
      <c r="J42" s="47">
        <f>IF(12&lt;=Dashboard!$W$5,Chart_Engine!Y41,0)</f>
        <v>-1006.7789999999995</v>
      </c>
      <c r="K42" s="30"/>
      <c r="L42" s="41">
        <f>IF(12&lt;=Dashboard!$W$5,Chart_Engine!Z41,0)</f>
        <v>-0.11573670339402543</v>
      </c>
      <c r="M42" s="30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6" t="str">
        <f>Chart_Engine!AB35</f>
        <v>Jan-26</v>
      </c>
      <c r="AC42" s="17">
        <f>Chart_Engine!AC35</f>
        <v>472288.4980000002</v>
      </c>
      <c r="AD42" s="17">
        <f>Chart_Engine!AD35</f>
        <v>449777.49700000003</v>
      </c>
      <c r="AE42" s="17">
        <f>Chart_Engine!AE35</f>
        <v>922065.99500000023</v>
      </c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</row>
    <row r="43" spans="1:42" ht="15" customHeight="1" x14ac:dyDescent="0.25">
      <c r="A43" s="15"/>
      <c r="B43" s="21">
        <v>13</v>
      </c>
      <c r="C43" s="31" t="str">
        <f>IF(13&lt;=Dashboard!$W$5,Chart_Engine!V42,"")</f>
        <v>CloudFront($)</v>
      </c>
      <c r="D43" s="30"/>
      <c r="E43" s="30"/>
      <c r="F43" s="36">
        <f>IF(13&lt;=Dashboard!$W$5,Chart_Engine!W42,0)</f>
        <v>14222.876</v>
      </c>
      <c r="G43" s="30"/>
      <c r="H43" s="36">
        <f>IF(13&lt;=Dashboard!$W$5,Chart_Engine!X42,0)</f>
        <v>13285.736999999999</v>
      </c>
      <c r="I43" s="30"/>
      <c r="J43" s="37">
        <f>IF(13&lt;=Dashboard!$W$5,Chart_Engine!Y42,0)</f>
        <v>937.13900000000103</v>
      </c>
      <c r="K43" s="30"/>
      <c r="L43" s="39">
        <f>IF(13&lt;=Dashboard!$W$5,Chart_Engine!Z42,0)</f>
        <v>7.0537223490123369E-2</v>
      </c>
      <c r="M43" s="30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</row>
    <row r="44" spans="1:42" ht="15" customHeight="1" x14ac:dyDescent="0.25">
      <c r="A44" s="15"/>
      <c r="B44" s="20">
        <v>14</v>
      </c>
      <c r="C44" s="34" t="str">
        <f>IF(14&lt;=Dashboard!$W$5,Chart_Engine!V43,"")</f>
        <v>AppSync($)</v>
      </c>
      <c r="D44" s="30"/>
      <c r="E44" s="30"/>
      <c r="F44" s="29">
        <f>IF(14&lt;=Dashboard!$W$5,Chart_Engine!W43,0)</f>
        <v>11093.646000000001</v>
      </c>
      <c r="G44" s="30"/>
      <c r="H44" s="29">
        <f>IF(14&lt;=Dashboard!$W$5,Chart_Engine!X43,0)</f>
        <v>10171.923000000001</v>
      </c>
      <c r="I44" s="30"/>
      <c r="J44" s="47">
        <f>IF(14&lt;=Dashboard!$W$5,Chart_Engine!Y43,0)</f>
        <v>921.72299999999996</v>
      </c>
      <c r="K44" s="30"/>
      <c r="L44" s="41">
        <f>IF(14&lt;=Dashboard!$W$5,Chart_Engine!Z43,0)</f>
        <v>9.0614429542968417E-2</v>
      </c>
      <c r="M44" s="30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 t="s">
        <v>0</v>
      </c>
      <c r="AC44" s="15" t="s">
        <v>88</v>
      </c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</row>
    <row r="45" spans="1:42" ht="15" customHeight="1" x14ac:dyDescent="0.25">
      <c r="A45" s="15"/>
      <c r="B45" s="21">
        <v>15</v>
      </c>
      <c r="C45" s="31" t="str">
        <f>IF(15&lt;=Dashboard!$W$5,Chart_Engine!V44,"")</f>
        <v>Athena($)</v>
      </c>
      <c r="D45" s="30"/>
      <c r="E45" s="30"/>
      <c r="F45" s="36">
        <f>IF(15&lt;=Dashboard!$W$5,Chart_Engine!W44,0)</f>
        <v>11300.897000000001</v>
      </c>
      <c r="G45" s="30"/>
      <c r="H45" s="36">
        <f>IF(15&lt;=Dashboard!$W$5,Chart_Engine!X44,0)</f>
        <v>10423.939</v>
      </c>
      <c r="I45" s="30"/>
      <c r="J45" s="37">
        <f>IF(15&lt;=Dashboard!$W$5,Chart_Engine!Y44,0)</f>
        <v>876.95800000000054</v>
      </c>
      <c r="K45" s="30"/>
      <c r="L45" s="39">
        <f>IF(15&lt;=Dashboard!$W$5,Chart_Engine!Z44,0)</f>
        <v>8.4129233680281565E-2</v>
      </c>
      <c r="M45" s="30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6" t="str">
        <f>Chart_Engine!AG30</f>
        <v>Batch($)</v>
      </c>
      <c r="AC45" s="17">
        <f>Chart_Engine!AH30</f>
        <v>15512.514999999999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</row>
    <row r="46" spans="1:42" ht="21.75" customHeight="1" x14ac:dyDescent="0.25">
      <c r="A46" s="15"/>
      <c r="B46" s="58" t="s">
        <v>118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15"/>
      <c r="AA46" s="15"/>
      <c r="AB46" s="16" t="str">
        <f>Chart_Engine!AG31</f>
        <v>CodeBuild($)</v>
      </c>
      <c r="AC46" s="17">
        <f>Chart_Engine!AH31</f>
        <v>15455.826999999999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</row>
    <row r="47" spans="1:42" ht="19.5" customHeight="1" x14ac:dyDescent="0.25">
      <c r="A47" s="15"/>
      <c r="B47" s="43" t="s">
        <v>71</v>
      </c>
      <c r="C47" s="30"/>
      <c r="D47" s="43" t="s">
        <v>119</v>
      </c>
      <c r="E47" s="30"/>
      <c r="F47" s="43" t="s">
        <v>120</v>
      </c>
      <c r="G47" s="30"/>
      <c r="H47" s="43" t="s">
        <v>121</v>
      </c>
      <c r="I47" s="30"/>
      <c r="J47" s="43" t="s">
        <v>122</v>
      </c>
      <c r="K47" s="30"/>
      <c r="L47" s="43" t="s">
        <v>123</v>
      </c>
      <c r="M47" s="30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6" t="str">
        <f>Chart_Engine!AG32</f>
        <v>Chime($)</v>
      </c>
      <c r="AC47" s="17">
        <f>Chart_Engine!AH32</f>
        <v>15384.035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</row>
    <row r="48" spans="1:42" ht="15.75" customHeight="1" x14ac:dyDescent="0.25">
      <c r="A48" s="15"/>
      <c r="B48" s="50" t="str">
        <f>Chart_Engine!AB30</f>
        <v>Aug-25</v>
      </c>
      <c r="C48" s="30"/>
      <c r="D48" s="29">
        <f>Chart_Engine!AC30</f>
        <v>474371.39699999982</v>
      </c>
      <c r="E48" s="30"/>
      <c r="F48" s="29">
        <f>Chart_Engine!AD30</f>
        <v>447795.00400000019</v>
      </c>
      <c r="G48" s="30"/>
      <c r="H48" s="29">
        <f>Chart_Engine!AE30</f>
        <v>922166.40100000007</v>
      </c>
      <c r="I48" s="30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6" t="str">
        <f>Chart_Engine!AG33</f>
        <v>DataSync($)</v>
      </c>
      <c r="AC48" s="17">
        <f>Chart_Engine!AH33</f>
        <v>14365.915999999999</v>
      </c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</row>
    <row r="49" spans="1:42" ht="15.75" customHeight="1" x14ac:dyDescent="0.25">
      <c r="A49" s="15"/>
      <c r="B49" s="42" t="str">
        <f>Chart_Engine!AB31</f>
        <v>Sep-25</v>
      </c>
      <c r="C49" s="30"/>
      <c r="D49" s="36">
        <f>Chart_Engine!AC31</f>
        <v>480182.00899999985</v>
      </c>
      <c r="E49" s="30"/>
      <c r="F49" s="36">
        <f>Chart_Engine!AD31</f>
        <v>433250.80900000012</v>
      </c>
      <c r="G49" s="30"/>
      <c r="H49" s="36">
        <f>Chart_Engine!AE31</f>
        <v>913432.81799999997</v>
      </c>
      <c r="I49" s="30"/>
      <c r="J49" s="39">
        <f>IFERROR((Chart_Engine!AC31-Chart_Engine!AC30)/Chart_Engine!AC30,0)</f>
        <v>1.2249077488118503E-2</v>
      </c>
      <c r="K49" s="30"/>
      <c r="L49" s="39">
        <f>IFERROR((Chart_Engine!AD31-Chart_Engine!AD30)/Chart_Engine!AD30,0)</f>
        <v>-3.2479583001332593E-2</v>
      </c>
      <c r="M49" s="30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6" t="str">
        <f>Chart_Engine!AG34</f>
        <v>CloudFront($)</v>
      </c>
      <c r="AC49" s="17">
        <f>Chart_Engine!AH34</f>
        <v>14222.876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</row>
    <row r="50" spans="1:42" ht="15.75" customHeight="1" x14ac:dyDescent="0.25">
      <c r="A50" s="15"/>
      <c r="B50" s="50" t="str">
        <f>Chart_Engine!AB32</f>
        <v>Oct-25</v>
      </c>
      <c r="C50" s="30"/>
      <c r="D50" s="29">
        <f>Chart_Engine!AC32</f>
        <v>483330.51899999997</v>
      </c>
      <c r="E50" s="30"/>
      <c r="F50" s="29">
        <f>Chart_Engine!AD32</f>
        <v>441339.15800000017</v>
      </c>
      <c r="G50" s="30"/>
      <c r="H50" s="29">
        <f>Chart_Engine!AE32</f>
        <v>924669.67700000014</v>
      </c>
      <c r="I50" s="30"/>
      <c r="J50" s="41">
        <f>IFERROR((Chart_Engine!AC32-Chart_Engine!AC31)/Chart_Engine!AC31,0)</f>
        <v>6.5569095488542698E-3</v>
      </c>
      <c r="K50" s="30"/>
      <c r="L50" s="41">
        <f>IFERROR((Chart_Engine!AD32-Chart_Engine!AD31)/Chart_Engine!AD31,0)</f>
        <v>1.866897610340075E-2</v>
      </c>
      <c r="M50" s="30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6" t="str">
        <f>Chart_Engine!AG35</f>
        <v>SageMaker($)</v>
      </c>
      <c r="AC50" s="17">
        <f>Chart_Engine!AH35</f>
        <v>14013.558000000001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</row>
    <row r="51" spans="1:42" ht="15.75" customHeight="1" x14ac:dyDescent="0.25">
      <c r="A51" s="15"/>
      <c r="B51" s="42" t="str">
        <f>Chart_Engine!AB33</f>
        <v>Nov-25</v>
      </c>
      <c r="C51" s="30"/>
      <c r="D51" s="36">
        <f>Chart_Engine!AC33</f>
        <v>477796.98200000002</v>
      </c>
      <c r="E51" s="30"/>
      <c r="F51" s="36">
        <f>Chart_Engine!AD33</f>
        <v>454138.27400000003</v>
      </c>
      <c r="G51" s="30"/>
      <c r="H51" s="36">
        <f>Chart_Engine!AE33</f>
        <v>931935.25600000005</v>
      </c>
      <c r="I51" s="30"/>
      <c r="J51" s="39">
        <f>IFERROR((Chart_Engine!AC33-Chart_Engine!AC32)/Chart_Engine!AC32,0)</f>
        <v>-1.1448763904767937E-2</v>
      </c>
      <c r="K51" s="30"/>
      <c r="L51" s="39">
        <f>IFERROR((Chart_Engine!AD33-Chart_Engine!AD32)/Chart_Engine!AD32,0)</f>
        <v>2.9000635379831531E-2</v>
      </c>
      <c r="M51" s="30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6" t="str">
        <f>Chart_Engine!AG36</f>
        <v>GuardDuty($)</v>
      </c>
      <c r="AC51" s="17">
        <f>Chart_Engine!AH36</f>
        <v>13414.013999999999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</row>
    <row r="52" spans="1:42" ht="15.75" customHeight="1" x14ac:dyDescent="0.25">
      <c r="A52" s="15"/>
      <c r="B52" s="50" t="str">
        <f>Chart_Engine!AB34</f>
        <v>Dec-25</v>
      </c>
      <c r="C52" s="30"/>
      <c r="D52" s="29">
        <f>Chart_Engine!AC34</f>
        <v>474735.20399999991</v>
      </c>
      <c r="E52" s="30"/>
      <c r="F52" s="29">
        <f>Chart_Engine!AD34</f>
        <v>449403.33</v>
      </c>
      <c r="G52" s="30"/>
      <c r="H52" s="29">
        <f>Chart_Engine!AE34</f>
        <v>924138.53399999999</v>
      </c>
      <c r="I52" s="30"/>
      <c r="J52" s="41">
        <f>IFERROR((Chart_Engine!AC34-Chart_Engine!AC33)/Chart_Engine!AC33,0)</f>
        <v>-6.408114984703079E-3</v>
      </c>
      <c r="K52" s="30"/>
      <c r="L52" s="41">
        <f>IFERROR((Chart_Engine!AD34-Chart_Engine!AD33)/Chart_Engine!AD33,0)</f>
        <v>-1.0426216575615068E-2</v>
      </c>
      <c r="M52" s="30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6" t="str">
        <f>Chart_Engine!AG37</f>
        <v>WAF($)</v>
      </c>
      <c r="AC52" s="17">
        <f>Chart_Engine!AH37</f>
        <v>12336.252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</row>
    <row r="53" spans="1:42" ht="15.75" customHeight="1" x14ac:dyDescent="0.25">
      <c r="A53" s="15"/>
      <c r="B53" s="42" t="str">
        <f>Chart_Engine!AB35</f>
        <v>Jan-26</v>
      </c>
      <c r="C53" s="30"/>
      <c r="D53" s="36">
        <f>Chart_Engine!AC35</f>
        <v>472288.4980000002</v>
      </c>
      <c r="E53" s="30"/>
      <c r="F53" s="36">
        <f>Chart_Engine!AD35</f>
        <v>449777.49700000003</v>
      </c>
      <c r="G53" s="30"/>
      <c r="H53" s="36">
        <f>Chart_Engine!AE35</f>
        <v>922065.99500000023</v>
      </c>
      <c r="I53" s="30"/>
      <c r="J53" s="39">
        <f>IFERROR((Chart_Engine!AC35-Chart_Engine!AC34)/Chart_Engine!AC34,0)</f>
        <v>-5.1538330829152389E-3</v>
      </c>
      <c r="K53" s="30"/>
      <c r="L53" s="39">
        <f>IFERROR((Chart_Engine!AD35-Chart_Engine!AD34)/Chart_Engine!AD34,0)</f>
        <v>8.3258617598586961E-4</v>
      </c>
      <c r="M53" s="30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6" t="str">
        <f>Chart_Engine!AG38</f>
        <v>Transcribe($)</v>
      </c>
      <c r="AC53" s="17">
        <f>Chart_Engine!AH38</f>
        <v>11892.790999999999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</row>
    <row r="54" spans="1:42" ht="21.75" customHeight="1" x14ac:dyDescent="0.25">
      <c r="A54" s="15"/>
      <c r="B54" s="48" t="s">
        <v>124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15"/>
      <c r="AA54" s="15"/>
      <c r="AB54" s="16" t="str">
        <f>Chart_Engine!AG39</f>
        <v>Other</v>
      </c>
      <c r="AC54" s="17">
        <f>Chart_Engine!AH39</f>
        <v>345690.71400000015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</row>
    <row r="55" spans="1:42" ht="19.5" customHeight="1" x14ac:dyDescent="0.25">
      <c r="A55" s="15"/>
      <c r="B55" s="19" t="s">
        <v>109</v>
      </c>
      <c r="C55" s="43" t="s">
        <v>0</v>
      </c>
      <c r="D55" s="30"/>
      <c r="E55" s="30"/>
      <c r="F55" s="30"/>
      <c r="G55" s="43" t="s">
        <v>110</v>
      </c>
      <c r="H55" s="30"/>
      <c r="I55" s="30"/>
      <c r="J55" s="43" t="s">
        <v>125</v>
      </c>
      <c r="K55" s="30"/>
      <c r="L55" s="30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spans="1:42" ht="15" customHeight="1" x14ac:dyDescent="0.25">
      <c r="A56" s="15"/>
      <c r="B56" s="20">
        <v>1</v>
      </c>
      <c r="C56" s="34" t="str">
        <f>Chart_Engine!AG30</f>
        <v>Batch($)</v>
      </c>
      <c r="D56" s="30"/>
      <c r="E56" s="30"/>
      <c r="F56" s="30"/>
      <c r="G56" s="29">
        <f>Chart_Engine!AH30</f>
        <v>15512.514999999999</v>
      </c>
      <c r="H56" s="30"/>
      <c r="I56" s="30"/>
      <c r="J56" s="45">
        <f>IFERROR(Chart_Engine!AH30/(SUM(Chart_Engine!AH30:AH39)),0)</f>
        <v>3.2845421952240716E-2</v>
      </c>
      <c r="K56" s="30"/>
      <c r="L56" s="30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 t="s">
        <v>0</v>
      </c>
      <c r="AC56" s="15" t="s">
        <v>96</v>
      </c>
      <c r="AD56" s="15" t="s">
        <v>116</v>
      </c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 spans="1:42" ht="15" customHeight="1" x14ac:dyDescent="0.25">
      <c r="A57" s="15"/>
      <c r="B57" s="21">
        <v>2</v>
      </c>
      <c r="C57" s="31" t="str">
        <f>Chart_Engine!AG31</f>
        <v>CodeBuild($)</v>
      </c>
      <c r="D57" s="30"/>
      <c r="E57" s="30"/>
      <c r="F57" s="30"/>
      <c r="G57" s="36">
        <f>Chart_Engine!AH31</f>
        <v>15455.826999999999</v>
      </c>
      <c r="H57" s="30"/>
      <c r="I57" s="30"/>
      <c r="J57" s="40">
        <f>IFERROR(Chart_Engine!AH31/(SUM(Chart_Engine!AH30:AH39)),0)</f>
        <v>3.2725393621590999E-2</v>
      </c>
      <c r="K57" s="30"/>
      <c r="L57" s="30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6" t="str">
        <f>Chart_Engine!AJ30</f>
        <v>Batch($)</v>
      </c>
      <c r="AC57" s="17">
        <f>Chart_Engine!AK30</f>
        <v>15512.514999999999</v>
      </c>
      <c r="AD57" s="17">
        <f>Chart_Engine!AL30</f>
        <v>10580.264999999999</v>
      </c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 spans="1:42" ht="15" customHeight="1" x14ac:dyDescent="0.25">
      <c r="A58" s="15"/>
      <c r="B58" s="20">
        <v>3</v>
      </c>
      <c r="C58" s="34" t="str">
        <f>Chart_Engine!AG32</f>
        <v>Chime($)</v>
      </c>
      <c r="D58" s="30"/>
      <c r="E58" s="30"/>
      <c r="F58" s="30"/>
      <c r="G58" s="29">
        <f>Chart_Engine!AH32</f>
        <v>15384.035</v>
      </c>
      <c r="H58" s="30"/>
      <c r="I58" s="30"/>
      <c r="J58" s="45">
        <f>IFERROR(Chart_Engine!AH32/(SUM(Chart_Engine!AH30:AH39)),0)</f>
        <v>3.2573384838179981E-2</v>
      </c>
      <c r="K58" s="30"/>
      <c r="L58" s="30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6" t="str">
        <f>Chart_Engine!AJ31</f>
        <v>CodeBuild($)</v>
      </c>
      <c r="AC58" s="17">
        <f>Chart_Engine!AK31</f>
        <v>15455.826999999999</v>
      </c>
      <c r="AD58" s="17">
        <f>Chart_Engine!AL31</f>
        <v>8166.2349999999997</v>
      </c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</row>
    <row r="59" spans="1:42" ht="15" customHeight="1" x14ac:dyDescent="0.25">
      <c r="A59" s="15"/>
      <c r="B59" s="21">
        <v>4</v>
      </c>
      <c r="C59" s="31" t="str">
        <f>Chart_Engine!AG33</f>
        <v>DataSync($)</v>
      </c>
      <c r="D59" s="30"/>
      <c r="E59" s="30"/>
      <c r="F59" s="30"/>
      <c r="G59" s="36">
        <f>Chart_Engine!AH33</f>
        <v>14365.915999999999</v>
      </c>
      <c r="H59" s="30"/>
      <c r="I59" s="30"/>
      <c r="J59" s="40">
        <f>IFERROR(Chart_Engine!AH33/(SUM(Chart_Engine!AH30:AH39)),0)</f>
        <v>3.0417670683989418E-2</v>
      </c>
      <c r="K59" s="30"/>
      <c r="L59" s="30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6" t="str">
        <f>Chart_Engine!AJ32</f>
        <v>Chime($)</v>
      </c>
      <c r="AC59" s="17">
        <f>Chart_Engine!AK32</f>
        <v>15384.035</v>
      </c>
      <c r="AD59" s="17">
        <f>Chart_Engine!AL32</f>
        <v>4827.4089999999997</v>
      </c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 spans="1:42" ht="15" customHeight="1" x14ac:dyDescent="0.25">
      <c r="A60" s="15"/>
      <c r="B60" s="20">
        <v>5</v>
      </c>
      <c r="C60" s="34" t="str">
        <f>Chart_Engine!AG34</f>
        <v>CloudFront($)</v>
      </c>
      <c r="D60" s="30"/>
      <c r="E60" s="30"/>
      <c r="F60" s="30"/>
      <c r="G60" s="29">
        <f>Chart_Engine!AH34</f>
        <v>14222.876</v>
      </c>
      <c r="H60" s="30"/>
      <c r="I60" s="30"/>
      <c r="J60" s="45">
        <f>IFERROR(Chart_Engine!AH34/(SUM(Chart_Engine!AH30:AH39)),0)</f>
        <v>3.0114804955508351E-2</v>
      </c>
      <c r="K60" s="30"/>
      <c r="L60" s="30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6" t="str">
        <f>Chart_Engine!AJ33</f>
        <v>DataSync($)</v>
      </c>
      <c r="AC60" s="17">
        <f>Chart_Engine!AK33</f>
        <v>14365.915999999999</v>
      </c>
      <c r="AD60" s="17">
        <f>Chart_Engine!AL33</f>
        <v>13517.198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 spans="1:42" ht="15" customHeight="1" x14ac:dyDescent="0.25">
      <c r="A61" s="15"/>
      <c r="B61" s="21">
        <v>6</v>
      </c>
      <c r="C61" s="31" t="str">
        <f>Chart_Engine!AG35</f>
        <v>SageMaker($)</v>
      </c>
      <c r="D61" s="30"/>
      <c r="E61" s="30"/>
      <c r="F61" s="30"/>
      <c r="G61" s="36">
        <f>Chart_Engine!AH35</f>
        <v>14013.558000000001</v>
      </c>
      <c r="H61" s="30"/>
      <c r="I61" s="30"/>
      <c r="J61" s="40">
        <f>IFERROR(Chart_Engine!AH35/(SUM(Chart_Engine!AH30:AH39)),0)</f>
        <v>2.9671605510918027E-2</v>
      </c>
      <c r="K61" s="30"/>
      <c r="L61" s="30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6" t="str">
        <f>Chart_Engine!AJ34</f>
        <v>CloudFront($)</v>
      </c>
      <c r="AC61" s="17">
        <f>Chart_Engine!AK34</f>
        <v>14222.876</v>
      </c>
      <c r="AD61" s="17">
        <f>Chart_Engine!AL34</f>
        <v>3871.4459999999999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2" spans="1:42" ht="15" customHeight="1" x14ac:dyDescent="0.25">
      <c r="A62" s="15"/>
      <c r="B62" s="20">
        <v>7</v>
      </c>
      <c r="C62" s="34" t="str">
        <f>Chart_Engine!AG36</f>
        <v>GuardDuty($)</v>
      </c>
      <c r="D62" s="30"/>
      <c r="E62" s="30"/>
      <c r="F62" s="30"/>
      <c r="G62" s="29">
        <f>Chart_Engine!AH36</f>
        <v>13414.013999999999</v>
      </c>
      <c r="H62" s="30"/>
      <c r="I62" s="30"/>
      <c r="J62" s="45">
        <f>IFERROR(Chart_Engine!AH36/(SUM(Chart_Engine!AH30:AH39)),0)</f>
        <v>2.8402161087564735E-2</v>
      </c>
      <c r="K62" s="30"/>
      <c r="L62" s="30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6" t="str">
        <f>Chart_Engine!AJ35</f>
        <v>SageMaker($)</v>
      </c>
      <c r="AC62" s="17">
        <f>Chart_Engine!AK35</f>
        <v>14013.558000000001</v>
      </c>
      <c r="AD62" s="17">
        <f>Chart_Engine!AL35</f>
        <v>169.57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</row>
    <row r="63" spans="1:42" ht="15" customHeight="1" x14ac:dyDescent="0.25">
      <c r="A63" s="15"/>
      <c r="B63" s="21">
        <v>8</v>
      </c>
      <c r="C63" s="31" t="str">
        <f>Chart_Engine!AG37</f>
        <v>WAF($)</v>
      </c>
      <c r="D63" s="30"/>
      <c r="E63" s="30"/>
      <c r="F63" s="30"/>
      <c r="G63" s="36">
        <f>Chart_Engine!AH37</f>
        <v>12336.252</v>
      </c>
      <c r="H63" s="30"/>
      <c r="I63" s="30"/>
      <c r="J63" s="40">
        <f>IFERROR(Chart_Engine!AH37/(SUM(Chart_Engine!AH30:AH39)),0)</f>
        <v>2.6120161833795064E-2</v>
      </c>
      <c r="K63" s="30"/>
      <c r="L63" s="30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6" t="str">
        <f>Chart_Engine!AJ36</f>
        <v>GuardDuty($)</v>
      </c>
      <c r="AC63" s="17">
        <f>Chart_Engine!AK36</f>
        <v>13414.013999999999</v>
      </c>
      <c r="AD63" s="17">
        <f>Chart_Engine!AL36</f>
        <v>11676.933999999999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</row>
    <row r="64" spans="1:42" ht="15" customHeight="1" x14ac:dyDescent="0.25">
      <c r="A64" s="15"/>
      <c r="B64" s="20">
        <v>9</v>
      </c>
      <c r="C64" s="34" t="str">
        <f>Chart_Engine!AG38</f>
        <v>Transcribe($)</v>
      </c>
      <c r="D64" s="30"/>
      <c r="E64" s="30"/>
      <c r="F64" s="30"/>
      <c r="G64" s="29">
        <f>Chart_Engine!AH38</f>
        <v>11892.790999999999</v>
      </c>
      <c r="H64" s="30"/>
      <c r="I64" s="30"/>
      <c r="J64" s="45">
        <f>IFERROR(Chart_Engine!AH38/(SUM(Chart_Engine!AH30:AH39)),0)</f>
        <v>2.5181199733557761E-2</v>
      </c>
      <c r="K64" s="30"/>
      <c r="L64" s="30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6" t="str">
        <f>Chart_Engine!AJ37</f>
        <v>WAF($)</v>
      </c>
      <c r="AC64" s="17">
        <f>Chart_Engine!AK37</f>
        <v>12336.252</v>
      </c>
      <c r="AD64" s="17">
        <f>Chart_Engine!AL37</f>
        <v>3327.7820000000002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</row>
    <row r="65" spans="1:42" ht="15" customHeight="1" x14ac:dyDescent="0.25">
      <c r="A65" s="15"/>
      <c r="B65" s="21">
        <v>10</v>
      </c>
      <c r="C65" s="31" t="str">
        <f>Chart_Engine!AG39</f>
        <v>Other</v>
      </c>
      <c r="D65" s="30"/>
      <c r="E65" s="30"/>
      <c r="F65" s="30"/>
      <c r="G65" s="36">
        <f>Chart_Engine!AH39</f>
        <v>345690.71400000015</v>
      </c>
      <c r="H65" s="30"/>
      <c r="I65" s="30"/>
      <c r="J65" s="40">
        <f>IFERROR(Chart_Engine!AH39/(SUM(Chart_Engine!AH30:AH39)),0)</f>
        <v>0.73194819578265502</v>
      </c>
      <c r="K65" s="30"/>
      <c r="L65" s="30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6" t="str">
        <f>Chart_Engine!AJ38</f>
        <v>Transcribe($)</v>
      </c>
      <c r="AC65" s="17">
        <f>Chart_Engine!AK38</f>
        <v>11892.790999999999</v>
      </c>
      <c r="AD65" s="17">
        <f>Chart_Engine!AL38</f>
        <v>13663.332</v>
      </c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</row>
    <row r="66" spans="1:42" ht="21.75" customHeight="1" x14ac:dyDescent="0.25">
      <c r="A66" s="15"/>
      <c r="B66" s="35" t="s">
        <v>126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15"/>
      <c r="AA66" s="15"/>
      <c r="AB66" s="16" t="str">
        <f>Chart_Engine!AJ39</f>
        <v>API Gateway($)</v>
      </c>
      <c r="AC66" s="17">
        <f>Chart_Engine!AK39</f>
        <v>11724.125</v>
      </c>
      <c r="AD66" s="17">
        <f>Chart_Engine!AL39</f>
        <v>8243.2759999999998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</row>
    <row r="67" spans="1:42" ht="19.5" customHeight="1" x14ac:dyDescent="0.25">
      <c r="A67" s="15"/>
      <c r="B67" s="19" t="s">
        <v>109</v>
      </c>
      <c r="C67" s="43" t="s">
        <v>0</v>
      </c>
      <c r="D67" s="30"/>
      <c r="E67" s="30"/>
      <c r="F67" s="43" t="s">
        <v>119</v>
      </c>
      <c r="G67" s="30"/>
      <c r="H67" s="43" t="s">
        <v>120</v>
      </c>
      <c r="I67" s="30"/>
      <c r="J67" s="43" t="s">
        <v>127</v>
      </c>
      <c r="K67" s="30"/>
      <c r="L67" s="43" t="s">
        <v>128</v>
      </c>
      <c r="M67" s="30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6" t="str">
        <f>Chart_Engine!AJ40</f>
        <v>Translate($)</v>
      </c>
      <c r="AC67" s="17">
        <f>Chart_Engine!AK40</f>
        <v>11660.599</v>
      </c>
      <c r="AD67" s="17">
        <f>Chart_Engine!AL40</f>
        <v>9714.6200000000008</v>
      </c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</row>
    <row r="68" spans="1:42" ht="15" customHeight="1" x14ac:dyDescent="0.25">
      <c r="A68" s="15"/>
      <c r="B68" s="20">
        <v>1</v>
      </c>
      <c r="C68" s="34" t="str">
        <f>IF(1&lt;=Dashboard!$W$5,Chart_Engine!AJ30,"")</f>
        <v>Batch($)</v>
      </c>
      <c r="D68" s="30"/>
      <c r="E68" s="30"/>
      <c r="F68" s="29">
        <f>IF(1&lt;=Dashboard!$W$5,Chart_Engine!AK30,0)</f>
        <v>15512.514999999999</v>
      </c>
      <c r="G68" s="30"/>
      <c r="H68" s="29">
        <f>IF(1&lt;=Dashboard!$W$5,Chart_Engine!AL30,0)</f>
        <v>10580.264999999999</v>
      </c>
      <c r="I68" s="30"/>
      <c r="J68" s="47">
        <f>IF(1&lt;=Dashboard!$W$5,Chart_Engine!AK30-Chart_Engine!AL30,0)</f>
        <v>4932.25</v>
      </c>
      <c r="K68" s="30"/>
      <c r="L68" s="45">
        <f>IF(1&lt;=Dashboard!$W$5,IFERROR(Chart_Engine!AK30/(Chart_Engine!AK30+Chart_Engine!AL30),0),0)</f>
        <v>0.5945136930599193</v>
      </c>
      <c r="M68" s="30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6" t="str">
        <f>Chart_Engine!AJ41</f>
        <v>Firehose($)</v>
      </c>
      <c r="AC68" s="17">
        <f>Chart_Engine!AK41</f>
        <v>11568.293</v>
      </c>
      <c r="AD68" s="17">
        <f>Chart_Engine!AL41</f>
        <v>13047.047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</row>
    <row r="69" spans="1:42" ht="15" customHeight="1" x14ac:dyDescent="0.25">
      <c r="A69" s="15"/>
      <c r="B69" s="21">
        <v>2</v>
      </c>
      <c r="C69" s="31" t="str">
        <f>IF(2&lt;=Dashboard!$W$5,Chart_Engine!AJ31,"")</f>
        <v>CodeBuild($)</v>
      </c>
      <c r="D69" s="30"/>
      <c r="E69" s="30"/>
      <c r="F69" s="36">
        <f>IF(2&lt;=Dashboard!$W$5,Chart_Engine!AK31,0)</f>
        <v>15455.826999999999</v>
      </c>
      <c r="G69" s="30"/>
      <c r="H69" s="36">
        <f>IF(2&lt;=Dashboard!$W$5,Chart_Engine!AL31,0)</f>
        <v>8166.2349999999997</v>
      </c>
      <c r="I69" s="30"/>
      <c r="J69" s="37">
        <f>IF(2&lt;=Dashboard!$W$5,Chart_Engine!AK31-Chart_Engine!AL31,0)</f>
        <v>7289.5919999999996</v>
      </c>
      <c r="K69" s="30"/>
      <c r="L69" s="40">
        <f>IF(2&lt;=Dashboard!$W$5,IFERROR(Chart_Engine!AK31/(Chart_Engine!AK31+Chart_Engine!AL31),0),0)</f>
        <v>0.6542962676162648</v>
      </c>
      <c r="M69" s="30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6" t="str">
        <f>Chart_Engine!AJ42</f>
        <v>Athena($)</v>
      </c>
      <c r="AC69" s="17">
        <f>Chart_Engine!AK42</f>
        <v>11300.897000000001</v>
      </c>
      <c r="AD69" s="17">
        <f>Chart_Engine!AL42</f>
        <v>2112.433</v>
      </c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spans="1:42" ht="15" customHeight="1" x14ac:dyDescent="0.25">
      <c r="A70" s="15"/>
      <c r="B70" s="20">
        <v>3</v>
      </c>
      <c r="C70" s="34" t="str">
        <f>IF(3&lt;=Dashboard!$W$5,Chart_Engine!AJ32,"")</f>
        <v>Chime($)</v>
      </c>
      <c r="D70" s="30"/>
      <c r="E70" s="30"/>
      <c r="F70" s="29">
        <f>IF(3&lt;=Dashboard!$W$5,Chart_Engine!AK32,0)</f>
        <v>15384.035</v>
      </c>
      <c r="G70" s="30"/>
      <c r="H70" s="29">
        <f>IF(3&lt;=Dashboard!$W$5,Chart_Engine!AL32,0)</f>
        <v>4827.4089999999997</v>
      </c>
      <c r="I70" s="30"/>
      <c r="J70" s="47">
        <f>IF(3&lt;=Dashboard!$W$5,Chart_Engine!AK32-Chart_Engine!AL32,0)</f>
        <v>10556.626</v>
      </c>
      <c r="K70" s="30"/>
      <c r="L70" s="45">
        <f>IF(3&lt;=Dashboard!$W$5,IFERROR(Chart_Engine!AK32/(Chart_Engine!AK32+Chart_Engine!AL32),0),0)</f>
        <v>0.76115467059157182</v>
      </c>
      <c r="M70" s="30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6" t="str">
        <f>Chart_Engine!AJ43</f>
        <v>AppSync($)</v>
      </c>
      <c r="AC70" s="17">
        <f>Chart_Engine!AK43</f>
        <v>11093.646000000001</v>
      </c>
      <c r="AD70" s="17">
        <f>Chart_Engine!AL43</f>
        <v>15178.999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</row>
    <row r="71" spans="1:42" ht="15" customHeight="1" x14ac:dyDescent="0.25">
      <c r="A71" s="15"/>
      <c r="B71" s="21">
        <v>4</v>
      </c>
      <c r="C71" s="31" t="str">
        <f>IF(4&lt;=Dashboard!$W$5,Chart_Engine!AJ33,"")</f>
        <v>DataSync($)</v>
      </c>
      <c r="D71" s="30"/>
      <c r="E71" s="30"/>
      <c r="F71" s="36">
        <f>IF(4&lt;=Dashboard!$W$5,Chart_Engine!AK33,0)</f>
        <v>14365.915999999999</v>
      </c>
      <c r="G71" s="30"/>
      <c r="H71" s="36">
        <f>IF(4&lt;=Dashboard!$W$5,Chart_Engine!AL33,0)</f>
        <v>13517.198</v>
      </c>
      <c r="I71" s="30"/>
      <c r="J71" s="37">
        <f>IF(4&lt;=Dashboard!$W$5,Chart_Engine!AK33-Chart_Engine!AL33,0)</f>
        <v>848.71799999999894</v>
      </c>
      <c r="K71" s="30"/>
      <c r="L71" s="40">
        <f>IF(4&lt;=Dashboard!$W$5,IFERROR(Chart_Engine!AK33/(Chart_Engine!AK33+Chart_Engine!AL33),0),0)</f>
        <v>0.51521921116845126</v>
      </c>
      <c r="M71" s="30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6" t="str">
        <f>Chart_Engine!AJ44</f>
        <v>Transfer Family($)</v>
      </c>
      <c r="AC71" s="17">
        <f>Chart_Engine!AK44</f>
        <v>11086.39</v>
      </c>
      <c r="AD71" s="17">
        <f>Chart_Engine!AL44</f>
        <v>13576.395</v>
      </c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</row>
    <row r="72" spans="1:42" ht="15" customHeight="1" x14ac:dyDescent="0.25">
      <c r="A72" s="15"/>
      <c r="B72" s="20">
        <v>5</v>
      </c>
      <c r="C72" s="34" t="str">
        <f>IF(5&lt;=Dashboard!$W$5,Chart_Engine!AJ34,"")</f>
        <v>CloudFront($)</v>
      </c>
      <c r="D72" s="30"/>
      <c r="E72" s="30"/>
      <c r="F72" s="29">
        <f>IF(5&lt;=Dashboard!$W$5,Chart_Engine!AK34,0)</f>
        <v>14222.876</v>
      </c>
      <c r="G72" s="30"/>
      <c r="H72" s="29">
        <f>IF(5&lt;=Dashboard!$W$5,Chart_Engine!AL34,0)</f>
        <v>3871.4459999999999</v>
      </c>
      <c r="I72" s="30"/>
      <c r="J72" s="47">
        <f>IF(5&lt;=Dashboard!$W$5,Chart_Engine!AK34-Chart_Engine!AL34,0)</f>
        <v>10351.43</v>
      </c>
      <c r="K72" s="30"/>
      <c r="L72" s="45">
        <f>IF(5&lt;=Dashboard!$W$5,IFERROR(Chart_Engine!AK34/(Chart_Engine!AK34+Chart_Engine!AL34),0),0)</f>
        <v>0.78604083645687306</v>
      </c>
      <c r="M72" s="30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</row>
    <row r="73" spans="1:42" ht="15" customHeight="1" x14ac:dyDescent="0.25">
      <c r="A73" s="15"/>
      <c r="B73" s="21">
        <v>6</v>
      </c>
      <c r="C73" s="31" t="str">
        <f>IF(6&lt;=Dashboard!$W$5,Chart_Engine!AJ35,"")</f>
        <v>SageMaker($)</v>
      </c>
      <c r="D73" s="30"/>
      <c r="E73" s="30"/>
      <c r="F73" s="36">
        <f>IF(6&lt;=Dashboard!$W$5,Chart_Engine!AK35,0)</f>
        <v>14013.558000000001</v>
      </c>
      <c r="G73" s="30"/>
      <c r="H73" s="36">
        <f>IF(6&lt;=Dashboard!$W$5,Chart_Engine!AL35,0)</f>
        <v>169.57</v>
      </c>
      <c r="I73" s="30"/>
      <c r="J73" s="37">
        <f>IF(6&lt;=Dashboard!$W$5,Chart_Engine!AK35-Chart_Engine!AL35,0)</f>
        <v>13843.988000000001</v>
      </c>
      <c r="K73" s="30"/>
      <c r="L73" s="40">
        <f>IF(6&lt;=Dashboard!$W$5,IFERROR(Chart_Engine!AK35/(Chart_Engine!AK35+Chart_Engine!AL35),0),0)</f>
        <v>0.98804424524688772</v>
      </c>
      <c r="M73" s="30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</row>
    <row r="74" spans="1:42" ht="15" customHeight="1" x14ac:dyDescent="0.25">
      <c r="A74" s="15"/>
      <c r="B74" s="20">
        <v>7</v>
      </c>
      <c r="C74" s="34" t="str">
        <f>IF(7&lt;=Dashboard!$W$5,Chart_Engine!AJ36,"")</f>
        <v>GuardDuty($)</v>
      </c>
      <c r="D74" s="30"/>
      <c r="E74" s="30"/>
      <c r="F74" s="29">
        <f>IF(7&lt;=Dashboard!$W$5,Chart_Engine!AK36,0)</f>
        <v>13414.013999999999</v>
      </c>
      <c r="G74" s="30"/>
      <c r="H74" s="29">
        <f>IF(7&lt;=Dashboard!$W$5,Chart_Engine!AL36,0)</f>
        <v>11676.933999999999</v>
      </c>
      <c r="I74" s="30"/>
      <c r="J74" s="47">
        <f>IF(7&lt;=Dashboard!$W$5,Chart_Engine!AK36-Chart_Engine!AL36,0)</f>
        <v>1737.08</v>
      </c>
      <c r="K74" s="30"/>
      <c r="L74" s="45">
        <f>IF(7&lt;=Dashboard!$W$5,IFERROR(Chart_Engine!AK36/(Chart_Engine!AK36+Chart_Engine!AL36),0),0)</f>
        <v>0.53461567095830742</v>
      </c>
      <c r="M74" s="30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</row>
    <row r="75" spans="1:42" ht="15" customHeight="1" x14ac:dyDescent="0.25">
      <c r="A75" s="15"/>
      <c r="B75" s="21">
        <v>8</v>
      </c>
      <c r="C75" s="31" t="str">
        <f>IF(8&lt;=Dashboard!$W$5,Chart_Engine!AJ37,"")</f>
        <v>WAF($)</v>
      </c>
      <c r="D75" s="30"/>
      <c r="E75" s="30"/>
      <c r="F75" s="36">
        <f>IF(8&lt;=Dashboard!$W$5,Chart_Engine!AK37,0)</f>
        <v>12336.252</v>
      </c>
      <c r="G75" s="30"/>
      <c r="H75" s="36">
        <f>IF(8&lt;=Dashboard!$W$5,Chart_Engine!AL37,0)</f>
        <v>3327.7820000000002</v>
      </c>
      <c r="I75" s="30"/>
      <c r="J75" s="37">
        <f>IF(8&lt;=Dashboard!$W$5,Chart_Engine!AK37-Chart_Engine!AL37,0)</f>
        <v>9008.4700000000012</v>
      </c>
      <c r="K75" s="30"/>
      <c r="L75" s="40">
        <f>IF(8&lt;=Dashboard!$W$5,IFERROR(Chart_Engine!AK37/(Chart_Engine!AK37+Chart_Engine!AL37),0),0)</f>
        <v>0.78755268278912061</v>
      </c>
      <c r="M75" s="30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</row>
    <row r="76" spans="1:42" ht="15" customHeight="1" x14ac:dyDescent="0.25">
      <c r="A76" s="15"/>
      <c r="B76" s="20">
        <v>9</v>
      </c>
      <c r="C76" s="34" t="str">
        <f>IF(9&lt;=Dashboard!$W$5,Chart_Engine!AJ38,"")</f>
        <v>Transcribe($)</v>
      </c>
      <c r="D76" s="30"/>
      <c r="E76" s="30"/>
      <c r="F76" s="29">
        <f>IF(9&lt;=Dashboard!$W$5,Chart_Engine!AK38,0)</f>
        <v>11892.790999999999</v>
      </c>
      <c r="G76" s="30"/>
      <c r="H76" s="29">
        <f>IF(9&lt;=Dashboard!$W$5,Chart_Engine!AL38,0)</f>
        <v>13663.332</v>
      </c>
      <c r="I76" s="30"/>
      <c r="J76" s="47">
        <f>IF(9&lt;=Dashboard!$W$5,Chart_Engine!AK38-Chart_Engine!AL38,0)</f>
        <v>-1770.5410000000011</v>
      </c>
      <c r="K76" s="30"/>
      <c r="L76" s="45">
        <f>IF(9&lt;=Dashboard!$W$5,IFERROR(Chart_Engine!AK38/(Chart_Engine!AK38+Chart_Engine!AL38),0),0)</f>
        <v>0.46535974959895127</v>
      </c>
      <c r="M76" s="30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</row>
    <row r="77" spans="1:42" ht="15" customHeight="1" x14ac:dyDescent="0.25">
      <c r="A77" s="15"/>
      <c r="B77" s="21">
        <v>10</v>
      </c>
      <c r="C77" s="31" t="str">
        <f>IF(10&lt;=Dashboard!$W$5,Chart_Engine!AJ39,"")</f>
        <v>API Gateway($)</v>
      </c>
      <c r="D77" s="30"/>
      <c r="E77" s="30"/>
      <c r="F77" s="36">
        <f>IF(10&lt;=Dashboard!$W$5,Chart_Engine!AK39,0)</f>
        <v>11724.125</v>
      </c>
      <c r="G77" s="30"/>
      <c r="H77" s="36">
        <f>IF(10&lt;=Dashboard!$W$5,Chart_Engine!AL39,0)</f>
        <v>8243.2759999999998</v>
      </c>
      <c r="I77" s="30"/>
      <c r="J77" s="37">
        <f>IF(10&lt;=Dashboard!$W$5,Chart_Engine!AK39-Chart_Engine!AL39,0)</f>
        <v>3480.8490000000002</v>
      </c>
      <c r="K77" s="30"/>
      <c r="L77" s="40">
        <f>IF(10&lt;=Dashboard!$W$5,IFERROR(Chart_Engine!AK39/(Chart_Engine!AK39+Chart_Engine!AL39),0),0)</f>
        <v>0.58716329681564472</v>
      </c>
      <c r="M77" s="30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</row>
    <row r="78" spans="1:42" ht="15" customHeight="1" x14ac:dyDescent="0.25">
      <c r="A78" s="15"/>
      <c r="B78" s="20">
        <v>11</v>
      </c>
      <c r="C78" s="34" t="str">
        <f>IF(11&lt;=Dashboard!$W$5,Chart_Engine!AJ40,"")</f>
        <v>Translate($)</v>
      </c>
      <c r="D78" s="30"/>
      <c r="E78" s="30"/>
      <c r="F78" s="29">
        <f>IF(11&lt;=Dashboard!$W$5,Chart_Engine!AK40,0)</f>
        <v>11660.599</v>
      </c>
      <c r="G78" s="30"/>
      <c r="H78" s="29">
        <f>IF(11&lt;=Dashboard!$W$5,Chart_Engine!AL40,0)</f>
        <v>9714.6200000000008</v>
      </c>
      <c r="I78" s="30"/>
      <c r="J78" s="47">
        <f>IF(11&lt;=Dashboard!$W$5,Chart_Engine!AK40-Chart_Engine!AL40,0)</f>
        <v>1945.9789999999994</v>
      </c>
      <c r="K78" s="30"/>
      <c r="L78" s="45">
        <f>IF(11&lt;=Dashboard!$W$5,IFERROR(Chart_Engine!AK40/(Chart_Engine!AK40+Chart_Engine!AL40),0),0)</f>
        <v>0.54551951023285417</v>
      </c>
      <c r="M78" s="30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</row>
    <row r="79" spans="1:42" ht="15" customHeight="1" x14ac:dyDescent="0.25">
      <c r="A79" s="15"/>
      <c r="B79" s="21">
        <v>12</v>
      </c>
      <c r="C79" s="31" t="str">
        <f>IF(12&lt;=Dashboard!$W$5,Chart_Engine!AJ41,"")</f>
        <v>Firehose($)</v>
      </c>
      <c r="D79" s="30"/>
      <c r="E79" s="30"/>
      <c r="F79" s="36">
        <f>IF(12&lt;=Dashboard!$W$5,Chart_Engine!AK41,0)</f>
        <v>11568.293</v>
      </c>
      <c r="G79" s="30"/>
      <c r="H79" s="36">
        <f>IF(12&lt;=Dashboard!$W$5,Chart_Engine!AL41,0)</f>
        <v>13047.047</v>
      </c>
      <c r="I79" s="30"/>
      <c r="J79" s="37">
        <f>IF(12&lt;=Dashboard!$W$5,Chart_Engine!AK41-Chart_Engine!AL41,0)</f>
        <v>-1478.7540000000008</v>
      </c>
      <c r="K79" s="30"/>
      <c r="L79" s="40">
        <f>IF(12&lt;=Dashboard!$W$5,IFERROR(Chart_Engine!AK41/(Chart_Engine!AK41+Chart_Engine!AL41),0),0)</f>
        <v>0.46996275493249329</v>
      </c>
      <c r="M79" s="30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</row>
    <row r="80" spans="1:42" ht="15" customHeight="1" x14ac:dyDescent="0.25">
      <c r="A80" s="15"/>
      <c r="B80" s="20">
        <v>13</v>
      </c>
      <c r="C80" s="34" t="str">
        <f>IF(13&lt;=Dashboard!$W$5,Chart_Engine!AJ42,"")</f>
        <v>Athena($)</v>
      </c>
      <c r="D80" s="30"/>
      <c r="E80" s="30"/>
      <c r="F80" s="29">
        <f>IF(13&lt;=Dashboard!$W$5,Chart_Engine!AK42,0)</f>
        <v>11300.897000000001</v>
      </c>
      <c r="G80" s="30"/>
      <c r="H80" s="29">
        <f>IF(13&lt;=Dashboard!$W$5,Chart_Engine!AL42,0)</f>
        <v>2112.433</v>
      </c>
      <c r="I80" s="30"/>
      <c r="J80" s="47">
        <f>IF(13&lt;=Dashboard!$W$5,Chart_Engine!AK42-Chart_Engine!AL42,0)</f>
        <v>9188.4639999999999</v>
      </c>
      <c r="K80" s="30"/>
      <c r="L80" s="45">
        <f>IF(13&lt;=Dashboard!$W$5,IFERROR(Chart_Engine!AK42/(Chart_Engine!AK42+Chart_Engine!AL42),0),0)</f>
        <v>0.84251241116113595</v>
      </c>
      <c r="M80" s="30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</row>
    <row r="81" spans="1:42" ht="15" customHeight="1" x14ac:dyDescent="0.25">
      <c r="A81" s="15"/>
      <c r="B81" s="21">
        <v>14</v>
      </c>
      <c r="C81" s="31" t="str">
        <f>IF(14&lt;=Dashboard!$W$5,Chart_Engine!AJ43,"")</f>
        <v>AppSync($)</v>
      </c>
      <c r="D81" s="30"/>
      <c r="E81" s="30"/>
      <c r="F81" s="36">
        <f>IF(14&lt;=Dashboard!$W$5,Chart_Engine!AK43,0)</f>
        <v>11093.646000000001</v>
      </c>
      <c r="G81" s="30"/>
      <c r="H81" s="36">
        <f>IF(14&lt;=Dashboard!$W$5,Chart_Engine!AL43,0)</f>
        <v>15178.999</v>
      </c>
      <c r="I81" s="30"/>
      <c r="J81" s="37">
        <f>IF(14&lt;=Dashboard!$W$5,Chart_Engine!AK43-Chart_Engine!AL43,0)</f>
        <v>-4085.3529999999992</v>
      </c>
      <c r="K81" s="30"/>
      <c r="L81" s="40">
        <f>IF(14&lt;=Dashboard!$W$5,IFERROR(Chart_Engine!AK43/(Chart_Engine!AK43+Chart_Engine!AL43),0),0)</f>
        <v>0.42225082400344544</v>
      </c>
      <c r="M81" s="30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</row>
    <row r="82" spans="1:42" ht="15" customHeight="1" x14ac:dyDescent="0.25">
      <c r="A82" s="15"/>
      <c r="B82" s="20">
        <v>15</v>
      </c>
      <c r="C82" s="34" t="str">
        <f>IF(15&lt;=Dashboard!$W$5,Chart_Engine!AJ44,"")</f>
        <v>Transfer Family($)</v>
      </c>
      <c r="D82" s="30"/>
      <c r="E82" s="30"/>
      <c r="F82" s="29">
        <f>IF(15&lt;=Dashboard!$W$5,Chart_Engine!AK44,0)</f>
        <v>11086.39</v>
      </c>
      <c r="G82" s="30"/>
      <c r="H82" s="29">
        <f>IF(15&lt;=Dashboard!$W$5,Chart_Engine!AL44,0)</f>
        <v>13576.395</v>
      </c>
      <c r="I82" s="30"/>
      <c r="J82" s="47">
        <f>IF(15&lt;=Dashboard!$W$5,Chart_Engine!AK44-Chart_Engine!AL44,0)</f>
        <v>-2490.005000000001</v>
      </c>
      <c r="K82" s="30"/>
      <c r="L82" s="45">
        <f>IF(15&lt;=Dashboard!$W$5,IFERROR(Chart_Engine!AK44/(Chart_Engine!AK44+Chart_Engine!AL44),0),0)</f>
        <v>0.44951898173705845</v>
      </c>
      <c r="M82" s="30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</row>
    <row r="83" spans="1:42" ht="21.75" customHeight="1" x14ac:dyDescent="0.25">
      <c r="A83" s="15"/>
      <c r="B83" s="35" t="s">
        <v>129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</row>
    <row r="84" spans="1:42" ht="16.5" customHeight="1" x14ac:dyDescent="0.25">
      <c r="A84" s="15"/>
      <c r="B84" s="32" t="s">
        <v>130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</row>
    <row r="85" spans="1:42" ht="16.5" customHeight="1" x14ac:dyDescent="0.25">
      <c r="A85" s="15"/>
      <c r="B85" s="38" t="s">
        <v>131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</row>
    <row r="86" spans="1:42" ht="16.5" customHeight="1" x14ac:dyDescent="0.25">
      <c r="A86" s="15"/>
      <c r="B86" s="32" t="s">
        <v>132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</row>
    <row r="87" spans="1:42" ht="16.5" customHeight="1" x14ac:dyDescent="0.25">
      <c r="A87" s="15"/>
      <c r="B87" s="38" t="s">
        <v>133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</row>
    <row r="88" spans="1:42" ht="16.5" customHeight="1" x14ac:dyDescent="0.25">
      <c r="A88" s="15"/>
      <c r="B88" s="32" t="s">
        <v>134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</row>
    <row r="89" spans="1:42" ht="16.5" customHeight="1" x14ac:dyDescent="0.25">
      <c r="A89" s="15"/>
      <c r="B89" s="38" t="s">
        <v>135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</row>
    <row r="90" spans="1:42" ht="16.5" customHeight="1" x14ac:dyDescent="0.25">
      <c r="A90" s="15"/>
      <c r="B90" s="32" t="s">
        <v>136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</row>
    <row r="91" spans="1:42" ht="1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</row>
    <row r="92" spans="1:42" ht="1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</row>
    <row r="93" spans="1:42" ht="1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</row>
    <row r="94" spans="1:42" ht="1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</row>
    <row r="95" spans="1:42" ht="1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</row>
    <row r="96" spans="1:42" ht="1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</row>
    <row r="97" spans="1:42" ht="1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</row>
    <row r="98" spans="1:42" ht="1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</row>
    <row r="99" spans="1:42" ht="1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</row>
    <row r="100" spans="1:42" ht="1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</row>
    <row r="101" spans="1:42" ht="1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</row>
    <row r="102" spans="1:42" ht="1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</row>
    <row r="103" spans="1:42" ht="1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</row>
    <row r="104" spans="1:42" ht="1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</row>
    <row r="105" spans="1:42" ht="1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</row>
    <row r="106" spans="1:42" ht="1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</row>
    <row r="107" spans="1:42" ht="1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</row>
    <row r="108" spans="1:42" ht="1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</row>
    <row r="109" spans="1:42" ht="1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</row>
    <row r="110" spans="1:42" ht="1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</row>
    <row r="111" spans="1:42" ht="1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</row>
    <row r="112" spans="1:42" ht="1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</row>
    <row r="113" spans="1:42" ht="1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</row>
    <row r="114" spans="1:42" ht="1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</row>
    <row r="115" spans="1:42" ht="1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</row>
    <row r="116" spans="1:42" ht="1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</row>
    <row r="117" spans="1:42" ht="1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</row>
    <row r="118" spans="1:42" ht="1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</row>
    <row r="119" spans="1:42" ht="1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</row>
    <row r="120" spans="1:42" ht="1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</row>
    <row r="121" spans="1:42" ht="1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</row>
    <row r="122" spans="1:42" ht="1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</row>
    <row r="123" spans="1:42" ht="1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</row>
    <row r="124" spans="1:42" ht="1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</row>
    <row r="125" spans="1:42" ht="1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</row>
    <row r="126" spans="1:42" ht="1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</row>
    <row r="127" spans="1:42" ht="1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</row>
    <row r="128" spans="1:42" ht="1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</row>
    <row r="129" spans="1:42" ht="1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</row>
    <row r="130" spans="1:42" ht="1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</row>
    <row r="131" spans="1:42" ht="1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</row>
    <row r="132" spans="1:42" ht="1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</row>
    <row r="133" spans="1:42" ht="1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</row>
    <row r="134" spans="1:42" ht="1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spans="1:42" ht="1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spans="1:42" ht="1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spans="1:42" ht="1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spans="1:42" ht="1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spans="1:42" ht="1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spans="1:42" ht="1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spans="1:42" ht="1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spans="1:42" ht="1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spans="1:42" ht="1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spans="1:42" ht="1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spans="1:42" ht="1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spans="1:42" ht="1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ht="1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 spans="1:42" ht="1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 spans="1:42" ht="1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 spans="1:42" ht="1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 spans="1:42" ht="1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 spans="1:42" ht="1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 spans="1:42" ht="1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 spans="1:42" ht="1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 spans="1:42" ht="1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 spans="1:42" ht="1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 spans="1:42" ht="1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 spans="1:42" ht="1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 spans="1:42" ht="1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 spans="1:42" ht="1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 spans="1:42" ht="1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ht="1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 spans="1:42" ht="1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 spans="1:42" ht="1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 spans="1:42" ht="1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 spans="1:42" ht="1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 spans="1:42" ht="1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spans="1:42" ht="1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spans="1:42" ht="1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spans="1:42" ht="1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spans="1:42" ht="1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spans="1:42" ht="1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spans="1:42" ht="1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1:42" ht="1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1:42" ht="1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spans="1:42" ht="1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spans="1:42" ht="1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ht="1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spans="1:42" ht="1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spans="1:42" ht="1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1:42" ht="1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spans="1:42" ht="1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spans="1:42" ht="1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spans="1:42" ht="1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spans="1:42" ht="1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1:42" ht="1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spans="1:42" ht="1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 spans="1:42" ht="1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spans="1:42" ht="1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spans="1:42" ht="1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spans="1:42" ht="1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spans="1:42" ht="1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 spans="1:42" ht="1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ht="1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 spans="1:42" ht="1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 spans="1:42" ht="1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</row>
    <row r="197" spans="1:42" ht="1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 spans="1:42" ht="1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 spans="1:42" ht="1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 spans="1:42" ht="1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 spans="1:42" ht="1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 spans="1:42" ht="1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 spans="1:42" ht="1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 spans="1:42" ht="1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 spans="1:42" ht="1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 spans="1:42" ht="1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 spans="1:42" ht="1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 spans="1:42" ht="1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 spans="1:42" ht="1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ht="1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 spans="1:42" ht="1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 spans="1:42" ht="1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 spans="1:42" ht="1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 spans="1:42" ht="1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 spans="1:42" ht="1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 spans="1:42" ht="1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 spans="1:42" ht="1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 spans="1:42" ht="1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 spans="1:42" ht="1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 spans="1:42" ht="1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 spans="1:42" ht="1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 spans="1:42" ht="1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 spans="1:42" ht="1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 spans="1:42" ht="1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 spans="1:42" ht="1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 spans="1:42" ht="1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</row>
    <row r="227" spans="1:42" ht="1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</row>
    <row r="228" spans="1:42" ht="1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</row>
    <row r="229" spans="1:42" ht="1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</row>
    <row r="230" spans="1:42" ht="1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</row>
    <row r="231" spans="1:42" ht="1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</row>
    <row r="232" spans="1:42" ht="1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</row>
    <row r="233" spans="1:42" ht="1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 spans="1:42" ht="1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</row>
    <row r="235" spans="1:42" ht="1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</row>
    <row r="236" spans="1:42" ht="1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</row>
    <row r="237" spans="1:42" ht="1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 spans="1:42" ht="1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</row>
    <row r="239" spans="1:42" ht="1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</row>
    <row r="240" spans="1:42" ht="1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</row>
    <row r="241" spans="1:42" ht="1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</row>
    <row r="242" spans="1:42" ht="1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</row>
    <row r="243" spans="1:42" ht="1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</row>
    <row r="244" spans="1:42" ht="1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 spans="1:42" ht="1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</row>
    <row r="246" spans="1:42" ht="1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</row>
    <row r="247" spans="1:42" ht="1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 spans="1:42" ht="1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</row>
    <row r="249" spans="1:42" ht="1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</row>
    <row r="250" spans="1:42" ht="1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 spans="1:42" ht="1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 spans="1:42" ht="1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 spans="1:42" ht="1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</row>
    <row r="254" spans="1:42" ht="1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</row>
    <row r="255" spans="1:42" ht="1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</row>
    <row r="256" spans="1:42" ht="1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1:42" ht="1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 spans="1:42" ht="1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 spans="1:42" ht="1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 spans="1:42" ht="1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 spans="1:42" ht="1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 spans="1:42" ht="1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 spans="1:42" ht="1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spans="1:42" ht="1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 spans="1:42" ht="1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 spans="1:42" ht="1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 spans="1:42" ht="1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 spans="1:42" ht="1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</row>
    <row r="269" spans="1:42" ht="1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 spans="1:42" ht="1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</row>
    <row r="271" spans="1:42" ht="1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 spans="1:42" ht="1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 spans="1:42" ht="1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 spans="1:42" ht="1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 spans="1:42" ht="1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 spans="1:42" ht="1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</row>
    <row r="277" spans="1:42" ht="1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</row>
    <row r="278" spans="1:42" ht="1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</row>
    <row r="279" spans="1:42" ht="1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</row>
    <row r="280" spans="1:42" ht="1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</row>
    <row r="281" spans="1:42" ht="1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</row>
    <row r="282" spans="1:42" ht="1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</row>
    <row r="283" spans="1:42" ht="1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</row>
    <row r="284" spans="1:42" ht="1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</row>
    <row r="285" spans="1:42" ht="1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</row>
    <row r="286" spans="1:42" ht="1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</row>
    <row r="287" spans="1:42" ht="1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</row>
    <row r="288" spans="1:42" ht="1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</row>
    <row r="289" spans="1:42" ht="1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</row>
    <row r="290" spans="1:42" ht="1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</row>
    <row r="291" spans="1:42" ht="1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</row>
    <row r="292" spans="1:42" ht="1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</row>
    <row r="293" spans="1:42" ht="1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</row>
    <row r="294" spans="1:42" ht="1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</row>
    <row r="295" spans="1:42" ht="1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</row>
    <row r="296" spans="1:42" ht="1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</row>
    <row r="297" spans="1:42" ht="1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</row>
    <row r="298" spans="1:42" ht="1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</row>
    <row r="299" spans="1:42" ht="1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</row>
    <row r="300" spans="1:42" ht="1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</row>
  </sheetData>
  <mergeCells count="348">
    <mergeCell ref="Q8:T8"/>
    <mergeCell ref="J41:K41"/>
    <mergeCell ref="L41:M41"/>
    <mergeCell ref="C68:E68"/>
    <mergeCell ref="F27:G27"/>
    <mergeCell ref="G59:I59"/>
    <mergeCell ref="J64:L64"/>
    <mergeCell ref="Q10:T10"/>
    <mergeCell ref="H27:I27"/>
    <mergeCell ref="L34:M34"/>
    <mergeCell ref="B8:E8"/>
    <mergeCell ref="J43:K43"/>
    <mergeCell ref="G61:I61"/>
    <mergeCell ref="L49:M49"/>
    <mergeCell ref="B50:C50"/>
    <mergeCell ref="L36:M36"/>
    <mergeCell ref="B10:E10"/>
    <mergeCell ref="F44:G44"/>
    <mergeCell ref="A2:Z2"/>
    <mergeCell ref="J22:K22"/>
    <mergeCell ref="L22:M22"/>
    <mergeCell ref="J51:K51"/>
    <mergeCell ref="L80:M80"/>
    <mergeCell ref="B66:Y66"/>
    <mergeCell ref="H38:I38"/>
    <mergeCell ref="J38:K38"/>
    <mergeCell ref="H40:I40"/>
    <mergeCell ref="J40:K40"/>
    <mergeCell ref="D49:E49"/>
    <mergeCell ref="L33:M33"/>
    <mergeCell ref="F36:G36"/>
    <mergeCell ref="B4:Z4"/>
    <mergeCell ref="J56:L56"/>
    <mergeCell ref="J35:K35"/>
    <mergeCell ref="L35:M35"/>
    <mergeCell ref="V8:Y8"/>
    <mergeCell ref="C78:E78"/>
    <mergeCell ref="F77:G77"/>
    <mergeCell ref="H77:I77"/>
    <mergeCell ref="J59:L59"/>
    <mergeCell ref="J72:K72"/>
    <mergeCell ref="J30:K30"/>
    <mergeCell ref="Q9:T9"/>
    <mergeCell ref="C75:E75"/>
    <mergeCell ref="F34:G34"/>
    <mergeCell ref="H50:I50"/>
    <mergeCell ref="F74:G74"/>
    <mergeCell ref="H74:I74"/>
    <mergeCell ref="H68:I68"/>
    <mergeCell ref="F30:G30"/>
    <mergeCell ref="C39:E39"/>
    <mergeCell ref="C70:E70"/>
    <mergeCell ref="J27:K27"/>
    <mergeCell ref="C32:E32"/>
    <mergeCell ref="H69:I69"/>
    <mergeCell ref="J20:K20"/>
    <mergeCell ref="L20:M20"/>
    <mergeCell ref="F24:G24"/>
    <mergeCell ref="L23:M23"/>
    <mergeCell ref="F32:G32"/>
    <mergeCell ref="F26:G26"/>
    <mergeCell ref="J62:L62"/>
    <mergeCell ref="L14:M14"/>
    <mergeCell ref="F79:G79"/>
    <mergeCell ref="H52:I52"/>
    <mergeCell ref="H79:I79"/>
    <mergeCell ref="H45:I45"/>
    <mergeCell ref="F81:G81"/>
    <mergeCell ref="H81:I81"/>
    <mergeCell ref="H37:I37"/>
    <mergeCell ref="C63:F63"/>
    <mergeCell ref="C42:E42"/>
    <mergeCell ref="L72:M72"/>
    <mergeCell ref="B46:Y46"/>
    <mergeCell ref="F76:G76"/>
    <mergeCell ref="C81:E81"/>
    <mergeCell ref="H82:I82"/>
    <mergeCell ref="L17:M17"/>
    <mergeCell ref="H53:I53"/>
    <mergeCell ref="J82:K82"/>
    <mergeCell ref="H26:I26"/>
    <mergeCell ref="C44:E44"/>
    <mergeCell ref="L82:M82"/>
    <mergeCell ref="C31:E31"/>
    <mergeCell ref="F68:G68"/>
    <mergeCell ref="C80:E80"/>
    <mergeCell ref="J19:K19"/>
    <mergeCell ref="L19:M19"/>
    <mergeCell ref="L75:M75"/>
    <mergeCell ref="F80:G80"/>
    <mergeCell ref="L39:M39"/>
    <mergeCell ref="B89:Y89"/>
    <mergeCell ref="L76:M76"/>
    <mergeCell ref="C65:F65"/>
    <mergeCell ref="C30:E30"/>
    <mergeCell ref="J57:L57"/>
    <mergeCell ref="B90:Y90"/>
    <mergeCell ref="F49:G49"/>
    <mergeCell ref="F14:G14"/>
    <mergeCell ref="C60:F60"/>
    <mergeCell ref="H30:I30"/>
    <mergeCell ref="H67:I67"/>
    <mergeCell ref="C41:E41"/>
    <mergeCell ref="J67:K67"/>
    <mergeCell ref="F78:G78"/>
    <mergeCell ref="L67:M67"/>
    <mergeCell ref="H78:I78"/>
    <mergeCell ref="H44:I44"/>
    <mergeCell ref="C43:E43"/>
    <mergeCell ref="J69:K69"/>
    <mergeCell ref="L51:M51"/>
    <mergeCell ref="C55:F55"/>
    <mergeCell ref="F52:G52"/>
    <mergeCell ref="F37:G37"/>
    <mergeCell ref="H24:I24"/>
    <mergeCell ref="J77:K77"/>
    <mergeCell ref="B87:Y87"/>
    <mergeCell ref="F33:G33"/>
    <mergeCell ref="G55:I55"/>
    <mergeCell ref="C38:E38"/>
    <mergeCell ref="F75:G75"/>
    <mergeCell ref="C13:E13"/>
    <mergeCell ref="F31:G31"/>
    <mergeCell ref="V10:Y10"/>
    <mergeCell ref="F28:G28"/>
    <mergeCell ref="H28:I28"/>
    <mergeCell ref="C15:E15"/>
    <mergeCell ref="F39:G39"/>
    <mergeCell ref="C33:E33"/>
    <mergeCell ref="C79:E79"/>
    <mergeCell ref="C73:E73"/>
    <mergeCell ref="C35:E35"/>
    <mergeCell ref="F21:G21"/>
    <mergeCell ref="H21:I21"/>
    <mergeCell ref="B29:Y29"/>
    <mergeCell ref="L43:M43"/>
    <mergeCell ref="F50:G50"/>
    <mergeCell ref="J74:K74"/>
    <mergeCell ref="L74:M74"/>
    <mergeCell ref="C82:E82"/>
    <mergeCell ref="F41:G41"/>
    <mergeCell ref="B84:Y84"/>
    <mergeCell ref="H70:I70"/>
    <mergeCell ref="F35:G35"/>
    <mergeCell ref="J70:K70"/>
    <mergeCell ref="S5:U5"/>
    <mergeCell ref="C19:E19"/>
    <mergeCell ref="H32:I32"/>
    <mergeCell ref="J32:K32"/>
    <mergeCell ref="H47:I47"/>
    <mergeCell ref="J47:K47"/>
    <mergeCell ref="H76:I76"/>
    <mergeCell ref="J76:K76"/>
    <mergeCell ref="L27:M27"/>
    <mergeCell ref="F25:G25"/>
    <mergeCell ref="G65:I65"/>
    <mergeCell ref="J53:K53"/>
    <mergeCell ref="J45:K45"/>
    <mergeCell ref="L45:M45"/>
    <mergeCell ref="D48:E48"/>
    <mergeCell ref="G63:I63"/>
    <mergeCell ref="L38:M38"/>
    <mergeCell ref="G8:J8"/>
    <mergeCell ref="L8:O8"/>
    <mergeCell ref="J50:K50"/>
    <mergeCell ref="H42:I42"/>
    <mergeCell ref="J42:K42"/>
    <mergeCell ref="L10:O10"/>
    <mergeCell ref="J52:K52"/>
    <mergeCell ref="L77:M77"/>
    <mergeCell ref="J39:K39"/>
    <mergeCell ref="B9:E9"/>
    <mergeCell ref="J44:K44"/>
    <mergeCell ref="B47:C47"/>
    <mergeCell ref="G57:I57"/>
    <mergeCell ref="J37:K37"/>
    <mergeCell ref="L37:M37"/>
    <mergeCell ref="F40:G40"/>
    <mergeCell ref="B48:C48"/>
    <mergeCell ref="C17:E17"/>
    <mergeCell ref="J61:L61"/>
    <mergeCell ref="F13:G13"/>
    <mergeCell ref="H13:I13"/>
    <mergeCell ref="L40:M40"/>
    <mergeCell ref="G10:J10"/>
    <mergeCell ref="F43:G43"/>
    <mergeCell ref="B51:C51"/>
    <mergeCell ref="H80:I80"/>
    <mergeCell ref="V9:Y9"/>
    <mergeCell ref="C16:E16"/>
    <mergeCell ref="B12:Y12"/>
    <mergeCell ref="H31:I31"/>
    <mergeCell ref="C57:F57"/>
    <mergeCell ref="B52:C52"/>
    <mergeCell ref="C36:E36"/>
    <mergeCell ref="D52:E52"/>
    <mergeCell ref="H73:I73"/>
    <mergeCell ref="J24:K24"/>
    <mergeCell ref="L24:M24"/>
    <mergeCell ref="L18:M18"/>
    <mergeCell ref="C58:F58"/>
    <mergeCell ref="C67:E67"/>
    <mergeCell ref="J26:K26"/>
    <mergeCell ref="L26:M26"/>
    <mergeCell ref="C69:E69"/>
    <mergeCell ref="F22:G22"/>
    <mergeCell ref="H22:I22"/>
    <mergeCell ref="H15:I15"/>
    <mergeCell ref="D51:E51"/>
    <mergeCell ref="H71:I71"/>
    <mergeCell ref="J71:K71"/>
    <mergeCell ref="L79:M79"/>
    <mergeCell ref="C77:E77"/>
    <mergeCell ref="B49:C49"/>
    <mergeCell ref="J21:K21"/>
    <mergeCell ref="L21:M21"/>
    <mergeCell ref="C56:F56"/>
    <mergeCell ref="L81:M81"/>
    <mergeCell ref="M5:O5"/>
    <mergeCell ref="H23:I23"/>
    <mergeCell ref="J23:K23"/>
    <mergeCell ref="L16:M16"/>
    <mergeCell ref="F19:G19"/>
    <mergeCell ref="H41:I41"/>
    <mergeCell ref="H34:I34"/>
    <mergeCell ref="J34:K34"/>
    <mergeCell ref="F20:G20"/>
    <mergeCell ref="H49:I49"/>
    <mergeCell ref="J49:K49"/>
    <mergeCell ref="H36:I36"/>
    <mergeCell ref="J36:K36"/>
    <mergeCell ref="L30:M30"/>
    <mergeCell ref="G56:I56"/>
    <mergeCell ref="L69:M69"/>
    <mergeCell ref="L44:M44"/>
    <mergeCell ref="L9:O9"/>
    <mergeCell ref="J14:K14"/>
    <mergeCell ref="J13:K13"/>
    <mergeCell ref="L13:M13"/>
    <mergeCell ref="J78:K78"/>
    <mergeCell ref="L78:M78"/>
    <mergeCell ref="C27:E27"/>
    <mergeCell ref="C76:E76"/>
    <mergeCell ref="J15:K15"/>
    <mergeCell ref="F51:G51"/>
    <mergeCell ref="L15:M15"/>
    <mergeCell ref="H51:I51"/>
    <mergeCell ref="L71:M71"/>
    <mergeCell ref="L73:M73"/>
    <mergeCell ref="F38:G38"/>
    <mergeCell ref="G60:I60"/>
    <mergeCell ref="F67:G67"/>
    <mergeCell ref="C45:E45"/>
    <mergeCell ref="B54:Y54"/>
    <mergeCell ref="H33:I33"/>
    <mergeCell ref="C59:F59"/>
    <mergeCell ref="J33:K33"/>
    <mergeCell ref="H35:I35"/>
    <mergeCell ref="C61:F61"/>
    <mergeCell ref="J81:K81"/>
    <mergeCell ref="B86:Y86"/>
    <mergeCell ref="L32:M32"/>
    <mergeCell ref="H43:I43"/>
    <mergeCell ref="J55:L55"/>
    <mergeCell ref="L47:M47"/>
    <mergeCell ref="G58:I58"/>
    <mergeCell ref="C37:E37"/>
    <mergeCell ref="J58:L58"/>
    <mergeCell ref="L50:M50"/>
    <mergeCell ref="L52:M52"/>
    <mergeCell ref="F69:G69"/>
    <mergeCell ref="J80:K80"/>
    <mergeCell ref="J79:K79"/>
    <mergeCell ref="F82:G82"/>
    <mergeCell ref="C40:E40"/>
    <mergeCell ref="L53:M53"/>
    <mergeCell ref="D50:E50"/>
    <mergeCell ref="H39:I39"/>
    <mergeCell ref="J68:K68"/>
    <mergeCell ref="L68:M68"/>
    <mergeCell ref="C71:E71"/>
    <mergeCell ref="F72:G72"/>
    <mergeCell ref="H72:I72"/>
    <mergeCell ref="H75:I75"/>
    <mergeCell ref="J75:K75"/>
    <mergeCell ref="C24:E24"/>
    <mergeCell ref="F48:G48"/>
    <mergeCell ref="H48:I48"/>
    <mergeCell ref="J60:L60"/>
    <mergeCell ref="C26:E26"/>
    <mergeCell ref="H14:I14"/>
    <mergeCell ref="L70:M70"/>
    <mergeCell ref="F73:G73"/>
    <mergeCell ref="J25:K25"/>
    <mergeCell ref="L25:M25"/>
    <mergeCell ref="C14:E14"/>
    <mergeCell ref="H20:I20"/>
    <mergeCell ref="J28:K28"/>
    <mergeCell ref="L28:M28"/>
    <mergeCell ref="C20:E20"/>
    <mergeCell ref="C25:E25"/>
    <mergeCell ref="J73:K73"/>
    <mergeCell ref="C22:E22"/>
    <mergeCell ref="H25:I25"/>
    <mergeCell ref="C72:E72"/>
    <mergeCell ref="C28:E28"/>
    <mergeCell ref="H16:I16"/>
    <mergeCell ref="G64:I64"/>
    <mergeCell ref="F17:G17"/>
    <mergeCell ref="B53:C53"/>
    <mergeCell ref="H17:I17"/>
    <mergeCell ref="D53:E53"/>
    <mergeCell ref="D47:E47"/>
    <mergeCell ref="B5:D5"/>
    <mergeCell ref="F47:G47"/>
    <mergeCell ref="H19:I19"/>
    <mergeCell ref="G9:J9"/>
    <mergeCell ref="G5:I5"/>
    <mergeCell ref="J16:K16"/>
    <mergeCell ref="H18:I18"/>
    <mergeCell ref="J18:K18"/>
    <mergeCell ref="J17:K17"/>
    <mergeCell ref="F53:G53"/>
    <mergeCell ref="F15:G15"/>
    <mergeCell ref="F16:G16"/>
    <mergeCell ref="G62:I62"/>
    <mergeCell ref="C21:E21"/>
    <mergeCell ref="B88:Y88"/>
    <mergeCell ref="A1:Z1"/>
    <mergeCell ref="C23:E23"/>
    <mergeCell ref="C62:F62"/>
    <mergeCell ref="F70:G70"/>
    <mergeCell ref="B83:Y83"/>
    <mergeCell ref="C64:F64"/>
    <mergeCell ref="F23:G23"/>
    <mergeCell ref="C18:E18"/>
    <mergeCell ref="J31:K31"/>
    <mergeCell ref="B85:Y85"/>
    <mergeCell ref="L31:M31"/>
    <mergeCell ref="C34:E34"/>
    <mergeCell ref="F71:G71"/>
    <mergeCell ref="C74:E74"/>
    <mergeCell ref="J65:L65"/>
    <mergeCell ref="J63:L63"/>
    <mergeCell ref="L42:M42"/>
    <mergeCell ref="F18:G18"/>
    <mergeCell ref="F45:G45"/>
    <mergeCell ref="F42:G42"/>
  </mergeCells>
  <dataValidations count="2">
    <dataValidation type="list" sqref="E5" xr:uid="{00000000-0002-0000-0500-000000000000}">
      <formula1>"Acct1,Acct2,Combined"</formula1>
      <formula2>0</formula2>
    </dataValidation>
    <dataValidation type="list" sqref="W5" xr:uid="{00000000-0002-0000-0500-000003000000}">
      <formula1>"5,10,15"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1000000}">
          <x14:formula1>
            <xm:f>Months_Ref!$A$2:$A$25</xm:f>
          </x14:formula1>
          <xm:sqref>K5 Q5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B24"/>
  <sheetViews>
    <sheetView tabSelected="1" zoomScaleNormal="100" workbookViewId="0">
      <selection activeCell="B24" sqref="B24"/>
    </sheetView>
  </sheetViews>
  <sheetFormatPr defaultColWidth="8.7109375" defaultRowHeight="15" x14ac:dyDescent="0.25"/>
  <cols>
    <col min="1" max="1" width="5" customWidth="1"/>
    <col min="2" max="2" width="95" customWidth="1"/>
  </cols>
  <sheetData>
    <row r="1" spans="1:2" ht="27.75" customHeight="1" x14ac:dyDescent="0.25">
      <c r="A1" s="67" t="s">
        <v>137</v>
      </c>
      <c r="B1" s="30"/>
    </row>
    <row r="2" spans="1:2" ht="19.5" customHeight="1" x14ac:dyDescent="0.25">
      <c r="A2" s="65" t="s">
        <v>138</v>
      </c>
      <c r="B2" s="30"/>
    </row>
    <row r="3" spans="1:2" ht="16.5" customHeight="1" x14ac:dyDescent="0.25">
      <c r="A3" s="22" t="s">
        <v>139</v>
      </c>
      <c r="B3" s="23" t="s">
        <v>140</v>
      </c>
    </row>
    <row r="4" spans="1:2" ht="16.5" customHeight="1" x14ac:dyDescent="0.25">
      <c r="A4" s="22" t="s">
        <v>139</v>
      </c>
      <c r="B4" s="24" t="s">
        <v>141</v>
      </c>
    </row>
    <row r="5" spans="1:2" ht="16.5" customHeight="1" x14ac:dyDescent="0.25">
      <c r="A5" s="22" t="s">
        <v>139</v>
      </c>
      <c r="B5" s="23" t="s">
        <v>142</v>
      </c>
    </row>
    <row r="6" spans="1:2" ht="19.5" customHeight="1" x14ac:dyDescent="0.25">
      <c r="A6" s="66" t="s">
        <v>143</v>
      </c>
      <c r="B6" s="30"/>
    </row>
    <row r="7" spans="1:2" ht="16.5" customHeight="1" x14ac:dyDescent="0.25">
      <c r="B7" s="23" t="s">
        <v>144</v>
      </c>
    </row>
    <row r="8" spans="1:2" ht="19.5" customHeight="1" x14ac:dyDescent="0.25">
      <c r="A8" s="66" t="s">
        <v>145</v>
      </c>
      <c r="B8" s="30"/>
    </row>
    <row r="9" spans="1:2" ht="16.5" customHeight="1" x14ac:dyDescent="0.25">
      <c r="B9" s="23" t="s">
        <v>146</v>
      </c>
    </row>
    <row r="10" spans="1:2" ht="16.5" customHeight="1" x14ac:dyDescent="0.25">
      <c r="B10" s="24" t="s">
        <v>147</v>
      </c>
    </row>
    <row r="11" spans="1:2" ht="19.5" customHeight="1" x14ac:dyDescent="0.25">
      <c r="A11" s="66" t="s">
        <v>148</v>
      </c>
      <c r="B11" s="30"/>
    </row>
    <row r="12" spans="1:2" ht="16.5" customHeight="1" x14ac:dyDescent="0.25">
      <c r="B12" s="24" t="s">
        <v>149</v>
      </c>
    </row>
    <row r="13" spans="1:2" ht="16.5" customHeight="1" x14ac:dyDescent="0.25">
      <c r="B13" s="23" t="s">
        <v>150</v>
      </c>
    </row>
    <row r="14" spans="1:2" ht="19.5" customHeight="1" x14ac:dyDescent="0.25">
      <c r="A14" s="66" t="s">
        <v>151</v>
      </c>
      <c r="B14" s="30"/>
    </row>
    <row r="15" spans="1:2" ht="16.5" customHeight="1" x14ac:dyDescent="0.25">
      <c r="B15" s="23" t="s">
        <v>152</v>
      </c>
    </row>
    <row r="16" spans="1:2" ht="16.5" customHeight="1" x14ac:dyDescent="0.25">
      <c r="B16" s="24" t="s">
        <v>153</v>
      </c>
    </row>
    <row r="17" spans="1:2" ht="19.5" customHeight="1" x14ac:dyDescent="0.25">
      <c r="A17" s="68" t="s">
        <v>154</v>
      </c>
      <c r="B17" s="30"/>
    </row>
    <row r="18" spans="1:2" ht="16.5" customHeight="1" x14ac:dyDescent="0.25">
      <c r="A18" s="22" t="s">
        <v>155</v>
      </c>
      <c r="B18" s="24" t="s">
        <v>156</v>
      </c>
    </row>
    <row r="19" spans="1:2" ht="16.5" customHeight="1" x14ac:dyDescent="0.25">
      <c r="A19" s="22" t="s">
        <v>157</v>
      </c>
      <c r="B19" s="23" t="s">
        <v>158</v>
      </c>
    </row>
    <row r="20" spans="1:2" ht="16.5" customHeight="1" x14ac:dyDescent="0.25">
      <c r="A20" s="22" t="s">
        <v>159</v>
      </c>
      <c r="B20" s="24" t="s">
        <v>160</v>
      </c>
    </row>
    <row r="21" spans="1:2" ht="16.5" customHeight="1" x14ac:dyDescent="0.25">
      <c r="A21" s="22" t="s">
        <v>161</v>
      </c>
      <c r="B21" s="23" t="s">
        <v>162</v>
      </c>
    </row>
    <row r="22" spans="1:2" ht="16.5" customHeight="1" x14ac:dyDescent="0.25">
      <c r="A22" s="22" t="s">
        <v>163</v>
      </c>
      <c r="B22" s="24" t="s">
        <v>164</v>
      </c>
    </row>
    <row r="23" spans="1:2" ht="16.5" customHeight="1" x14ac:dyDescent="0.25">
      <c r="A23" s="22" t="s">
        <v>165</v>
      </c>
      <c r="B23" s="23" t="s">
        <v>166</v>
      </c>
    </row>
    <row r="24" spans="1:2" x14ac:dyDescent="0.25">
      <c r="A24" s="22" t="s">
        <v>167</v>
      </c>
    </row>
  </sheetData>
  <mergeCells count="7">
    <mergeCell ref="A2:B2"/>
    <mergeCell ref="A11:B11"/>
    <mergeCell ref="A14:B14"/>
    <mergeCell ref="A1:B1"/>
    <mergeCell ref="A17:B17"/>
    <mergeCell ref="A8:B8"/>
    <mergeCell ref="A6:B6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Acct1_Raw</vt:lpstr>
      <vt:lpstr>Acct2_Raw</vt:lpstr>
      <vt:lpstr>Months_Ref</vt:lpstr>
      <vt:lpstr>Service_List</vt:lpstr>
      <vt:lpstr>Chart_Engine</vt:lpstr>
      <vt:lpstr>Dashboard</vt:lpstr>
      <vt:lpstr>How_It_Works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adwoa</cp:lastModifiedBy>
  <cp:revision>1</cp:revision>
  <dcterms:created xsi:type="dcterms:W3CDTF">2026-03-03T03:24:38Z</dcterms:created>
  <dcterms:modified xsi:type="dcterms:W3CDTF">2026-03-03T11:26:33Z</dcterms:modified>
  <dc:language>en-US</dc:language>
</cp:coreProperties>
</file>