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cct1_Raw" sheetId="1" state="visible" r:id="rId1"/>
    <sheet name="Acct2_Raw" sheetId="2" state="visible" r:id="rId2"/>
    <sheet name="Months_Ref" sheetId="3" state="hidden" r:id="rId3"/>
    <sheet name="Service_List" sheetId="4" state="hidden" r:id="rId4"/>
    <sheet name="Chart_Engine" sheetId="5" state="hidden" r:id="rId5"/>
    <sheet name="Dashboard" sheetId="6" state="visible" r:id="rId6"/>
    <sheet name="How_It_Work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8">
    <numFmt numFmtId="164" formatCode="0.0%"/>
    <numFmt numFmtId="165" formatCode="\+#,##0;\-#,##0"/>
    <numFmt numFmtId="166" formatCode="\+0.0%;\-0.0%;0.0%"/>
    <numFmt numFmtId="167" formatCode="\+#,##0.00;\-#,##0.00"/>
    <numFmt numFmtId="168" formatCode="\+0.0%;\-0.0%"/>
    <numFmt numFmtId="169" formatCode="yyyy-mm-dd h:mm:ss"/>
    <numFmt numFmtId="170" formatCode="M/D/YY"/>
    <numFmt numFmtId="171" formatCode="#,##0.000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sz val="9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sz val="8"/>
    </font>
    <font>
      <name val="Arial"/>
      <charset val="1"/>
      <family val="0"/>
      <sz val="8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BDD7EE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4E79"/>
      <sz val="9"/>
    </font>
    <font>
      <name val="Arial"/>
      <charset val="1"/>
      <family val="0"/>
      <b val="1"/>
      <color rgb="FFC00000"/>
      <sz val="13"/>
    </font>
    <font>
      <name val="Arial"/>
      <charset val="1"/>
      <family val="0"/>
      <b val="1"/>
      <color rgb="FFFFFFFF"/>
      <sz val="20"/>
    </font>
    <font>
      <name val="Arial"/>
      <charset val="1"/>
      <family val="0"/>
      <i val="1"/>
      <color rgb="FFBDD7EE"/>
      <sz val="8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595959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charset val="1"/>
      <family val="0"/>
      <b val="1"/>
      <color rgb="FFFFFFFF"/>
      <sz val="13"/>
    </font>
  </fonts>
  <fills count="1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C55A11"/>
        <bgColor rgb="FFED7D31"/>
      </patternFill>
    </fill>
    <fill>
      <patternFill patternType="solid">
        <fgColor rgb="FF375623"/>
        <bgColor rgb="FF595959"/>
      </patternFill>
    </fill>
    <fill>
      <patternFill patternType="solid">
        <fgColor rgb="FF2E75B6"/>
        <bgColor rgb="FF4472C4"/>
      </patternFill>
    </fill>
    <fill>
      <patternFill patternType="solid">
        <fgColor rgb="FFF0F4F8"/>
        <bgColor rgb="FFEEF4FB"/>
      </patternFill>
    </fill>
    <fill>
      <patternFill patternType="solid">
        <fgColor rgb="FFDEEAF1"/>
        <bgColor rgb="FFEEF4FB"/>
      </patternFill>
    </fill>
    <fill>
      <patternFill patternType="solid">
        <fgColor rgb="FFFFFFFF"/>
        <bgColor rgb="FFF9F9F9"/>
      </patternFill>
    </fill>
    <fill>
      <patternFill patternType="solid">
        <fgColor rgb="FFEEF4FB"/>
        <bgColor rgb="FFF0F4F8"/>
      </patternFill>
    </fill>
    <fill>
      <patternFill patternType="solid">
        <fgColor rgb="FF843C0C"/>
        <bgColor rgb="FF595959"/>
      </patternFill>
    </fill>
    <fill>
      <patternFill patternType="solid">
        <fgColor rgb="FFC00000"/>
        <bgColor rgb="FFFF0000"/>
      </patternFill>
    </fill>
    <fill>
      <patternFill patternType="solid">
        <fgColor rgb="FF595959"/>
        <bgColor rgb="FF375623"/>
      </patternFill>
    </fill>
    <fill>
      <patternFill patternType="solid">
        <fgColor rgb="FFF2F2F2"/>
        <bgColor rgb="FFF0F4F8"/>
      </patternFill>
    </fill>
  </fills>
  <borders count="2">
    <border>
      <left/>
      <right/>
      <top/>
      <bottom/>
      <diagonal/>
    </border>
    <border>
      <left style="thin">
        <color rgb="FFDEEAF1"/>
      </left>
      <right style="thin">
        <color rgb="FFDEEAF1"/>
      </right>
      <top style="thin">
        <color rgb="FFDEEAF1"/>
      </top>
      <bottom style="medium">
        <color rgb="FF2E75B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4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left" vertical="center" indent="2"/>
    </xf>
    <xf numFmtId="0" fontId="9" fillId="7" borderId="0" applyAlignment="1" pivotButton="0" quotePrefix="0" xfId="0">
      <alignment horizontal="general" vertical="bottom"/>
    </xf>
    <xf numFmtId="4" fontId="9" fillId="7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3" fontId="15" fillId="2" borderId="0" applyAlignment="1" pivotButton="0" quotePrefix="0" xfId="0">
      <alignment horizontal="center" vertical="center"/>
    </xf>
    <xf numFmtId="3" fontId="15" fillId="6" borderId="0" applyAlignment="1" pivotButton="0" quotePrefix="0" xfId="0">
      <alignment horizontal="center" vertical="center"/>
    </xf>
    <xf numFmtId="165" fontId="15" fillId="5" borderId="0" applyAlignment="1" pivotButton="0" quotePrefix="0" xfId="0">
      <alignment horizontal="center" vertical="center"/>
    </xf>
    <xf numFmtId="166" fontId="15" fillId="4" borderId="0" applyAlignment="1" pivotButton="0" quotePrefix="0" xfId="0">
      <alignment horizontal="center" vertical="center"/>
    </xf>
    <xf numFmtId="1" fontId="15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 indent="1"/>
    </xf>
    <xf numFmtId="0" fontId="4" fillId="6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general" vertical="bottom"/>
    </xf>
    <xf numFmtId="0" fontId="6" fillId="10" borderId="0" applyAlignment="1" pivotButton="0" quotePrefix="0" xfId="0">
      <alignment horizontal="left" vertical="center"/>
    </xf>
    <xf numFmtId="4" fontId="6" fillId="10" borderId="0" applyAlignment="1" pivotButton="0" quotePrefix="0" xfId="0">
      <alignment horizontal="right" vertical="center"/>
    </xf>
    <xf numFmtId="167" fontId="6" fillId="10" borderId="0" applyAlignment="1" pivotButton="0" quotePrefix="0" xfId="0">
      <alignment horizontal="right" vertical="center"/>
    </xf>
    <xf numFmtId="168" fontId="6" fillId="10" borderId="0" applyAlignment="1" pivotButton="0" quotePrefix="0" xfId="0">
      <alignment horizontal="right" vertical="center"/>
    </xf>
    <xf numFmtId="0" fontId="18" fillId="9" borderId="0" applyAlignment="1" pivotButton="0" quotePrefix="0" xfId="0">
      <alignment horizontal="general" vertical="bottom"/>
    </xf>
    <xf numFmtId="0" fontId="6" fillId="9" borderId="0" applyAlignment="1" pivotButton="0" quotePrefix="0" xfId="0">
      <alignment horizontal="left" vertical="center"/>
    </xf>
    <xf numFmtId="4" fontId="6" fillId="9" borderId="0" applyAlignment="1" pivotButton="0" quotePrefix="0" xfId="0">
      <alignment horizontal="right" vertical="center"/>
    </xf>
    <xf numFmtId="167" fontId="6" fillId="9" borderId="0" applyAlignment="1" pivotButton="0" quotePrefix="0" xfId="0">
      <alignment horizontal="right" vertical="center"/>
    </xf>
    <xf numFmtId="168" fontId="6" fillId="9" borderId="0" applyAlignment="1" pivotButton="0" quotePrefix="0" xfId="0">
      <alignment horizontal="right" vertical="center"/>
    </xf>
    <xf numFmtId="0" fontId="17" fillId="6" borderId="0" applyAlignment="1" pivotButton="0" quotePrefix="0" xfId="0">
      <alignment horizontal="left" vertical="center" indent="1"/>
    </xf>
    <xf numFmtId="0" fontId="17" fillId="5" borderId="0" applyAlignment="1" pivotButton="0" quotePrefix="0" xfId="0">
      <alignment horizontal="left" vertical="center" indent="1"/>
    </xf>
    <xf numFmtId="0" fontId="5" fillId="10" borderId="0" applyAlignment="1" pivotButton="0" quotePrefix="0" xfId="0">
      <alignment horizontal="general" vertical="bottom"/>
    </xf>
    <xf numFmtId="0" fontId="5" fillId="9" borderId="0" applyAlignment="1" pivotButton="0" quotePrefix="0" xfId="0">
      <alignment horizontal="general" vertical="bottom"/>
    </xf>
    <xf numFmtId="0" fontId="17" fillId="11" borderId="0" applyAlignment="1" pivotButton="0" quotePrefix="0" xfId="0">
      <alignment horizontal="left" vertical="center" indent="1"/>
    </xf>
    <xf numFmtId="164" fontId="6" fillId="10" borderId="0" applyAlignment="1" pivotButton="0" quotePrefix="0" xfId="0">
      <alignment horizontal="right" vertical="center"/>
    </xf>
    <xf numFmtId="164" fontId="6" fillId="9" borderId="0" applyAlignment="1" pivotButton="0" quotePrefix="0" xfId="0">
      <alignment horizontal="right" vertical="center"/>
    </xf>
    <xf numFmtId="0" fontId="6" fillId="8" borderId="0" applyAlignment="1" pivotButton="0" quotePrefix="0" xfId="0">
      <alignment horizontal="left" vertical="center" indent="2"/>
    </xf>
    <xf numFmtId="0" fontId="6" fillId="9" borderId="0" applyAlignment="1" pivotButton="0" quotePrefix="0" xfId="0">
      <alignment horizontal="left" vertical="center" indent="2"/>
    </xf>
    <xf numFmtId="0" fontId="22" fillId="2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left" vertical="center" indent="1"/>
    </xf>
    <xf numFmtId="0" fontId="4" fillId="1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 wrapText="1" indent="1"/>
    </xf>
    <xf numFmtId="0" fontId="6" fillId="14" borderId="0" applyAlignment="1" pivotButton="0" quotePrefix="0" xfId="0">
      <alignment horizontal="left" vertical="center" wrapText="1" indent="1"/>
    </xf>
    <xf numFmtId="0" fontId="12" fillId="6" borderId="0" applyAlignment="1" pivotButton="0" quotePrefix="0" xfId="0">
      <alignment horizontal="left" vertical="center" indent="1"/>
    </xf>
    <xf numFmtId="0" fontId="12" fillId="5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general" vertical="bottom"/>
    </xf>
    <xf numFmtId="171" fontId="5" fillId="3" borderId="0" applyAlignment="1" pivotButton="0" quotePrefix="0" xfId="0">
      <alignment horizontal="general" vertical="bottom"/>
    </xf>
    <xf numFmtId="170" fontId="6" fillId="0" borderId="0" applyAlignment="1" pivotButton="0" quotePrefix="0" xfId="0">
      <alignment horizontal="general" vertical="bottom"/>
    </xf>
    <xf numFmtId="4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170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left" vertical="center" indent="2"/>
    </xf>
    <xf numFmtId="0" fontId="0" fillId="7" borderId="0" applyAlignment="1" pivotButton="0" quotePrefix="0" xfId="0">
      <alignment horizontal="general" vertical="bottom"/>
    </xf>
    <xf numFmtId="0" fontId="11" fillId="6" borderId="0" applyAlignment="1" pivotButton="0" quotePrefix="0" xfId="0">
      <alignment horizontal="left" vertical="center" indent="2"/>
    </xf>
    <xf numFmtId="0" fontId="9" fillId="7" borderId="0" applyAlignment="1" pivotButton="0" quotePrefix="0" xfId="0">
      <alignment horizontal="general" vertical="bottom"/>
    </xf>
    <xf numFmtId="4" fontId="9" fillId="7" borderId="0" applyAlignment="1" pivotButton="0" quotePrefix="0" xfId="0">
      <alignment horizontal="general" vertical="bottom"/>
    </xf>
    <xf numFmtId="0" fontId="12" fillId="2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170" fontId="14" fillId="9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3" fontId="15" fillId="2" borderId="0" applyAlignment="1" pivotButton="0" quotePrefix="0" xfId="0">
      <alignment horizontal="center" vertical="center"/>
    </xf>
    <xf numFmtId="3" fontId="15" fillId="6" borderId="0" applyAlignment="1" pivotButton="0" quotePrefix="0" xfId="0">
      <alignment horizontal="center" vertical="center"/>
    </xf>
    <xf numFmtId="165" fontId="15" fillId="5" borderId="0" applyAlignment="1" pivotButton="0" quotePrefix="0" xfId="0">
      <alignment horizontal="center" vertical="center"/>
    </xf>
    <xf numFmtId="166" fontId="15" fillId="4" borderId="0" applyAlignment="1" pivotButton="0" quotePrefix="0" xfId="0">
      <alignment horizontal="center" vertical="center"/>
    </xf>
    <xf numFmtId="1" fontId="15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6" fillId="6" borderId="0" applyAlignment="1" pivotButton="0" quotePrefix="0" xfId="0">
      <alignment horizontal="center" vertical="center"/>
    </xf>
    <xf numFmtId="0" fontId="16" fillId="5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 indent="1"/>
    </xf>
    <xf numFmtId="0" fontId="18" fillId="10" borderId="0" applyAlignment="1" pivotButton="0" quotePrefix="0" xfId="0">
      <alignment horizontal="general" vertical="bottom"/>
    </xf>
    <xf numFmtId="0" fontId="6" fillId="10" borderId="0" applyAlignment="1" pivotButton="0" quotePrefix="0" xfId="0">
      <alignment horizontal="left" vertical="center"/>
    </xf>
    <xf numFmtId="4" fontId="6" fillId="10" borderId="0" applyAlignment="1" pivotButton="0" quotePrefix="0" xfId="0">
      <alignment horizontal="right" vertical="center"/>
    </xf>
    <xf numFmtId="167" fontId="6" fillId="10" borderId="0" applyAlignment="1" pivotButton="0" quotePrefix="0" xfId="0">
      <alignment horizontal="right" vertical="center"/>
    </xf>
    <xf numFmtId="168" fontId="6" fillId="10" borderId="0" applyAlignment="1" pivotButton="0" quotePrefix="0" xfId="0">
      <alignment horizontal="right" vertical="center"/>
    </xf>
    <xf numFmtId="0" fontId="18" fillId="9" borderId="0" applyAlignment="1" pivotButton="0" quotePrefix="0" xfId="0">
      <alignment horizontal="general" vertical="bottom"/>
    </xf>
    <xf numFmtId="0" fontId="6" fillId="9" borderId="0" applyAlignment="1" pivotButton="0" quotePrefix="0" xfId="0">
      <alignment horizontal="left" vertical="center"/>
    </xf>
    <xf numFmtId="4" fontId="6" fillId="9" borderId="0" applyAlignment="1" pivotButton="0" quotePrefix="0" xfId="0">
      <alignment horizontal="right" vertical="center"/>
    </xf>
    <xf numFmtId="167" fontId="6" fillId="9" borderId="0" applyAlignment="1" pivotButton="0" quotePrefix="0" xfId="0">
      <alignment horizontal="right" vertical="center"/>
    </xf>
    <xf numFmtId="168" fontId="6" fillId="9" borderId="0" applyAlignment="1" pivotButton="0" quotePrefix="0" xfId="0">
      <alignment horizontal="right" vertical="center"/>
    </xf>
    <xf numFmtId="0" fontId="17" fillId="6" borderId="0" applyAlignment="1" pivotButton="0" quotePrefix="0" xfId="0">
      <alignment horizontal="left" vertical="center" indent="1"/>
    </xf>
    <xf numFmtId="0" fontId="17" fillId="5" borderId="0" applyAlignment="1" pivotButton="0" quotePrefix="0" xfId="0">
      <alignment horizontal="left" vertical="center" indent="1"/>
    </xf>
    <xf numFmtId="0" fontId="5" fillId="10" borderId="0" applyAlignment="1" pivotButton="0" quotePrefix="0" xfId="0">
      <alignment horizontal="general" vertical="bottom"/>
    </xf>
    <xf numFmtId="0" fontId="5" fillId="9" borderId="0" applyAlignment="1" pivotButton="0" quotePrefix="0" xfId="0">
      <alignment horizontal="general" vertical="bottom"/>
    </xf>
    <xf numFmtId="0" fontId="17" fillId="11" borderId="0" applyAlignment="1" pivotButton="0" quotePrefix="0" xfId="0">
      <alignment horizontal="left" vertical="center" indent="1"/>
    </xf>
    <xf numFmtId="164" fontId="6" fillId="10" borderId="0" applyAlignment="1" pivotButton="0" quotePrefix="0" xfId="0">
      <alignment horizontal="right" vertical="center"/>
    </xf>
    <xf numFmtId="164" fontId="6" fillId="9" borderId="0" applyAlignment="1" pivotButton="0" quotePrefix="0" xfId="0">
      <alignment horizontal="right" vertical="center"/>
    </xf>
    <xf numFmtId="0" fontId="6" fillId="8" borderId="0" applyAlignment="1" pivotButton="0" quotePrefix="0" xfId="0">
      <alignment horizontal="left" vertical="center" indent="2"/>
    </xf>
    <xf numFmtId="0" fontId="6" fillId="9" borderId="0" applyAlignment="1" pivotButton="0" quotePrefix="0" xfId="0">
      <alignment horizontal="left" vertical="center" indent="2"/>
    </xf>
    <xf numFmtId="0" fontId="22" fillId="2" borderId="0" applyAlignment="1" pivotButton="0" quotePrefix="0" xfId="0">
      <alignment horizontal="center" vertical="center"/>
    </xf>
    <xf numFmtId="0" fontId="12" fillId="12" borderId="0" applyAlignment="1" pivotButton="0" quotePrefix="0" xfId="0">
      <alignment horizontal="left" vertical="center" indent="1"/>
    </xf>
    <xf numFmtId="0" fontId="4" fillId="13" borderId="0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 wrapText="1" indent="1"/>
    </xf>
    <xf numFmtId="0" fontId="6" fillId="14" borderId="0" applyAlignment="1" pivotButton="0" quotePrefix="0" xfId="0">
      <alignment horizontal="left" vertical="center" wrapText="1" indent="1"/>
    </xf>
    <xf numFmtId="0" fontId="12" fillId="6" borderId="0" applyAlignment="1" pivotButton="0" quotePrefix="0" xfId="0">
      <alignment horizontal="left" vertical="center" indent="1"/>
    </xf>
    <xf numFmtId="0" fontId="12" fillId="5" borderId="0" applyAlignment="1" pivotButton="0" quotePrefix="0" xfId="0">
      <alignment horizontal="left" vertical="center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FF2CC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EF4FB"/>
      <rgbColor rgb="FFF0F4F8"/>
      <rgbColor rgb="FFF2F2F2"/>
      <rgbColor rgb="FFA9D18E"/>
      <rgbColor rgb="FFF9F9F9"/>
      <rgbColor rgb="FFCC99FF"/>
      <rgbColor rgb="FFD9D9D9"/>
      <rgbColor rgb="FF4472C4"/>
      <rgbColor rgb="FF33CCCC"/>
      <rgbColor rgb="FF99CC00"/>
      <rgbColor rgb="FFFFC000"/>
      <rgbColor rgb="FFFF9900"/>
      <rgbColor rgb="FFED7D31"/>
      <rgbColor rgb="FF595959"/>
      <rgbColor rgb="FF70AD47"/>
      <rgbColor rgb="FF003366"/>
      <rgbColor rgb="FF4F81BD"/>
      <rgbColor rgb="FF003300"/>
      <rgbColor rgb="FF333300"/>
      <rgbColor rgb="FF843C0C"/>
      <rgbColor rgb="FFC55A11"/>
      <rgbColor rgb="FF1F4E7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N Services — Current Month Cost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Dashboard!AC2</f>
              <strCache>
                <ptCount val="1"/>
                <pt idx="0">
                  <v>Current($)</v>
                </pt>
              </strCache>
            </strRef>
          </tx>
          <spPr>
            <a:solidFill>
              <a:srgbClr val="2e75b6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Dashboard!$AB$3:$AB$17</f>
              <strCache>
                <ptCount val="15"/>
                <pt idx="0">
                  <v>Batch($)</v>
                </pt>
                <pt idx="1">
                  <v>CodeBuild($)</v>
                </pt>
                <pt idx="2">
                  <v>Chime($)</v>
                </pt>
                <pt idx="3">
                  <v>DataSync($)</v>
                </pt>
                <pt idx="4">
                  <v>CloudFront($)</v>
                </pt>
                <pt idx="5">
                  <v>SageMaker($)</v>
                </pt>
                <pt idx="6">
                  <v>GuardDuty($)</v>
                </pt>
                <pt idx="7">
                  <v>WAF($)</v>
                </pt>
                <pt idx="8">
                  <v>Transcribe($)</v>
                </pt>
                <pt idx="9">
                  <v>API Gateway($)</v>
                </pt>
                <pt idx="10">
                  <v>Translate($)</v>
                </pt>
                <pt idx="11">
                  <v>Firehose($)</v>
                </pt>
                <pt idx="12">
                  <v>Athena($)</v>
                </pt>
                <pt idx="13">
                  <v>AppSync($)</v>
                </pt>
                <pt idx="14">
                  <v>Transfer Family($)</v>
                </pt>
              </strCache>
            </strRef>
          </cat>
          <val>
            <numRef>
              <f>Dashboard!$AC$3:$AC$17</f>
              <numCache>
                <formatCode>#,##0.00</formatCode>
                <ptCount val="15"/>
                <pt idx="0">
                  <v>15512.515</v>
                </pt>
                <pt idx="1">
                  <v>15455.827</v>
                </pt>
                <pt idx="2">
                  <v>15384.035</v>
                </pt>
                <pt idx="3">
                  <v>14365.916</v>
                </pt>
                <pt idx="4">
                  <v>14222.876</v>
                </pt>
                <pt idx="5">
                  <v>14013.558</v>
                </pt>
                <pt idx="6">
                  <v>13414.014</v>
                </pt>
                <pt idx="7">
                  <v>12336.252</v>
                </pt>
                <pt idx="8">
                  <v>11892.791</v>
                </pt>
                <pt idx="9">
                  <v>11724.125</v>
                </pt>
                <pt idx="10">
                  <v>11660.599</v>
                </pt>
                <pt idx="11">
                  <v>11568.293</v>
                </pt>
                <pt idx="12">
                  <v>11300.897</v>
                </pt>
                <pt idx="13">
                  <v>11093.646</v>
                </pt>
                <pt idx="14">
                  <v>11086.39</v>
                </pt>
              </numCache>
            </numRef>
          </val>
        </ser>
        <ser>
          <idx val="1"/>
          <order val="1"/>
          <tx>
            <strRef>
              <f>Dashboard!AD2</f>
              <strCache>
                <ptCount val="1"/>
                <pt idx="0">
                  <v>Prior($)</v>
                </pt>
              </strCache>
            </strRef>
          </tx>
          <spPr>
            <a:solidFill>
              <a:srgbClr val="bdd7ee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Dashboard!$AB$3:$AB$17</f>
              <strCache>
                <ptCount val="15"/>
                <pt idx="0">
                  <v>Batch($)</v>
                </pt>
                <pt idx="1">
                  <v>CodeBuild($)</v>
                </pt>
                <pt idx="2">
                  <v>Chime($)</v>
                </pt>
                <pt idx="3">
                  <v>DataSync($)</v>
                </pt>
                <pt idx="4">
                  <v>CloudFront($)</v>
                </pt>
                <pt idx="5">
                  <v>SageMaker($)</v>
                </pt>
                <pt idx="6">
                  <v>GuardDuty($)</v>
                </pt>
                <pt idx="7">
                  <v>WAF($)</v>
                </pt>
                <pt idx="8">
                  <v>Transcribe($)</v>
                </pt>
                <pt idx="9">
                  <v>API Gateway($)</v>
                </pt>
                <pt idx="10">
                  <v>Translate($)</v>
                </pt>
                <pt idx="11">
                  <v>Firehose($)</v>
                </pt>
                <pt idx="12">
                  <v>Athena($)</v>
                </pt>
                <pt idx="13">
                  <v>AppSync($)</v>
                </pt>
                <pt idx="14">
                  <v>Transfer Family($)</v>
                </pt>
              </strCache>
            </strRef>
          </cat>
          <val>
            <numRef>
              <f>Dashboard!$AD$3:$AD$17</f>
              <numCache>
                <formatCode>#,##0.00</formatCode>
                <ptCount val="15"/>
                <pt idx="0">
                  <v>16027.611</v>
                </pt>
                <pt idx="1">
                  <v>14258.022</v>
                </pt>
                <pt idx="2">
                  <v>15782.181</v>
                </pt>
                <pt idx="3">
                  <v>11053.966</v>
                </pt>
                <pt idx="4">
                  <v>13285.737</v>
                </pt>
                <pt idx="5">
                  <v>13993.823</v>
                </pt>
                <pt idx="6">
                  <v>13009.142</v>
                </pt>
                <pt idx="7">
                  <v>11246.776</v>
                </pt>
                <pt idx="8">
                  <v>12693.929</v>
                </pt>
                <pt idx="9">
                  <v>11062.893</v>
                </pt>
                <pt idx="10">
                  <v>12706.196</v>
                </pt>
                <pt idx="11">
                  <v>11179.972</v>
                </pt>
                <pt idx="12">
                  <v>10423.939</v>
                </pt>
                <pt idx="13">
                  <v>10171.923</v>
                </pt>
                <pt idx="14">
                  <v>9604.208000000001</v>
                </pt>
              </numCache>
            </numRef>
          </val>
        </ser>
        <gapWidth val="150"/>
        <overlap val="-10"/>
        <axId val="13291015"/>
        <axId val="71157035"/>
      </barChart>
      <catAx>
        <axId val="13291015"/>
        <scaling>
          <orientation val="minMax"/>
        </scaling>
        <delete val="0"/>
        <axPos val="b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1157035"/>
        <crosses val="autoZero"/>
        <auto val="1"/>
        <lblAlgn val="ctr"/>
        <lblOffset val="100"/>
        <noMultiLvlLbl val="0"/>
      </catAx>
      <valAx>
        <axId val="71157035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3291015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Top N Services — MoM Change ($)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Dashboard!AC19</f>
              <strCache>
                <ptCount val="1"/>
                <pt idx="0">
                  <v>MoM_D($)</v>
                </pt>
              </strCache>
            </strRef>
          </tx>
          <spPr>
            <a:solidFill>
              <a:srgbClr val="375623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Dashboard!$AB$20:$AB$34</f>
              <strCache>
                <ptCount val="15"/>
                <pt idx="0">
                  <v>DataSync($)</v>
                </pt>
                <pt idx="1">
                  <v>Shield($)</v>
                </pt>
                <pt idx="2">
                  <v>IAM($)</v>
                </pt>
                <pt idx="3">
                  <v>CodeDeploy($)</v>
                </pt>
                <pt idx="4">
                  <v>CodeCommit($)</v>
                </pt>
                <pt idx="5">
                  <v>Transfer Family($)</v>
                </pt>
                <pt idx="6">
                  <v>Lambda($)</v>
                </pt>
                <pt idx="7">
                  <v>Direct Connect($)</v>
                </pt>
                <pt idx="8">
                  <v>CodeBuild($)</v>
                </pt>
                <pt idx="9">
                  <v>WAF($)</v>
                </pt>
                <pt idx="10">
                  <v>Translate($)</v>
                </pt>
                <pt idx="11">
                  <v>Connect($)</v>
                </pt>
                <pt idx="12">
                  <v>CloudFront($)</v>
                </pt>
                <pt idx="13">
                  <v>AppSync($)</v>
                </pt>
                <pt idx="14">
                  <v>Athena($)</v>
                </pt>
              </strCache>
            </strRef>
          </cat>
          <val>
            <numRef>
              <f>Dashboard!$AC$20:$AC$34</f>
              <numCache>
                <formatCode>#,##0.00</formatCode>
                <ptCount val="15"/>
                <pt idx="0">
                  <v>3311.95</v>
                </pt>
                <pt idx="1">
                  <v>-2320.615</v>
                </pt>
                <pt idx="2">
                  <v>-1951.953</v>
                </pt>
                <pt idx="3">
                  <v>-1887.547</v>
                </pt>
                <pt idx="4">
                  <v>-1821.673</v>
                </pt>
                <pt idx="5">
                  <v>1482.182</v>
                </pt>
                <pt idx="6">
                  <v>1467.085</v>
                </pt>
                <pt idx="7">
                  <v>1441.11</v>
                </pt>
                <pt idx="8">
                  <v>1197.805</v>
                </pt>
                <pt idx="9">
                  <v>1089.476</v>
                </pt>
                <pt idx="10">
                  <v>-1045.597</v>
                </pt>
                <pt idx="11">
                  <v>-1006.779</v>
                </pt>
                <pt idx="12">
                  <v>937.139000000001</v>
                </pt>
                <pt idx="13">
                  <v>921.723</v>
                </pt>
                <pt idx="14">
                  <v>876.958000000001</v>
                </pt>
              </numCache>
            </numRef>
          </val>
        </ser>
        <gapWidth val="150"/>
        <overlap val="0"/>
        <axId val="66492730"/>
        <axId val="26381225"/>
      </barChart>
      <catAx>
        <axId val="66492730"/>
        <scaling>
          <orientation val="minMax"/>
        </scaling>
        <delete val="0"/>
        <axPos val="b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MoM Δ ($)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6381225"/>
        <crosses val="autoZero"/>
        <auto val="1"/>
        <lblAlgn val="ctr"/>
        <lblOffset val="100"/>
        <noMultiLvlLbl val="0"/>
      </catAx>
      <valAx>
        <axId val="26381225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6492730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Cost Trend — Acct1 / Acct2 / Combined</a:t>
            </a:r>
          </a:p>
        </rich>
      </tx>
      <overlay val="0"/>
      <spPr>
        <a:noFill/>
        <a:ln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Dashboard!AC36</f>
              <strCache>
                <ptCount val="1"/>
                <pt idx="0">
                  <v>Acct1</v>
                </pt>
              </strCache>
            </strRef>
          </tx>
          <spPr>
            <a:solidFill>
              <a:srgbClr val="2e75b6"/>
            </a:solidFill>
            <a:ln w="24840">
              <a:solidFill>
                <a:srgbClr val="2e75b6"/>
              </a:solidFill>
              <a:prstDash val="solid"/>
              <a:round/>
            </a:ln>
          </spPr>
          <marker>
            <symbol val="circle"/>
            <size val="6"/>
            <spPr>
              <a:solidFill>
                <a:srgbClr val="2e75b6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Dashboard!$AB$37:$AB$42</f>
              <strCache>
                <ptCount val="6"/>
                <pt idx="0">
                  <v>Aug-25</v>
                </pt>
                <pt idx="1">
                  <v>Sep-25</v>
                </pt>
                <pt idx="2">
                  <v>Oct-25</v>
                </pt>
                <pt idx="3">
                  <v>Nov-25</v>
                </pt>
                <pt idx="4">
                  <v>Dec-25</v>
                </pt>
                <pt idx="5">
                  <v>Jan-26</v>
                </pt>
              </strCache>
            </strRef>
          </cat>
          <val>
            <numRef>
              <f>Dashboard!$AC$37:$AC$42</f>
              <numCache>
                <formatCode>#,##0.00</formatCode>
                <ptCount val="6"/>
                <pt idx="0">
                  <v>474371.397</v>
                </pt>
                <pt idx="1">
                  <v>480182.009</v>
                </pt>
                <pt idx="2">
                  <v>483330.519</v>
                </pt>
                <pt idx="3">
                  <v>477796.982</v>
                </pt>
                <pt idx="4">
                  <v>474735.204</v>
                </pt>
                <pt idx="5">
                  <v>472288.498</v>
                </pt>
              </numCache>
            </numRef>
          </val>
          <smooth val="1"/>
        </ser>
        <ser>
          <idx val="1"/>
          <order val="1"/>
          <tx>
            <strRef>
              <f>Dashboard!AD36</f>
              <strCache>
                <ptCount val="1"/>
                <pt idx="0">
                  <v>Acct2</v>
                </pt>
              </strCache>
            </strRef>
          </tx>
          <spPr>
            <a:solidFill>
              <a:srgbClr val="ed7d31"/>
            </a:solidFill>
            <a:ln w="24840">
              <a:solidFill>
                <a:srgbClr val="ed7d31"/>
              </a:solidFill>
              <a:prstDash val="solid"/>
              <a:round/>
            </a:ln>
          </spPr>
          <marker>
            <symbol val="circle"/>
            <size val="6"/>
            <spPr>
              <a:solidFill>
                <a:srgbClr val="ed7d31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Dashboard!$AB$37:$AB$42</f>
              <strCache>
                <ptCount val="6"/>
                <pt idx="0">
                  <v>Aug-25</v>
                </pt>
                <pt idx="1">
                  <v>Sep-25</v>
                </pt>
                <pt idx="2">
                  <v>Oct-25</v>
                </pt>
                <pt idx="3">
                  <v>Nov-25</v>
                </pt>
                <pt idx="4">
                  <v>Dec-25</v>
                </pt>
                <pt idx="5">
                  <v>Jan-26</v>
                </pt>
              </strCache>
            </strRef>
          </cat>
          <val>
            <numRef>
              <f>Dashboard!$AD$37:$AD$42</f>
              <numCache>
                <formatCode>#,##0.00</formatCode>
                <ptCount val="6"/>
                <pt idx="0">
                  <v>447795.004</v>
                </pt>
                <pt idx="1">
                  <v>433250.809</v>
                </pt>
                <pt idx="2">
                  <v>441339.158</v>
                </pt>
                <pt idx="3">
                  <v>454138.274</v>
                </pt>
                <pt idx="4">
                  <v>449403.33</v>
                </pt>
                <pt idx="5">
                  <v>449777.497</v>
                </pt>
              </numCache>
            </numRef>
          </val>
          <smooth val="1"/>
        </ser>
        <ser>
          <idx val="2"/>
          <order val="2"/>
          <tx>
            <strRef>
              <f>Dashboard!AE36</f>
              <strCache>
                <ptCount val="1"/>
                <pt idx="0">
                  <v>Combined</v>
                </pt>
              </strCache>
            </strRef>
          </tx>
          <spPr>
            <a:solidFill>
              <a:srgbClr val="375623"/>
            </a:solidFill>
            <a:ln w="24840">
              <a:solidFill>
                <a:srgbClr val="375623"/>
              </a:solidFill>
              <a:prstDash val="solid"/>
              <a:round/>
            </a:ln>
          </spPr>
          <marker>
            <symbol val="circle"/>
            <size val="6"/>
            <spPr>
              <a:solidFill>
                <a:srgbClr val="375623"/>
              </a:solidFill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Dashboard!$AB$37:$AB$42</f>
              <strCache>
                <ptCount val="6"/>
                <pt idx="0">
                  <v>Aug-25</v>
                </pt>
                <pt idx="1">
                  <v>Sep-25</v>
                </pt>
                <pt idx="2">
                  <v>Oct-25</v>
                </pt>
                <pt idx="3">
                  <v>Nov-25</v>
                </pt>
                <pt idx="4">
                  <v>Dec-25</v>
                </pt>
                <pt idx="5">
                  <v>Jan-26</v>
                </pt>
              </strCache>
            </strRef>
          </cat>
          <val>
            <numRef>
              <f>Dashboard!$AE$37:$AE$42</f>
              <numCache>
                <formatCode>#,##0.00</formatCode>
                <ptCount val="6"/>
                <pt idx="0">
                  <v>922166.401</v>
                </pt>
                <pt idx="1">
                  <v>913432.818</v>
                </pt>
                <pt idx="2">
                  <v>924669.677</v>
                </pt>
                <pt idx="3">
                  <v>931935.2560000001</v>
                </pt>
                <pt idx="4">
                  <v>924138.534</v>
                </pt>
                <pt idx="5">
                  <v>922065.995</v>
                </pt>
              </numCache>
            </numRef>
          </val>
          <smooth val="1"/>
        </ser>
        <hiLowLines>
          <spPr>
            <a:ln w="0">
              <a:noFill/>
              <a:prstDash val="solid"/>
            </a:ln>
          </spPr>
        </hiLowLines>
        <marker val="1"/>
        <axId val="10307339"/>
        <axId val="33881319"/>
      </lineChart>
      <catAx>
        <axId val="1030733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3881319"/>
        <crosses val="autoZero"/>
        <auto val="1"/>
        <lblAlgn val="ctr"/>
        <lblOffset val="100"/>
        <noMultiLvlLbl val="0"/>
      </catAx>
      <valAx>
        <axId val="33881319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Total Cost ($)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0307339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Cost Share by Service (Current Month)</a:t>
            </a:r>
          </a:p>
        </rich>
      </tx>
      <overlay val="0"/>
      <spPr>
        <a:noFill/>
        <a:ln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Dashboard!AC44</f>
              <strCache>
                <ptCount val="1"/>
                <pt idx="0">
                  <v>Cost($)</v>
                </pt>
              </strCache>
            </strRef>
          </tx>
          <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spPr>
          <explosion val="0"/>
          <dPt>
            <idx val="0"/>
            <spPr>
              <a:solidFill>
                <a:srgbClr val="2e75b6"/>
              </a:solidFill>
              <a:ln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1"/>
            <spPr>
              <a:solidFill>
                <a:srgbClr val="ed7d31"/>
              </a:solidFill>
              <a:ln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2"/>
            <spPr>
              <a:solidFill>
                <a:srgbClr val="ffc000"/>
              </a:solidFill>
              <a:ln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3"/>
            <spPr>
              <a:solidFill>
                <a:srgbClr val="375623"/>
              </a:solidFill>
              <a:ln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4"/>
            <spPr>
              <a:solidFill>
                <a:srgbClr val="ff0000"/>
              </a:solidFill>
              <a:ln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5"/>
            <spPr>
              <a:solidFill>
                <a:srgbClr val="7030a0"/>
              </a:solidFill>
              <a:ln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6"/>
            <spPr>
              <a:solidFill>
                <a:srgbClr val="00b0f0"/>
              </a:solidFill>
              <a:ln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7"/>
            <spPr>
              <a:solidFill>
                <a:srgbClr val="843c0c"/>
              </a:solidFill>
              <a:ln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8"/>
            <spPr>
              <a:solidFill>
                <a:srgbClr val="70ad47"/>
              </a:solidFill>
              <a:ln w="9360">
                <a:solidFill>
                  <a:srgbClr val="f9f9f9"/>
                </a:solidFill>
                <a:prstDash val="solid"/>
                <a:round/>
              </a:ln>
            </spPr>
          </dPt>
          <dPt>
            <idx val="9"/>
            <spPr>
              <a:solidFill>
                <a:srgbClr val="bfbfbf"/>
              </a:solidFill>
              <a:ln w="9360">
                <a:solidFill>
                  <a:srgbClr val="f9f9f9"/>
                </a:solidFill>
                <a:prstDash val="solid"/>
                <a:round/>
              </a:ln>
            </spPr>
          </dPt>
          <dLbls>
            <dLbl>
              <idx val="0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1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2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3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4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5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6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7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8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dLbl>
              <idx val="9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0"/>
              <showPercent val="1"/>
            </dLbl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0"/>
            <showCatName val="1"/>
            <showSerName val="0"/>
            <showPercent val="1"/>
            <showLeaderLines val="1"/>
          </dLbls>
          <cat>
            <strRef>
              <f>Dashboard!$AB$45:$AB$54</f>
              <strCache>
                <ptCount val="10"/>
                <pt idx="0">
                  <v>Batch($)</v>
                </pt>
                <pt idx="1">
                  <v>CodeBuild($)</v>
                </pt>
                <pt idx="2">
                  <v>Chime($)</v>
                </pt>
                <pt idx="3">
                  <v>DataSync($)</v>
                </pt>
                <pt idx="4">
                  <v>CloudFront($)</v>
                </pt>
                <pt idx="5">
                  <v>SageMaker($)</v>
                </pt>
                <pt idx="6">
                  <v>GuardDuty($)</v>
                </pt>
                <pt idx="7">
                  <v>WAF($)</v>
                </pt>
                <pt idx="8">
                  <v>Transcribe($)</v>
                </pt>
                <pt idx="9">
                  <v>Other</v>
                </pt>
              </strCache>
            </strRef>
          </cat>
          <val>
            <numRef>
              <f>Dashboard!$AC$45:$AC$54</f>
              <numCache>
                <formatCode>#,##0.00</formatCode>
                <ptCount val="10"/>
                <pt idx="0">
                  <v>15512.515</v>
                </pt>
                <pt idx="1">
                  <v>15455.827</v>
                </pt>
                <pt idx="2">
                  <v>15384.035</v>
                </pt>
                <pt idx="3">
                  <v>14365.916</v>
                </pt>
                <pt idx="4">
                  <v>14222.876</v>
                </pt>
                <pt idx="5">
                  <v>14013.558</v>
                </pt>
                <pt idx="6">
                  <v>13414.014</v>
                </pt>
                <pt idx="7">
                  <v>12336.252</v>
                </pt>
                <pt idx="8">
                  <v>11892.791</v>
                </pt>
                <pt idx="9">
                  <v>345690.714</v>
                </pt>
              </numCache>
            </numRef>
          </val>
        </ser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Acct1 vs Acct2 — Current Month Cost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bar"/>
        <grouping val="clustered"/>
        <varyColors val="0"/>
        <ser>
          <idx val="0"/>
          <order val="0"/>
          <tx>
            <strRef>
              <f>Dashboard!AC56</f>
              <strCache>
                <ptCount val="1"/>
                <pt idx="0">
                  <v>Acct1</v>
                </pt>
              </strCache>
            </strRef>
          </tx>
          <spPr>
            <a:solidFill>
              <a:srgbClr val="2e75b6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Dashboard!$AB$57:$AB$71</f>
              <strCache>
                <ptCount val="15"/>
                <pt idx="0">
                  <v>Batch($)</v>
                </pt>
                <pt idx="1">
                  <v>CodeBuild($)</v>
                </pt>
                <pt idx="2">
                  <v>Chime($)</v>
                </pt>
                <pt idx="3">
                  <v>DataSync($)</v>
                </pt>
                <pt idx="4">
                  <v>CloudFront($)</v>
                </pt>
                <pt idx="5">
                  <v>SageMaker($)</v>
                </pt>
                <pt idx="6">
                  <v>GuardDuty($)</v>
                </pt>
                <pt idx="7">
                  <v>WAF($)</v>
                </pt>
                <pt idx="8">
                  <v>Transcribe($)</v>
                </pt>
                <pt idx="9">
                  <v>API Gateway($)</v>
                </pt>
                <pt idx="10">
                  <v>Translate($)</v>
                </pt>
                <pt idx="11">
                  <v>Firehose($)</v>
                </pt>
                <pt idx="12">
                  <v>Athena($)</v>
                </pt>
                <pt idx="13">
                  <v>AppSync($)</v>
                </pt>
                <pt idx="14">
                  <v>Transfer Family($)</v>
                </pt>
              </strCache>
            </strRef>
          </cat>
          <val>
            <numRef>
              <f>Dashboard!$AC$57:$AC$71</f>
              <numCache>
                <formatCode>#,##0.00</formatCode>
                <ptCount val="15"/>
                <pt idx="0">
                  <v>15512.515</v>
                </pt>
                <pt idx="1">
                  <v>15455.827</v>
                </pt>
                <pt idx="2">
                  <v>15384.035</v>
                </pt>
                <pt idx="3">
                  <v>14365.916</v>
                </pt>
                <pt idx="4">
                  <v>14222.876</v>
                </pt>
                <pt idx="5">
                  <v>14013.558</v>
                </pt>
                <pt idx="6">
                  <v>13414.014</v>
                </pt>
                <pt idx="7">
                  <v>12336.252</v>
                </pt>
                <pt idx="8">
                  <v>11892.791</v>
                </pt>
                <pt idx="9">
                  <v>11724.125</v>
                </pt>
                <pt idx="10">
                  <v>11660.599</v>
                </pt>
                <pt idx="11">
                  <v>11568.293</v>
                </pt>
                <pt idx="12">
                  <v>11300.897</v>
                </pt>
                <pt idx="13">
                  <v>11093.646</v>
                </pt>
                <pt idx="14">
                  <v>11086.39</v>
                </pt>
              </numCache>
            </numRef>
          </val>
        </ser>
        <ser>
          <idx val="1"/>
          <order val="1"/>
          <tx>
            <strRef>
              <f>Dashboard!AD56</f>
              <strCache>
                <ptCount val="1"/>
                <pt idx="0">
                  <v>Acct2</v>
                </pt>
              </strCache>
            </strRef>
          </tx>
          <spPr>
            <a:solidFill>
              <a:srgbClr val="ed7d31"/>
            </a:solidFill>
            <a:ln w="9360">
              <a:solidFill>
                <a:srgbClr val="f9f9f9"/>
              </a:solidFill>
              <a:prstDash val="solid"/>
              <a:round/>
            </a:ln>
          </spPr>
          <invertIfNegative val="0"/>
          <dLbls>
            <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Dashboard!$AB$57:$AB$71</f>
              <strCache>
                <ptCount val="15"/>
                <pt idx="0">
                  <v>Batch($)</v>
                </pt>
                <pt idx="1">
                  <v>CodeBuild($)</v>
                </pt>
                <pt idx="2">
                  <v>Chime($)</v>
                </pt>
                <pt idx="3">
                  <v>DataSync($)</v>
                </pt>
                <pt idx="4">
                  <v>CloudFront($)</v>
                </pt>
                <pt idx="5">
                  <v>SageMaker($)</v>
                </pt>
                <pt idx="6">
                  <v>GuardDuty($)</v>
                </pt>
                <pt idx="7">
                  <v>WAF($)</v>
                </pt>
                <pt idx="8">
                  <v>Transcribe($)</v>
                </pt>
                <pt idx="9">
                  <v>API Gateway($)</v>
                </pt>
                <pt idx="10">
                  <v>Translate($)</v>
                </pt>
                <pt idx="11">
                  <v>Firehose($)</v>
                </pt>
                <pt idx="12">
                  <v>Athena($)</v>
                </pt>
                <pt idx="13">
                  <v>AppSync($)</v>
                </pt>
                <pt idx="14">
                  <v>Transfer Family($)</v>
                </pt>
              </strCache>
            </strRef>
          </cat>
          <val>
            <numRef>
              <f>Dashboard!$AD$57:$AD$71</f>
              <numCache>
                <formatCode>#,##0.00</formatCode>
                <ptCount val="15"/>
                <pt idx="0">
                  <v>10580.265</v>
                </pt>
                <pt idx="1">
                  <v>8166.235</v>
                </pt>
                <pt idx="2">
                  <v>4827.409</v>
                </pt>
                <pt idx="3">
                  <v>13517.198</v>
                </pt>
                <pt idx="4">
                  <v>3871.446</v>
                </pt>
                <pt idx="5">
                  <v>169.57</v>
                </pt>
                <pt idx="6">
                  <v>11676.934</v>
                </pt>
                <pt idx="7">
                  <v>3327.782</v>
                </pt>
                <pt idx="8">
                  <v>13663.332</v>
                </pt>
                <pt idx="9">
                  <v>8243.276</v>
                </pt>
                <pt idx="10">
                  <v>9714.620000000001</v>
                </pt>
                <pt idx="11">
                  <v>13047.047</v>
                </pt>
                <pt idx="12">
                  <v>2112.433</v>
                </pt>
                <pt idx="13">
                  <v>15178.999</v>
                </pt>
                <pt idx="14">
                  <v>13576.395</v>
                </pt>
              </numCache>
            </numRef>
          </val>
        </ser>
        <gapWidth val="150"/>
        <overlap val="-10"/>
        <axId val="72081847"/>
        <axId val="22124554"/>
      </barChart>
      <catAx>
        <axId val="72081847"/>
        <scaling>
          <orientation val="minMax"/>
        </scaling>
        <delete val="0"/>
        <axPos val="b"/>
        <title>
          <tx>
            <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Cost ($)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2124554"/>
        <crosses val="autoZero"/>
        <auto val="1"/>
        <lblAlgn val="ctr"/>
        <lblOffset val="100"/>
        <noMultiLvlLbl val="0"/>
      </catAx>
      <valAx>
        <axId val="22124554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2081847"/>
        <crosses val="autoZero"/>
        <crossBetween val="between"/>
      </valAx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13</col>
      <colOff>0</colOff>
      <row>12</row>
      <rowOff>0</rowOff>
    </from>
    <to>
      <col>22</col>
      <colOff>551520</colOff>
      <row>33</row>
      <rowOff>119160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0</colOff>
      <row>29</row>
      <rowOff>0</rowOff>
    </from>
    <to>
      <col>22</col>
      <colOff>551520</colOff>
      <row>50</row>
      <rowOff>90360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13</col>
      <colOff>0</colOff>
      <row>46</row>
      <rowOff>0</rowOff>
    </from>
    <to>
      <col>22</col>
      <colOff>551520</colOff>
      <row>66</row>
      <rowOff>166680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 editAs="oneCell">
    <from>
      <col>13</col>
      <colOff>0</colOff>
      <row>54</row>
      <rowOff>0</rowOff>
    </from>
    <to>
      <col>22</col>
      <colOff>551520</colOff>
      <row>79</row>
      <rowOff>77040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 editAs="oneCell">
    <from>
      <col>13</col>
      <colOff>0</colOff>
      <row>66</row>
      <rowOff>0</rowOff>
    </from>
    <to>
      <col>22</col>
      <colOff>551520</colOff>
      <row>87</row>
      <rowOff>100080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_acct1" displayName="tbl_acct1" ref="A1:BP8" headerRowCount="1" totalsRowCount="0" totalsRowShown="0">
  <autoFilter ref="A1:BP8"/>
  <tableColumns count="68">
    <tableColumn id="1" name="Service"/>
    <tableColumn id="2" name="Relational Database Service($)"/>
    <tableColumn id="3" name="S3($)"/>
    <tableColumn id="4" name="DMS($)"/>
    <tableColumn id="5" name="Glue($)"/>
    <tableColumn id="6" name="EC2-Instances($)"/>
    <tableColumn id="7" name="Lambda($)"/>
    <tableColumn id="8" name="CloudFront($)"/>
    <tableColumn id="9" name="Route53($)"/>
    <tableColumn id="10" name="CloudWatch($)"/>
    <tableColumn id="11" name="SNS($)"/>
    <tableColumn id="12" name="SQS($)"/>
    <tableColumn id="13" name="DynamoDB($)"/>
    <tableColumn id="14" name="ElastiCache($)"/>
    <tableColumn id="15" name="ECS($)"/>
    <tableColumn id="16" name="EKS($)"/>
    <tableColumn id="17" name="ECR($)"/>
    <tableColumn id="18" name="VPC($)"/>
    <tableColumn id="19" name="Direct Connect($)"/>
    <tableColumn id="20" name="API Gateway($)"/>
    <tableColumn id="21" name="Kinesis($)"/>
    <tableColumn id="22" name="Firehose($)"/>
    <tableColumn id="23" name="Athena($)"/>
    <tableColumn id="24" name="Redshift($)"/>
    <tableColumn id="25" name="EMR($)"/>
    <tableColumn id="26" name="SageMaker($)"/>
    <tableColumn id="27" name="Rekognition($)"/>
    <tableColumn id="28" name="Textract($)"/>
    <tableColumn id="29" name="Comprehend($)"/>
    <tableColumn id="30" name="Translate($)"/>
    <tableColumn id="31" name="Polly($)"/>
    <tableColumn id="32" name="Transcribe($)"/>
    <tableColumn id="33" name="Lex($)"/>
    <tableColumn id="34" name="Connect($)"/>
    <tableColumn id="35" name="Chime($)"/>
    <tableColumn id="36" name="WorkSpaces($)"/>
    <tableColumn id="37" name="AppStream($)"/>
    <tableColumn id="38" name="WAF($)"/>
    <tableColumn id="39" name="Shield($)"/>
    <tableColumn id="40" name="GuardDuty($)"/>
    <tableColumn id="41" name="Inspector($)"/>
    <tableColumn id="42" name="Macie($)"/>
    <tableColumn id="43" name="Security Hub($)"/>
    <tableColumn id="44" name="Config($)"/>
    <tableColumn id="45" name="CloudTrail($)"/>
    <tableColumn id="46" name="Systems Manager($)"/>
    <tableColumn id="47" name="Secrets Manager($)"/>
    <tableColumn id="48" name="KMS($)"/>
    <tableColumn id="49" name="ACM($)"/>
    <tableColumn id="50" name="IAM($)"/>
    <tableColumn id="51" name="Organizations($)"/>
    <tableColumn id="52" name="Control Tower($)"/>
    <tableColumn id="53" name="Service Catalog($)"/>
    <tableColumn id="54" name="CodePipeline($)"/>
    <tableColumn id="55" name="CodeBuild($)"/>
    <tableColumn id="56" name="CodeDeploy($)"/>
    <tableColumn id="57" name="CodeCommit($)"/>
    <tableColumn id="58" name="Amplify($)"/>
    <tableColumn id="59" name="AppSync($)"/>
    <tableColumn id="60" name="EventBridge($)"/>
    <tableColumn id="61" name="Step Functions($)"/>
    <tableColumn id="62" name="Batch($)"/>
    <tableColumn id="63" name="Fargate($)"/>
    <tableColumn id="64" name="Lightsail($)"/>
    <tableColumn id="65" name="Transfer Family($)"/>
    <tableColumn id="66" name="DataSync($)"/>
    <tableColumn id="67" name="Backup($)"/>
    <tableColumn id="68" name="Total($)"/>
  </tableColumns>
</table>
</file>

<file path=xl/tables/table2.xml><?xml version="1.0" encoding="utf-8"?>
<table xmlns="http://schemas.openxmlformats.org/spreadsheetml/2006/main" id="2" name="tbl_acct2" displayName="tbl_acct2" ref="A1:BP8" headerRowCount="1" totalsRowCount="0" totalsRowShown="0">
  <autoFilter ref="A1:BP8"/>
  <tableColumns count="68">
    <tableColumn id="1" name="Service"/>
    <tableColumn id="2" name="Relational Database Service($)"/>
    <tableColumn id="3" name="S3($)"/>
    <tableColumn id="4" name="DMS($)"/>
    <tableColumn id="5" name="Glue($)"/>
    <tableColumn id="6" name="EC2-Instances($)"/>
    <tableColumn id="7" name="Lambda($)"/>
    <tableColumn id="8" name="CloudFront($)"/>
    <tableColumn id="9" name="Route53($)"/>
    <tableColumn id="10" name="CloudWatch($)"/>
    <tableColumn id="11" name="SNS($)"/>
    <tableColumn id="12" name="SQS($)"/>
    <tableColumn id="13" name="DynamoDB($)"/>
    <tableColumn id="14" name="ElastiCache($)"/>
    <tableColumn id="15" name="ECS($)"/>
    <tableColumn id="16" name="EKS($)"/>
    <tableColumn id="17" name="ECR($)"/>
    <tableColumn id="18" name="VPC($)"/>
    <tableColumn id="19" name="Direct Connect($)"/>
    <tableColumn id="20" name="API Gateway($)"/>
    <tableColumn id="21" name="Kinesis($)"/>
    <tableColumn id="22" name="Firehose($)"/>
    <tableColumn id="23" name="Athena($)"/>
    <tableColumn id="24" name="Redshift($)"/>
    <tableColumn id="25" name="EMR($)"/>
    <tableColumn id="26" name="SageMaker($)"/>
    <tableColumn id="27" name="Rekognition($)"/>
    <tableColumn id="28" name="Textract($)"/>
    <tableColumn id="29" name="Comprehend($)"/>
    <tableColumn id="30" name="Translate($)"/>
    <tableColumn id="31" name="Polly($)"/>
    <tableColumn id="32" name="Transcribe($)"/>
    <tableColumn id="33" name="Lex($)"/>
    <tableColumn id="34" name="Connect($)"/>
    <tableColumn id="35" name="Chime($)"/>
    <tableColumn id="36" name="WorkSpaces($)"/>
    <tableColumn id="37" name="AppStream($)"/>
    <tableColumn id="38" name="WAF($)"/>
    <tableColumn id="39" name="Shield($)"/>
    <tableColumn id="40" name="GuardDuty($)"/>
    <tableColumn id="41" name="Inspector($)"/>
    <tableColumn id="42" name="Macie($)"/>
    <tableColumn id="43" name="Security Hub($)"/>
    <tableColumn id="44" name="Config($)"/>
    <tableColumn id="45" name="CloudTrail($)"/>
    <tableColumn id="46" name="Systems Manager($)"/>
    <tableColumn id="47" name="Secrets Manager($)"/>
    <tableColumn id="48" name="KMS($)"/>
    <tableColumn id="49" name="ACM($)"/>
    <tableColumn id="50" name="IAM($)"/>
    <tableColumn id="51" name="Organizations($)"/>
    <tableColumn id="52" name="Control Tower($)"/>
    <tableColumn id="53" name="Service Catalog($)"/>
    <tableColumn id="54" name="CodePipeline($)"/>
    <tableColumn id="55" name="CodeBuild($)"/>
    <tableColumn id="56" name="CodeDeploy($)"/>
    <tableColumn id="57" name="CodeCommit($)"/>
    <tableColumn id="58" name="Amplify($)"/>
    <tableColumn id="59" name="AppSync($)"/>
    <tableColumn id="60" name="EventBridge($)"/>
    <tableColumn id="61" name="Step Functions($)"/>
    <tableColumn id="62" name="Batch($)"/>
    <tableColumn id="63" name="Fargate($)"/>
    <tableColumn id="64" name="Lightsail($)"/>
    <tableColumn id="65" name="Transfer Family($)"/>
    <tableColumn id="66" name="DataSync($)"/>
    <tableColumn id="67" name="Backup($)"/>
    <tableColumn id="68" name="Total($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BP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64" min="1" max="1"/>
    <col width="14" customWidth="1" style="64" min="2" max="68"/>
  </cols>
  <sheetData>
    <row r="1" ht="32.8" customHeight="1" s="65">
      <c r="A1" s="66" t="inlineStr">
        <is>
          <t>Service</t>
        </is>
      </c>
      <c r="B1" s="66" t="inlineStr">
        <is>
          <t>Relational Database Service($)</t>
        </is>
      </c>
      <c r="C1" s="66" t="inlineStr">
        <is>
          <t>S3($)</t>
        </is>
      </c>
      <c r="D1" s="66" t="inlineStr">
        <is>
          <t>DMS($)</t>
        </is>
      </c>
      <c r="E1" s="66" t="inlineStr">
        <is>
          <t>Glue($)</t>
        </is>
      </c>
      <c r="F1" s="66" t="inlineStr">
        <is>
          <t>EC2-Instances($)</t>
        </is>
      </c>
      <c r="G1" s="66" t="inlineStr">
        <is>
          <t>Lambda($)</t>
        </is>
      </c>
      <c r="H1" s="66" t="inlineStr">
        <is>
          <t>CloudFront($)</t>
        </is>
      </c>
      <c r="I1" s="66" t="inlineStr">
        <is>
          <t>Route53($)</t>
        </is>
      </c>
      <c r="J1" s="66" t="inlineStr">
        <is>
          <t>CloudWatch($)</t>
        </is>
      </c>
      <c r="K1" s="66" t="inlineStr">
        <is>
          <t>SNS($)</t>
        </is>
      </c>
      <c r="L1" s="66" t="inlineStr">
        <is>
          <t>SQS($)</t>
        </is>
      </c>
      <c r="M1" s="66" t="inlineStr">
        <is>
          <t>DynamoDB($)</t>
        </is>
      </c>
      <c r="N1" s="66" t="inlineStr">
        <is>
          <t>ElastiCache($)</t>
        </is>
      </c>
      <c r="O1" s="66" t="inlineStr">
        <is>
          <t>ECS($)</t>
        </is>
      </c>
      <c r="P1" s="66" t="inlineStr">
        <is>
          <t>EKS($)</t>
        </is>
      </c>
      <c r="Q1" s="66" t="inlineStr">
        <is>
          <t>ECR($)</t>
        </is>
      </c>
      <c r="R1" s="66" t="inlineStr">
        <is>
          <t>VPC($)</t>
        </is>
      </c>
      <c r="S1" s="66" t="inlineStr">
        <is>
          <t>Direct Connect($)</t>
        </is>
      </c>
      <c r="T1" s="66" t="inlineStr">
        <is>
          <t>API Gateway($)</t>
        </is>
      </c>
      <c r="U1" s="66" t="inlineStr">
        <is>
          <t>Kinesis($)</t>
        </is>
      </c>
      <c r="V1" s="66" t="inlineStr">
        <is>
          <t>Firehose($)</t>
        </is>
      </c>
      <c r="W1" s="66" t="inlineStr">
        <is>
          <t>Athena($)</t>
        </is>
      </c>
      <c r="X1" s="66" t="inlineStr">
        <is>
          <t>Redshift($)</t>
        </is>
      </c>
      <c r="Y1" s="66" t="inlineStr">
        <is>
          <t>EMR($)</t>
        </is>
      </c>
      <c r="Z1" s="66" t="inlineStr">
        <is>
          <t>SageMaker($)</t>
        </is>
      </c>
      <c r="AA1" s="66" t="inlineStr">
        <is>
          <t>Rekognition($)</t>
        </is>
      </c>
      <c r="AB1" s="66" t="inlineStr">
        <is>
          <t>Textract($)</t>
        </is>
      </c>
      <c r="AC1" s="66" t="inlineStr">
        <is>
          <t>Comprehend($)</t>
        </is>
      </c>
      <c r="AD1" s="66" t="inlineStr">
        <is>
          <t>Translate($)</t>
        </is>
      </c>
      <c r="AE1" s="66" t="inlineStr">
        <is>
          <t>Polly($)</t>
        </is>
      </c>
      <c r="AF1" s="66" t="inlineStr">
        <is>
          <t>Transcribe($)</t>
        </is>
      </c>
      <c r="AG1" s="66" t="inlineStr">
        <is>
          <t>Lex($)</t>
        </is>
      </c>
      <c r="AH1" s="66" t="inlineStr">
        <is>
          <t>Connect($)</t>
        </is>
      </c>
      <c r="AI1" s="66" t="inlineStr">
        <is>
          <t>Chime($)</t>
        </is>
      </c>
      <c r="AJ1" s="66" t="inlineStr">
        <is>
          <t>WorkSpaces($)</t>
        </is>
      </c>
      <c r="AK1" s="66" t="inlineStr">
        <is>
          <t>AppStream($)</t>
        </is>
      </c>
      <c r="AL1" s="66" t="inlineStr">
        <is>
          <t>WAF($)</t>
        </is>
      </c>
      <c r="AM1" s="66" t="inlineStr">
        <is>
          <t>Shield($)</t>
        </is>
      </c>
      <c r="AN1" s="66" t="inlineStr">
        <is>
          <t>GuardDuty($)</t>
        </is>
      </c>
      <c r="AO1" s="66" t="inlineStr">
        <is>
          <t>Inspector($)</t>
        </is>
      </c>
      <c r="AP1" s="66" t="inlineStr">
        <is>
          <t>Macie($)</t>
        </is>
      </c>
      <c r="AQ1" s="66" t="inlineStr">
        <is>
          <t>Security Hub($)</t>
        </is>
      </c>
      <c r="AR1" s="66" t="inlineStr">
        <is>
          <t>Config($)</t>
        </is>
      </c>
      <c r="AS1" s="66" t="inlineStr">
        <is>
          <t>CloudTrail($)</t>
        </is>
      </c>
      <c r="AT1" s="66" t="inlineStr">
        <is>
          <t>Systems Manager($)</t>
        </is>
      </c>
      <c r="AU1" s="66" t="inlineStr">
        <is>
          <t>Secrets Manager($)</t>
        </is>
      </c>
      <c r="AV1" s="66" t="inlineStr">
        <is>
          <t>KMS($)</t>
        </is>
      </c>
      <c r="AW1" s="66" t="inlineStr">
        <is>
          <t>ACM($)</t>
        </is>
      </c>
      <c r="AX1" s="66" t="inlineStr">
        <is>
          <t>IAM($)</t>
        </is>
      </c>
      <c r="AY1" s="66" t="inlineStr">
        <is>
          <t>Organizations($)</t>
        </is>
      </c>
      <c r="AZ1" s="66" t="inlineStr">
        <is>
          <t>Control Tower($)</t>
        </is>
      </c>
      <c r="BA1" s="66" t="inlineStr">
        <is>
          <t>Service Catalog($)</t>
        </is>
      </c>
      <c r="BB1" s="66" t="inlineStr">
        <is>
          <t>CodePipeline($)</t>
        </is>
      </c>
      <c r="BC1" s="66" t="inlineStr">
        <is>
          <t>CodeBuild($)</t>
        </is>
      </c>
      <c r="BD1" s="66" t="inlineStr">
        <is>
          <t>CodeDeploy($)</t>
        </is>
      </c>
      <c r="BE1" s="66" t="inlineStr">
        <is>
          <t>CodeCommit($)</t>
        </is>
      </c>
      <c r="BF1" s="66" t="inlineStr">
        <is>
          <t>Amplify($)</t>
        </is>
      </c>
      <c r="BG1" s="66" t="inlineStr">
        <is>
          <t>AppSync($)</t>
        </is>
      </c>
      <c r="BH1" s="66" t="inlineStr">
        <is>
          <t>EventBridge($)</t>
        </is>
      </c>
      <c r="BI1" s="66" t="inlineStr">
        <is>
          <t>Step Functions($)</t>
        </is>
      </c>
      <c r="BJ1" s="66" t="inlineStr">
        <is>
          <t>Batch($)</t>
        </is>
      </c>
      <c r="BK1" s="66" t="inlineStr">
        <is>
          <t>Fargate($)</t>
        </is>
      </c>
      <c r="BL1" s="66" t="inlineStr">
        <is>
          <t>Lightsail($)</t>
        </is>
      </c>
      <c r="BM1" s="66" t="inlineStr">
        <is>
          <t>Transfer Family($)</t>
        </is>
      </c>
      <c r="BN1" s="66" t="inlineStr">
        <is>
          <t>DataSync($)</t>
        </is>
      </c>
      <c r="BO1" s="66" t="inlineStr">
        <is>
          <t>Backup($)</t>
        </is>
      </c>
      <c r="BP1" s="66" t="inlineStr">
        <is>
          <t>Total($)</t>
        </is>
      </c>
    </row>
    <row r="2" ht="15" customHeight="1" s="65">
      <c r="A2" s="67" t="inlineStr">
        <is>
          <t>Service total</t>
        </is>
      </c>
      <c r="B2" s="68" t="n">
        <v>54634.461</v>
      </c>
      <c r="C2" s="68" t="n">
        <v>2570.572</v>
      </c>
      <c r="D2" s="68" t="n">
        <v>24257.961</v>
      </c>
      <c r="E2" s="68" t="n">
        <v>19600.221</v>
      </c>
      <c r="F2" s="68" t="n">
        <v>62600.036</v>
      </c>
      <c r="G2" s="68" t="n">
        <v>66509.019</v>
      </c>
      <c r="H2" s="68" t="n">
        <v>86409.898</v>
      </c>
      <c r="I2" s="68" t="n">
        <v>8062.016</v>
      </c>
      <c r="J2" s="68" t="n">
        <v>39511.087</v>
      </c>
      <c r="K2" s="68" t="n">
        <v>3195.743</v>
      </c>
      <c r="L2" s="68" t="n">
        <v>21816.55</v>
      </c>
      <c r="M2" s="68" t="n">
        <v>45402.021</v>
      </c>
      <c r="N2" s="68" t="n">
        <v>2832.546</v>
      </c>
      <c r="O2" s="68" t="n">
        <v>17444.887</v>
      </c>
      <c r="P2" s="68" t="n">
        <v>59420.127</v>
      </c>
      <c r="Q2" s="68" t="n">
        <v>46977.557</v>
      </c>
      <c r="R2" s="68" t="n">
        <v>20650.936</v>
      </c>
      <c r="S2" s="68" t="n">
        <v>57519.581</v>
      </c>
      <c r="T2" s="68" t="n">
        <v>71495.073</v>
      </c>
      <c r="U2" s="68" t="n">
        <v>1114.693</v>
      </c>
      <c r="V2" s="68" t="n">
        <v>79868.49099999999</v>
      </c>
      <c r="W2" s="68" t="n">
        <v>63133.719</v>
      </c>
      <c r="X2" s="68" t="n">
        <v>28480.529</v>
      </c>
      <c r="Y2" s="68" t="n">
        <v>13186.517</v>
      </c>
      <c r="Z2" s="68" t="n">
        <v>79447.163</v>
      </c>
      <c r="AA2" s="68" t="n">
        <v>31473.856</v>
      </c>
      <c r="AB2" s="68" t="n">
        <v>9410.882</v>
      </c>
      <c r="AC2" s="68" t="n">
        <v>9102.495000000001</v>
      </c>
      <c r="AD2" s="68" t="n">
        <v>69699.66800000001</v>
      </c>
      <c r="AE2" s="68" t="n">
        <v>53281.027</v>
      </c>
      <c r="AF2" s="68" t="n">
        <v>79976.55499999999</v>
      </c>
      <c r="AG2" s="68" t="n">
        <v>66221.38800000001</v>
      </c>
      <c r="AH2" s="68" t="n">
        <v>53111.906</v>
      </c>
      <c r="AI2" s="68" t="n">
        <v>93917.16099999999</v>
      </c>
      <c r="AJ2" s="68" t="n">
        <v>31075.96</v>
      </c>
      <c r="AK2" s="68" t="n">
        <v>52157.551</v>
      </c>
      <c r="AL2" s="68" t="n">
        <v>77465.303</v>
      </c>
      <c r="AM2" s="68" t="n">
        <v>56308.962</v>
      </c>
      <c r="AN2" s="68" t="n">
        <v>74016.01700000001</v>
      </c>
      <c r="AO2" s="68" t="n">
        <v>53687.354</v>
      </c>
      <c r="AP2" s="68" t="n">
        <v>58648.542</v>
      </c>
      <c r="AQ2" s="68" t="n">
        <v>4635.422</v>
      </c>
      <c r="AR2" s="68" t="n">
        <v>20779.985</v>
      </c>
      <c r="AS2" s="68" t="n">
        <v>28873.902</v>
      </c>
      <c r="AT2" s="68" t="n">
        <v>8314.727000000001</v>
      </c>
      <c r="AU2" s="68" t="n">
        <v>20398.266</v>
      </c>
      <c r="AV2" s="68" t="n">
        <v>9630.656999999999</v>
      </c>
      <c r="AW2" s="68" t="n">
        <v>23815.124</v>
      </c>
      <c r="AX2" s="68" t="n">
        <v>62169.648</v>
      </c>
      <c r="AY2" s="68" t="n">
        <v>35677.426</v>
      </c>
      <c r="AZ2" s="68" t="n">
        <v>32335.931</v>
      </c>
      <c r="BA2" s="68" t="n">
        <v>19867.105</v>
      </c>
      <c r="BB2" s="68" t="n">
        <v>25001.07</v>
      </c>
      <c r="BC2" s="68" t="n">
        <v>78481.227</v>
      </c>
      <c r="BD2" s="68" t="n">
        <v>61607.544</v>
      </c>
      <c r="BE2" s="68" t="n">
        <v>55489.925</v>
      </c>
      <c r="BF2" s="68" t="n">
        <v>16785.816</v>
      </c>
      <c r="BG2" s="68" t="n">
        <v>66183.29300000001</v>
      </c>
      <c r="BH2" s="68" t="n">
        <v>13689.104</v>
      </c>
      <c r="BI2" s="68" t="n">
        <v>33309.173</v>
      </c>
      <c r="BJ2" s="68" t="n">
        <v>80503.982</v>
      </c>
      <c r="BK2" s="68" t="n">
        <v>62777.73</v>
      </c>
      <c r="BL2" s="68" t="n">
        <v>54208.165</v>
      </c>
      <c r="BM2" s="68" t="n">
        <v>65904.19899999999</v>
      </c>
      <c r="BN2" s="68" t="n">
        <v>73027.064</v>
      </c>
      <c r="BO2" s="68" t="n">
        <v>63787.609</v>
      </c>
      <c r="BP2" s="68" t="n">
        <v>2862950.125</v>
      </c>
    </row>
    <row r="3" ht="15" customHeight="1" s="65">
      <c r="A3" s="69" t="n">
        <v>45870</v>
      </c>
      <c r="B3" s="70" t="n">
        <v>10719.241</v>
      </c>
      <c r="C3" s="70" t="n">
        <v>536.037</v>
      </c>
      <c r="D3" s="70" t="n">
        <v>3676.117</v>
      </c>
      <c r="E3" s="70" t="n">
        <v>3411.442</v>
      </c>
      <c r="F3" s="70" t="n">
        <v>9642.334000000001</v>
      </c>
      <c r="G3" s="70" t="n">
        <v>10978.922</v>
      </c>
      <c r="H3" s="70" t="n">
        <v>14461.61</v>
      </c>
      <c r="I3" s="70" t="n">
        <v>1239.827</v>
      </c>
      <c r="J3" s="70" t="n">
        <v>6339.276</v>
      </c>
      <c r="K3" s="70" t="n">
        <v>552.106</v>
      </c>
      <c r="L3" s="70" t="n">
        <v>3121.045</v>
      </c>
      <c r="M3" s="70" t="n">
        <v>8482.27</v>
      </c>
      <c r="N3" s="70" t="n">
        <v>483.963</v>
      </c>
      <c r="O3" s="70" t="n">
        <v>2797.88</v>
      </c>
      <c r="P3" s="70" t="n">
        <v>9898.611000000001</v>
      </c>
      <c r="Q3" s="70" t="n">
        <v>8786.611999999999</v>
      </c>
      <c r="R3" s="70" t="n">
        <v>3081.123</v>
      </c>
      <c r="S3" s="70" t="n">
        <v>8378.468000000001</v>
      </c>
      <c r="T3" s="70" t="n">
        <v>13966.895</v>
      </c>
      <c r="U3" s="70" t="n">
        <v>205.682</v>
      </c>
      <c r="V3" s="70" t="n">
        <v>11881.886</v>
      </c>
      <c r="W3" s="70" t="n">
        <v>10557.653</v>
      </c>
      <c r="X3" s="70" t="n">
        <v>4581.941</v>
      </c>
      <c r="Y3" s="70" t="n">
        <v>2217.052</v>
      </c>
      <c r="Z3" s="70" t="n">
        <v>13664.827</v>
      </c>
      <c r="AA3" s="70" t="n">
        <v>5250.775</v>
      </c>
      <c r="AB3" s="70" t="n">
        <v>1361.929</v>
      </c>
      <c r="AC3" s="70" t="n">
        <v>1411.724</v>
      </c>
      <c r="AD3" s="70" t="n">
        <v>11089.589</v>
      </c>
      <c r="AE3" s="70" t="n">
        <v>9453.253000000001</v>
      </c>
      <c r="AF3" s="70" t="n">
        <v>11140.139</v>
      </c>
      <c r="AG3" s="70" t="n">
        <v>12307.606</v>
      </c>
      <c r="AH3" s="70" t="n">
        <v>8962.611999999999</v>
      </c>
      <c r="AI3" s="70" t="n">
        <v>12719.854</v>
      </c>
      <c r="AJ3" s="70" t="n">
        <v>5288.993</v>
      </c>
      <c r="AK3" s="70" t="n">
        <v>8747.448</v>
      </c>
      <c r="AL3" s="70" t="n">
        <v>11390.107</v>
      </c>
      <c r="AM3" s="70" t="n">
        <v>8288.335999999999</v>
      </c>
      <c r="AN3" s="70" t="n">
        <v>14630.025</v>
      </c>
      <c r="AO3" s="70" t="n">
        <v>8888.023999999999</v>
      </c>
      <c r="AP3" s="70" t="n">
        <v>10511.23</v>
      </c>
      <c r="AQ3" s="70" t="n">
        <v>849.622</v>
      </c>
      <c r="AR3" s="70" t="n">
        <v>3818.158</v>
      </c>
      <c r="AS3" s="70" t="n">
        <v>4002.118</v>
      </c>
      <c r="AT3" s="70" t="n">
        <v>1133.046</v>
      </c>
      <c r="AU3" s="70" t="n">
        <v>3494.769</v>
      </c>
      <c r="AV3" s="70" t="n">
        <v>1568.126</v>
      </c>
      <c r="AW3" s="70" t="n">
        <v>4199.844</v>
      </c>
      <c r="AX3" s="70" t="n">
        <v>10229.492</v>
      </c>
      <c r="AY3" s="70" t="n">
        <v>5823.923</v>
      </c>
      <c r="AZ3" s="70" t="n">
        <v>6431.374</v>
      </c>
      <c r="BA3" s="70" t="n">
        <v>2833.527</v>
      </c>
      <c r="BB3" s="70" t="n">
        <v>3958.837</v>
      </c>
      <c r="BC3" s="70" t="n">
        <v>13378.517</v>
      </c>
      <c r="BD3" s="70" t="n">
        <v>10814.241</v>
      </c>
      <c r="BE3" s="70" t="n">
        <v>8484.148999999999</v>
      </c>
      <c r="BF3" s="70" t="n">
        <v>2403.685</v>
      </c>
      <c r="BG3" s="70" t="n">
        <v>10794.969</v>
      </c>
      <c r="BH3" s="70" t="n">
        <v>2475.295</v>
      </c>
      <c r="BI3" s="70" t="n">
        <v>5371.618</v>
      </c>
      <c r="BJ3" s="70" t="n">
        <v>13729.744</v>
      </c>
      <c r="BK3" s="70" t="n">
        <v>10859.572</v>
      </c>
      <c r="BL3" s="70" t="n">
        <v>8255.264999999999</v>
      </c>
      <c r="BM3" s="70" t="n">
        <v>11417.403</v>
      </c>
      <c r="BN3" s="70" t="n">
        <v>12849.606</v>
      </c>
      <c r="BO3" s="70" t="n">
        <v>10090.033</v>
      </c>
      <c r="BP3" s="70" t="n">
        <v>474371.397</v>
      </c>
    </row>
    <row r="4" ht="15" customHeight="1" s="65">
      <c r="A4" s="69" t="n">
        <v>45901</v>
      </c>
      <c r="B4" s="70" t="n">
        <v>11069.506</v>
      </c>
      <c r="C4" s="70" t="n">
        <v>520.308</v>
      </c>
      <c r="D4" s="70" t="n">
        <v>4788.582</v>
      </c>
      <c r="E4" s="70" t="n">
        <v>3864.04</v>
      </c>
      <c r="F4" s="70" t="n">
        <v>12231.798</v>
      </c>
      <c r="G4" s="70" t="n">
        <v>9163.454</v>
      </c>
      <c r="H4" s="70" t="n">
        <v>13335.781</v>
      </c>
      <c r="I4" s="70" t="n">
        <v>1275.558</v>
      </c>
      <c r="J4" s="70" t="n">
        <v>6197.029</v>
      </c>
      <c r="K4" s="70" t="n">
        <v>471.951</v>
      </c>
      <c r="L4" s="70" t="n">
        <v>3235.794</v>
      </c>
      <c r="M4" s="70" t="n">
        <v>8740.636</v>
      </c>
      <c r="N4" s="70" t="n">
        <v>460.491</v>
      </c>
      <c r="O4" s="70" t="n">
        <v>3323.686</v>
      </c>
      <c r="P4" s="70" t="n">
        <v>9651.227999999999</v>
      </c>
      <c r="Q4" s="70" t="n">
        <v>8029.773</v>
      </c>
      <c r="R4" s="70" t="n">
        <v>3848.912</v>
      </c>
      <c r="S4" s="70" t="n">
        <v>10199.873</v>
      </c>
      <c r="T4" s="70" t="n">
        <v>12363.965</v>
      </c>
      <c r="U4" s="70" t="n">
        <v>209.728</v>
      </c>
      <c r="V4" s="70" t="n">
        <v>10852.925</v>
      </c>
      <c r="W4" s="70" t="n">
        <v>9861.768</v>
      </c>
      <c r="X4" s="70" t="n">
        <v>5896.663</v>
      </c>
      <c r="Y4" s="70" t="n">
        <v>2474.05</v>
      </c>
      <c r="Z4" s="70" t="n">
        <v>14544.283</v>
      </c>
      <c r="AA4" s="70" t="n">
        <v>5495.796</v>
      </c>
      <c r="AB4" s="70" t="n">
        <v>1285.04</v>
      </c>
      <c r="AC4" s="70" t="n">
        <v>1579.991</v>
      </c>
      <c r="AD4" s="70" t="n">
        <v>12738.55</v>
      </c>
      <c r="AE4" s="70" t="n">
        <v>10057.969</v>
      </c>
      <c r="AF4" s="70" t="n">
        <v>10879.998</v>
      </c>
      <c r="AG4" s="70" t="n">
        <v>12489.842</v>
      </c>
      <c r="AH4" s="70" t="n">
        <v>7070.754</v>
      </c>
      <c r="AI4" s="70" t="n">
        <v>13223.392</v>
      </c>
      <c r="AJ4" s="70" t="n">
        <v>5903.817</v>
      </c>
      <c r="AK4" s="70" t="n">
        <v>8763.02</v>
      </c>
      <c r="AL4" s="70" t="n">
        <v>11468.47</v>
      </c>
      <c r="AM4" s="70" t="n">
        <v>8253.610000000001</v>
      </c>
      <c r="AN4" s="70" t="n">
        <v>14454.462</v>
      </c>
      <c r="AO4" s="70" t="n">
        <v>8039.975</v>
      </c>
      <c r="AP4" s="70" t="n">
        <v>10898.638</v>
      </c>
      <c r="AQ4" s="70" t="n">
        <v>810.818</v>
      </c>
      <c r="AR4" s="70" t="n">
        <v>3410.975</v>
      </c>
      <c r="AS4" s="70" t="n">
        <v>4522.626</v>
      </c>
      <c r="AT4" s="70" t="n">
        <v>1297.71</v>
      </c>
      <c r="AU4" s="70" t="n">
        <v>4033.97</v>
      </c>
      <c r="AV4" s="70" t="n">
        <v>1462.529</v>
      </c>
      <c r="AW4" s="70" t="n">
        <v>4516.92</v>
      </c>
      <c r="AX4" s="70" t="n">
        <v>8821.332</v>
      </c>
      <c r="AY4" s="70" t="n">
        <v>5362.921</v>
      </c>
      <c r="AZ4" s="70" t="n">
        <v>5904.944</v>
      </c>
      <c r="BA4" s="70" t="n">
        <v>3028.353</v>
      </c>
      <c r="BB4" s="70" t="n">
        <v>3853.082</v>
      </c>
      <c r="BC4" s="70" t="n">
        <v>15118.227</v>
      </c>
      <c r="BD4" s="70" t="n">
        <v>8504.681</v>
      </c>
      <c r="BE4" s="70" t="n">
        <v>9061.219999999999</v>
      </c>
      <c r="BF4" s="70" t="n">
        <v>3046.232</v>
      </c>
      <c r="BG4" s="70" t="n">
        <v>12595.748</v>
      </c>
      <c r="BH4" s="70" t="n">
        <v>2210.201</v>
      </c>
      <c r="BI4" s="70" t="n">
        <v>5258.743</v>
      </c>
      <c r="BJ4" s="70" t="n">
        <v>13798.296</v>
      </c>
      <c r="BK4" s="70" t="n">
        <v>10888.462</v>
      </c>
      <c r="BL4" s="70" t="n">
        <v>9358.163</v>
      </c>
      <c r="BM4" s="70" t="n">
        <v>11472.783</v>
      </c>
      <c r="BN4" s="70" t="n">
        <v>12163.016</v>
      </c>
      <c r="BO4" s="70" t="n">
        <v>10464.951</v>
      </c>
      <c r="BP4" s="70" t="n">
        <v>480182.013</v>
      </c>
    </row>
    <row r="5" ht="15" customHeight="1" s="65">
      <c r="A5" s="69" t="n">
        <v>45931</v>
      </c>
      <c r="B5" s="70" t="n">
        <v>10591.394</v>
      </c>
      <c r="C5" s="70" t="n">
        <v>501.522</v>
      </c>
      <c r="D5" s="70" t="n">
        <v>4338.582</v>
      </c>
      <c r="E5" s="70" t="n">
        <v>3926.595</v>
      </c>
      <c r="F5" s="70" t="n">
        <v>11584.934</v>
      </c>
      <c r="G5" s="70" t="n">
        <v>8679.297</v>
      </c>
      <c r="H5" s="70" t="n">
        <v>14667.614</v>
      </c>
      <c r="I5" s="70" t="n">
        <v>1311.405</v>
      </c>
      <c r="J5" s="70" t="n">
        <v>6699.686</v>
      </c>
      <c r="K5" s="70" t="n">
        <v>615.609</v>
      </c>
      <c r="L5" s="70" t="n">
        <v>2989.323</v>
      </c>
      <c r="M5" s="70" t="n">
        <v>6749.534</v>
      </c>
      <c r="N5" s="70" t="n">
        <v>436.985</v>
      </c>
      <c r="O5" s="70" t="n">
        <v>3111.583</v>
      </c>
      <c r="P5" s="70" t="n">
        <v>9115.124</v>
      </c>
      <c r="Q5" s="70" t="n">
        <v>8478.127</v>
      </c>
      <c r="R5" s="70" t="n">
        <v>3605.522</v>
      </c>
      <c r="S5" s="70" t="n">
        <v>8090.437</v>
      </c>
      <c r="T5" s="70" t="n">
        <v>12650.235</v>
      </c>
      <c r="U5" s="70" t="n">
        <v>182.895</v>
      </c>
      <c r="V5" s="70" t="n">
        <v>12065.054</v>
      </c>
      <c r="W5" s="70" t="n">
        <v>11779.364</v>
      </c>
      <c r="X5" s="70" t="n">
        <v>5706.512</v>
      </c>
      <c r="Y5" s="70" t="n">
        <v>2121.064</v>
      </c>
      <c r="Z5" s="70" t="n">
        <v>14033.182</v>
      </c>
      <c r="AA5" s="70" t="n">
        <v>4772.557</v>
      </c>
      <c r="AB5" s="70" t="n">
        <v>1261.202</v>
      </c>
      <c r="AC5" s="70" t="n">
        <v>1666.418</v>
      </c>
      <c r="AD5" s="70" t="n">
        <v>13251.206</v>
      </c>
      <c r="AE5" s="70" t="n">
        <v>8445.976000000001</v>
      </c>
      <c r="AF5" s="70" t="n">
        <v>13003.776</v>
      </c>
      <c r="AG5" s="70" t="n">
        <v>11143.13</v>
      </c>
      <c r="AH5" s="70" t="n">
        <v>7914.299</v>
      </c>
      <c r="AI5" s="70" t="n">
        <v>12451.863</v>
      </c>
      <c r="AJ5" s="70" t="n">
        <v>5008.711</v>
      </c>
      <c r="AK5" s="70" t="n">
        <v>9282.26</v>
      </c>
      <c r="AL5" s="70" t="n">
        <v>13967.788</v>
      </c>
      <c r="AM5" s="70" t="n">
        <v>9443.359</v>
      </c>
      <c r="AN5" s="70" t="n">
        <v>14238.274</v>
      </c>
      <c r="AO5" s="70" t="n">
        <v>8917.959999999999</v>
      </c>
      <c r="AP5" s="70" t="n">
        <v>9479.257</v>
      </c>
      <c r="AQ5" s="70" t="n">
        <v>695.294</v>
      </c>
      <c r="AR5" s="70" t="n">
        <v>3294.604</v>
      </c>
      <c r="AS5" s="70" t="n">
        <v>4939.958</v>
      </c>
      <c r="AT5" s="70" t="n">
        <v>1403.402</v>
      </c>
      <c r="AU5" s="70" t="n">
        <v>3954.743</v>
      </c>
      <c r="AV5" s="70" t="n">
        <v>1796.994</v>
      </c>
      <c r="AW5" s="70" t="n">
        <v>3872.867</v>
      </c>
      <c r="AX5" s="70" t="n">
        <v>8852.469999999999</v>
      </c>
      <c r="AY5" s="70" t="n">
        <v>4876.319</v>
      </c>
      <c r="AZ5" s="70" t="n">
        <v>6087.611</v>
      </c>
      <c r="BA5" s="70" t="n">
        <v>3592.92</v>
      </c>
      <c r="BB5" s="70" t="n">
        <v>3963.433</v>
      </c>
      <c r="BC5" s="70" t="n">
        <v>14564.964</v>
      </c>
      <c r="BD5" s="70" t="n">
        <v>8744.701999999999</v>
      </c>
      <c r="BE5" s="70" t="n">
        <v>10359.435</v>
      </c>
      <c r="BF5" s="70" t="n">
        <v>2939.824</v>
      </c>
      <c r="BG5" s="70" t="n">
        <v>12530.325</v>
      </c>
      <c r="BH5" s="70" t="n">
        <v>2771.011</v>
      </c>
      <c r="BI5" s="70" t="n">
        <v>6412.274</v>
      </c>
      <c r="BJ5" s="70" t="n">
        <v>12727.691</v>
      </c>
      <c r="BK5" s="70" t="n">
        <v>10319.857</v>
      </c>
      <c r="BL5" s="70" t="n">
        <v>7975.732</v>
      </c>
      <c r="BM5" s="70" t="n">
        <v>11632.071</v>
      </c>
      <c r="BN5" s="70" t="n">
        <v>13806.246</v>
      </c>
      <c r="BO5" s="70" t="n">
        <v>12936.157</v>
      </c>
      <c r="BP5" s="70" t="n">
        <v>483330.52</v>
      </c>
    </row>
    <row r="6" ht="15" customHeight="1" s="65">
      <c r="A6" s="69" t="n">
        <v>45962</v>
      </c>
      <c r="B6" s="70" t="n">
        <v>10524.977</v>
      </c>
      <c r="C6" s="70" t="n">
        <v>439.594</v>
      </c>
      <c r="D6" s="70" t="n">
        <v>4559.851</v>
      </c>
      <c r="E6" s="70" t="n">
        <v>3023.059</v>
      </c>
      <c r="F6" s="70" t="n">
        <v>12309.769</v>
      </c>
      <c r="G6" s="70" t="n">
        <v>11278.27</v>
      </c>
      <c r="H6" s="70" t="n">
        <v>12278.202</v>
      </c>
      <c r="I6" s="70" t="n">
        <v>1527.917</v>
      </c>
      <c r="J6" s="70" t="n">
        <v>6310.576</v>
      </c>
      <c r="K6" s="70" t="n">
        <v>512.187</v>
      </c>
      <c r="L6" s="70" t="n">
        <v>3655.211</v>
      </c>
      <c r="M6" s="70" t="n">
        <v>7006.277</v>
      </c>
      <c r="N6" s="70" t="n">
        <v>424.595</v>
      </c>
      <c r="O6" s="70" t="n">
        <v>2780.727</v>
      </c>
      <c r="P6" s="70" t="n">
        <v>9279.23</v>
      </c>
      <c r="Q6" s="70" t="n">
        <v>9118.082</v>
      </c>
      <c r="R6" s="70" t="n">
        <v>3858.63</v>
      </c>
      <c r="S6" s="70" t="n">
        <v>8291.644</v>
      </c>
      <c r="T6" s="70" t="n">
        <v>12676.661</v>
      </c>
      <c r="U6" s="70" t="n">
        <v>190.908</v>
      </c>
      <c r="V6" s="70" t="n">
        <v>13854.248</v>
      </c>
      <c r="W6" s="70" t="n">
        <v>10616.381</v>
      </c>
      <c r="X6" s="70" t="n">
        <v>5850.954</v>
      </c>
      <c r="Y6" s="70" t="n">
        <v>2137.77</v>
      </c>
      <c r="Z6" s="70" t="n">
        <v>16389.31</v>
      </c>
      <c r="AA6" s="70" t="n">
        <v>4621.996</v>
      </c>
      <c r="AB6" s="70" t="n">
        <v>1687.544</v>
      </c>
      <c r="AC6" s="70" t="n">
        <v>1432.644</v>
      </c>
      <c r="AD6" s="70" t="n">
        <v>11232.43</v>
      </c>
      <c r="AE6" s="70" t="n">
        <v>8916.965</v>
      </c>
      <c r="AF6" s="70" t="n">
        <v>12957.627</v>
      </c>
      <c r="AG6" s="70" t="n">
        <v>10359.648</v>
      </c>
      <c r="AH6" s="70" t="n">
        <v>8347.561</v>
      </c>
      <c r="AI6" s="70" t="n">
        <v>14649.456</v>
      </c>
      <c r="AJ6" s="70" t="n">
        <v>5542.463</v>
      </c>
      <c r="AK6" s="70" t="n">
        <v>8516.692999999999</v>
      </c>
      <c r="AL6" s="70" t="n">
        <v>11541.42</v>
      </c>
      <c r="AM6" s="70" t="n">
        <v>9899.454</v>
      </c>
      <c r="AN6" s="70" t="n">
        <v>11005.083</v>
      </c>
      <c r="AO6" s="70" t="n">
        <v>9813.623</v>
      </c>
      <c r="AP6" s="70" t="n">
        <v>10720.376</v>
      </c>
      <c r="AQ6" s="70" t="n">
        <v>834.313</v>
      </c>
      <c r="AR6" s="70" t="n">
        <v>3749.419</v>
      </c>
      <c r="AS6" s="70" t="n">
        <v>4637.718</v>
      </c>
      <c r="AT6" s="70" t="n">
        <v>1236.399</v>
      </c>
      <c r="AU6" s="70" t="n">
        <v>3108.209</v>
      </c>
      <c r="AV6" s="70" t="n">
        <v>1683.998</v>
      </c>
      <c r="AW6" s="70" t="n">
        <v>4025.729</v>
      </c>
      <c r="AX6" s="70" t="n">
        <v>9037.355</v>
      </c>
      <c r="AY6" s="70" t="n">
        <v>6113.983</v>
      </c>
      <c r="AZ6" s="70" t="n">
        <v>5985.918</v>
      </c>
      <c r="BA6" s="70" t="n">
        <v>3028.667</v>
      </c>
      <c r="BB6" s="70" t="n">
        <v>3844.65</v>
      </c>
      <c r="BC6" s="70" t="n">
        <v>13669.86</v>
      </c>
      <c r="BD6" s="70" t="n">
        <v>9470.081</v>
      </c>
      <c r="BE6" s="70" t="n">
        <v>8613.528</v>
      </c>
      <c r="BF6" s="70" t="n">
        <v>2353.663</v>
      </c>
      <c r="BG6" s="70" t="n">
        <v>10702.322</v>
      </c>
      <c r="BH6" s="70" t="n">
        <v>2869.554</v>
      </c>
      <c r="BI6" s="70" t="n">
        <v>6059.966</v>
      </c>
      <c r="BJ6" s="70" t="n">
        <v>16637.659</v>
      </c>
      <c r="BK6" s="70" t="n">
        <v>9969.927</v>
      </c>
      <c r="BL6" s="70" t="n">
        <v>7897.031</v>
      </c>
      <c r="BM6" s="70" t="n">
        <v>10448.889</v>
      </c>
      <c r="BN6" s="70" t="n">
        <v>10761.261</v>
      </c>
      <c r="BO6" s="70" t="n">
        <v>10916.87</v>
      </c>
      <c r="BP6" s="70" t="n">
        <v>477796.984</v>
      </c>
    </row>
    <row r="7" ht="15" customHeight="1" s="65">
      <c r="A7" s="69" t="n">
        <v>45992</v>
      </c>
      <c r="B7" s="70" t="n">
        <v>9424.959999999999</v>
      </c>
      <c r="C7" s="70" t="n">
        <v>484.002</v>
      </c>
      <c r="D7" s="70" t="n">
        <v>4392.77</v>
      </c>
      <c r="E7" s="70" t="n">
        <v>3389.857</v>
      </c>
      <c r="F7" s="70" t="n">
        <v>10881.274</v>
      </c>
      <c r="G7" s="70" t="n">
        <v>9308.224</v>
      </c>
      <c r="H7" s="70" t="n">
        <v>13285.737</v>
      </c>
      <c r="I7" s="70" t="n">
        <v>1563.33</v>
      </c>
      <c r="J7" s="70" t="n">
        <v>6953.816</v>
      </c>
      <c r="K7" s="70" t="n">
        <v>490.074</v>
      </c>
      <c r="L7" s="70" t="n">
        <v>2939.465</v>
      </c>
      <c r="M7" s="70" t="n">
        <v>7665.162</v>
      </c>
      <c r="N7" s="70" t="n">
        <v>515.143</v>
      </c>
      <c r="O7" s="70" t="n">
        <v>2911.251</v>
      </c>
      <c r="P7" s="70" t="n">
        <v>10717.846</v>
      </c>
      <c r="Q7" s="70" t="n">
        <v>8838.906999999999</v>
      </c>
      <c r="R7" s="70" t="n">
        <v>3560.017</v>
      </c>
      <c r="S7" s="70" t="n">
        <v>8146.497</v>
      </c>
      <c r="T7" s="70" t="n">
        <v>11062.893</v>
      </c>
      <c r="U7" s="70" t="n">
        <v>168.749</v>
      </c>
      <c r="V7" s="70" t="n">
        <v>11179.972</v>
      </c>
      <c r="W7" s="70" t="n">
        <v>10423.939</v>
      </c>
      <c r="X7" s="70" t="n">
        <v>5712.148</v>
      </c>
      <c r="Y7" s="70" t="n">
        <v>2106.948</v>
      </c>
      <c r="Z7" s="70" t="n">
        <v>13993.823</v>
      </c>
      <c r="AA7" s="70" t="n">
        <v>5314.394</v>
      </c>
      <c r="AB7" s="70" t="n">
        <v>1346.067</v>
      </c>
      <c r="AC7" s="70" t="n">
        <v>1631.853</v>
      </c>
      <c r="AD7" s="70" t="n">
        <v>12706.196</v>
      </c>
      <c r="AE7" s="70" t="n">
        <v>8396.940000000001</v>
      </c>
      <c r="AF7" s="70" t="n">
        <v>12693.929</v>
      </c>
      <c r="AG7" s="70" t="n">
        <v>9345.306</v>
      </c>
      <c r="AH7" s="70" t="n">
        <v>8698.874</v>
      </c>
      <c r="AI7" s="70" t="n">
        <v>15782.181</v>
      </c>
      <c r="AJ7" s="70" t="n">
        <v>5062.686</v>
      </c>
      <c r="AK7" s="70" t="n">
        <v>8138.449</v>
      </c>
      <c r="AL7" s="70" t="n">
        <v>11246.776</v>
      </c>
      <c r="AM7" s="70" t="n">
        <v>10595.86</v>
      </c>
      <c r="AN7" s="70" t="n">
        <v>13009.142</v>
      </c>
      <c r="AO7" s="70" t="n">
        <v>7528.273</v>
      </c>
      <c r="AP7" s="70" t="n">
        <v>9800.712</v>
      </c>
      <c r="AQ7" s="70" t="n">
        <v>864.585</v>
      </c>
      <c r="AR7" s="70" t="n">
        <v>3450.026</v>
      </c>
      <c r="AS7" s="70" t="n">
        <v>4810.825</v>
      </c>
      <c r="AT7" s="70" t="n">
        <v>1353.698</v>
      </c>
      <c r="AU7" s="70" t="n">
        <v>4090.91</v>
      </c>
      <c r="AV7" s="70" t="n">
        <v>1650.879</v>
      </c>
      <c r="AW7" s="70" t="n">
        <v>4814.501</v>
      </c>
      <c r="AX7" s="70" t="n">
        <v>10695.681</v>
      </c>
      <c r="AY7" s="70" t="n">
        <v>5723.092</v>
      </c>
      <c r="AZ7" s="70" t="n">
        <v>5985.109</v>
      </c>
      <c r="BA7" s="70" t="n">
        <v>3226.273</v>
      </c>
      <c r="BB7" s="70" t="n">
        <v>4482.385</v>
      </c>
      <c r="BC7" s="70" t="n">
        <v>14258.022</v>
      </c>
      <c r="BD7" s="70" t="n">
        <v>10918.243</v>
      </c>
      <c r="BE7" s="70" t="n">
        <v>9846.790000000001</v>
      </c>
      <c r="BF7" s="70" t="n">
        <v>2629.832</v>
      </c>
      <c r="BG7" s="70" t="n">
        <v>10171.923</v>
      </c>
      <c r="BH7" s="70" t="n">
        <v>2342.496</v>
      </c>
      <c r="BI7" s="70" t="n">
        <v>5991.513</v>
      </c>
      <c r="BJ7" s="70" t="n">
        <v>16027.611</v>
      </c>
      <c r="BK7" s="70" t="n">
        <v>9697.57</v>
      </c>
      <c r="BL7" s="70" t="n">
        <v>8717.902</v>
      </c>
      <c r="BM7" s="70" t="n">
        <v>9604.208000000001</v>
      </c>
      <c r="BN7" s="70" t="n">
        <v>11053.966</v>
      </c>
      <c r="BO7" s="70" t="n">
        <v>10912.722</v>
      </c>
      <c r="BP7" s="70" t="n">
        <v>474735.204</v>
      </c>
    </row>
    <row r="8" ht="15" customHeight="1" s="65">
      <c r="A8" s="69" t="n">
        <v>46023</v>
      </c>
      <c r="B8" s="70" t="n">
        <v>8968.118</v>
      </c>
      <c r="C8" s="70" t="n">
        <v>447.095</v>
      </c>
      <c r="D8" s="70" t="n">
        <v>4248.504</v>
      </c>
      <c r="E8" s="70" t="n">
        <v>3054.178</v>
      </c>
      <c r="F8" s="70" t="n">
        <v>10180.665</v>
      </c>
      <c r="G8" s="70" t="n">
        <v>10775.309</v>
      </c>
      <c r="H8" s="70" t="n">
        <v>14222.876</v>
      </c>
      <c r="I8" s="70" t="n">
        <v>1212.968</v>
      </c>
      <c r="J8" s="70" t="n">
        <v>6209.596</v>
      </c>
      <c r="K8" s="70" t="n">
        <v>550.932</v>
      </c>
      <c r="L8" s="70" t="n">
        <v>3272.864</v>
      </c>
      <c r="M8" s="70" t="n">
        <v>6958.756</v>
      </c>
      <c r="N8" s="70" t="n">
        <v>483.518</v>
      </c>
      <c r="O8" s="70" t="n">
        <v>3434.648</v>
      </c>
      <c r="P8" s="70" t="n">
        <v>10030.05</v>
      </c>
      <c r="Q8" s="70" t="n">
        <v>8701.766</v>
      </c>
      <c r="R8" s="70" t="n">
        <v>3746.78</v>
      </c>
      <c r="S8" s="70" t="n">
        <v>9587.607</v>
      </c>
      <c r="T8" s="70" t="n">
        <v>11724.125</v>
      </c>
      <c r="U8" s="70" t="n">
        <v>167.655</v>
      </c>
      <c r="V8" s="70" t="n">
        <v>11568.293</v>
      </c>
      <c r="W8" s="70" t="n">
        <v>11300.897</v>
      </c>
      <c r="X8" s="70" t="n">
        <v>5717.902</v>
      </c>
      <c r="Y8" s="70" t="n">
        <v>2745.379</v>
      </c>
      <c r="Z8" s="70" t="n">
        <v>14013.558</v>
      </c>
      <c r="AA8" s="70" t="n">
        <v>5495.091</v>
      </c>
      <c r="AB8" s="70" t="n">
        <v>1502.422</v>
      </c>
      <c r="AC8" s="70" t="n">
        <v>1588.81</v>
      </c>
      <c r="AD8" s="70" t="n">
        <v>11660.599</v>
      </c>
      <c r="AE8" s="70" t="n">
        <v>8329.915999999999</v>
      </c>
      <c r="AF8" s="70" t="n">
        <v>11892.791</v>
      </c>
      <c r="AG8" s="70" t="n">
        <v>9422.6</v>
      </c>
      <c r="AH8" s="70" t="n">
        <v>7692.095</v>
      </c>
      <c r="AI8" s="70" t="n">
        <v>15384.035</v>
      </c>
      <c r="AJ8" s="70" t="n">
        <v>5575.391</v>
      </c>
      <c r="AK8" s="70" t="n">
        <v>7488.814</v>
      </c>
      <c r="AL8" s="70" t="n">
        <v>12336.252</v>
      </c>
      <c r="AM8" s="70" t="n">
        <v>8275.245000000001</v>
      </c>
      <c r="AN8" s="70" t="n">
        <v>13414.014</v>
      </c>
      <c r="AO8" s="70" t="n">
        <v>7467.568</v>
      </c>
      <c r="AP8" s="70" t="n">
        <v>10261.165</v>
      </c>
      <c r="AQ8" s="70" t="n">
        <v>797.905</v>
      </c>
      <c r="AR8" s="70" t="n">
        <v>2999.754</v>
      </c>
      <c r="AS8" s="70" t="n">
        <v>4600.819</v>
      </c>
      <c r="AT8" s="70" t="n">
        <v>1148.036</v>
      </c>
      <c r="AU8" s="70" t="n">
        <v>3527.58</v>
      </c>
      <c r="AV8" s="70" t="n">
        <v>1388.394</v>
      </c>
      <c r="AW8" s="70" t="n">
        <v>4087.961</v>
      </c>
      <c r="AX8" s="70" t="n">
        <v>8743.727999999999</v>
      </c>
      <c r="AY8" s="70" t="n">
        <v>5248.425</v>
      </c>
      <c r="AZ8" s="70" t="n">
        <v>6055.792</v>
      </c>
      <c r="BA8" s="70" t="n">
        <v>3104.831</v>
      </c>
      <c r="BB8" s="70" t="n">
        <v>4386.276</v>
      </c>
      <c r="BC8" s="70" t="n">
        <v>15455.827</v>
      </c>
      <c r="BD8" s="70" t="n">
        <v>9030.696</v>
      </c>
      <c r="BE8" s="70" t="n">
        <v>8025.117</v>
      </c>
      <c r="BF8" s="70" t="n">
        <v>2267.88</v>
      </c>
      <c r="BG8" s="70" t="n">
        <v>11093.646</v>
      </c>
      <c r="BH8" s="70" t="n">
        <v>2914.832</v>
      </c>
      <c r="BI8" s="70" t="n">
        <v>5494.893</v>
      </c>
      <c r="BJ8" s="70" t="n">
        <v>15512.515</v>
      </c>
      <c r="BK8" s="70" t="n">
        <v>10448.985</v>
      </c>
      <c r="BL8" s="70" t="n">
        <v>8780.906999999999</v>
      </c>
      <c r="BM8" s="70" t="n">
        <v>11086.39</v>
      </c>
      <c r="BN8" s="70" t="n">
        <v>14365.916</v>
      </c>
      <c r="BO8" s="70" t="n">
        <v>10610.546</v>
      </c>
      <c r="BP8" s="70" t="n">
        <v>472288.499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tabColor rgb="FFED7D31"/>
    <outlinePr summaryBelow="1" summaryRight="1"/>
    <pageSetUpPr fitToPage="0"/>
  </sheetPr>
  <dimension ref="A1:BP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8" customWidth="1" style="64" min="1" max="1"/>
    <col width="14" customWidth="1" style="64" min="2" max="68"/>
  </cols>
  <sheetData>
    <row r="1" ht="32.8" customHeight="1" s="65">
      <c r="A1" s="66" t="inlineStr">
        <is>
          <t>Service</t>
        </is>
      </c>
      <c r="B1" s="66" t="inlineStr">
        <is>
          <t>Relational Database Service($)</t>
        </is>
      </c>
      <c r="C1" s="66" t="inlineStr">
        <is>
          <t>S3($)</t>
        </is>
      </c>
      <c r="D1" s="66" t="inlineStr">
        <is>
          <t>DMS($)</t>
        </is>
      </c>
      <c r="E1" s="66" t="inlineStr">
        <is>
          <t>Glue($)</t>
        </is>
      </c>
      <c r="F1" s="66" t="inlineStr">
        <is>
          <t>EC2-Instances($)</t>
        </is>
      </c>
      <c r="G1" s="66" t="inlineStr">
        <is>
          <t>Lambda($)</t>
        </is>
      </c>
      <c r="H1" s="66" t="inlineStr">
        <is>
          <t>CloudFront($)</t>
        </is>
      </c>
      <c r="I1" s="66" t="inlineStr">
        <is>
          <t>Route53($)</t>
        </is>
      </c>
      <c r="J1" s="66" t="inlineStr">
        <is>
          <t>CloudWatch($)</t>
        </is>
      </c>
      <c r="K1" s="66" t="inlineStr">
        <is>
          <t>SNS($)</t>
        </is>
      </c>
      <c r="L1" s="66" t="inlineStr">
        <is>
          <t>SQS($)</t>
        </is>
      </c>
      <c r="M1" s="66" t="inlineStr">
        <is>
          <t>DynamoDB($)</t>
        </is>
      </c>
      <c r="N1" s="66" t="inlineStr">
        <is>
          <t>ElastiCache($)</t>
        </is>
      </c>
      <c r="O1" s="66" t="inlineStr">
        <is>
          <t>ECS($)</t>
        </is>
      </c>
      <c r="P1" s="66" t="inlineStr">
        <is>
          <t>EKS($)</t>
        </is>
      </c>
      <c r="Q1" s="66" t="inlineStr">
        <is>
          <t>ECR($)</t>
        </is>
      </c>
      <c r="R1" s="66" t="inlineStr">
        <is>
          <t>VPC($)</t>
        </is>
      </c>
      <c r="S1" s="66" t="inlineStr">
        <is>
          <t>Direct Connect($)</t>
        </is>
      </c>
      <c r="T1" s="66" t="inlineStr">
        <is>
          <t>API Gateway($)</t>
        </is>
      </c>
      <c r="U1" s="66" t="inlineStr">
        <is>
          <t>Kinesis($)</t>
        </is>
      </c>
      <c r="V1" s="66" t="inlineStr">
        <is>
          <t>Firehose($)</t>
        </is>
      </c>
      <c r="W1" s="66" t="inlineStr">
        <is>
          <t>Athena($)</t>
        </is>
      </c>
      <c r="X1" s="66" t="inlineStr">
        <is>
          <t>Redshift($)</t>
        </is>
      </c>
      <c r="Y1" s="66" t="inlineStr">
        <is>
          <t>EMR($)</t>
        </is>
      </c>
      <c r="Z1" s="66" t="inlineStr">
        <is>
          <t>SageMaker($)</t>
        </is>
      </c>
      <c r="AA1" s="66" t="inlineStr">
        <is>
          <t>Rekognition($)</t>
        </is>
      </c>
      <c r="AB1" s="66" t="inlineStr">
        <is>
          <t>Textract($)</t>
        </is>
      </c>
      <c r="AC1" s="66" t="inlineStr">
        <is>
          <t>Comprehend($)</t>
        </is>
      </c>
      <c r="AD1" s="66" t="inlineStr">
        <is>
          <t>Translate($)</t>
        </is>
      </c>
      <c r="AE1" s="66" t="inlineStr">
        <is>
          <t>Polly($)</t>
        </is>
      </c>
      <c r="AF1" s="66" t="inlineStr">
        <is>
          <t>Transcribe($)</t>
        </is>
      </c>
      <c r="AG1" s="66" t="inlineStr">
        <is>
          <t>Lex($)</t>
        </is>
      </c>
      <c r="AH1" s="66" t="inlineStr">
        <is>
          <t>Connect($)</t>
        </is>
      </c>
      <c r="AI1" s="66" t="inlineStr">
        <is>
          <t>Chime($)</t>
        </is>
      </c>
      <c r="AJ1" s="66" t="inlineStr">
        <is>
          <t>WorkSpaces($)</t>
        </is>
      </c>
      <c r="AK1" s="66" t="inlineStr">
        <is>
          <t>AppStream($)</t>
        </is>
      </c>
      <c r="AL1" s="66" t="inlineStr">
        <is>
          <t>WAF($)</t>
        </is>
      </c>
      <c r="AM1" s="66" t="inlineStr">
        <is>
          <t>Shield($)</t>
        </is>
      </c>
      <c r="AN1" s="66" t="inlineStr">
        <is>
          <t>GuardDuty($)</t>
        </is>
      </c>
      <c r="AO1" s="66" t="inlineStr">
        <is>
          <t>Inspector($)</t>
        </is>
      </c>
      <c r="AP1" s="66" t="inlineStr">
        <is>
          <t>Macie($)</t>
        </is>
      </c>
      <c r="AQ1" s="66" t="inlineStr">
        <is>
          <t>Security Hub($)</t>
        </is>
      </c>
      <c r="AR1" s="66" t="inlineStr">
        <is>
          <t>Config($)</t>
        </is>
      </c>
      <c r="AS1" s="66" t="inlineStr">
        <is>
          <t>CloudTrail($)</t>
        </is>
      </c>
      <c r="AT1" s="66" t="inlineStr">
        <is>
          <t>Systems Manager($)</t>
        </is>
      </c>
      <c r="AU1" s="66" t="inlineStr">
        <is>
          <t>Secrets Manager($)</t>
        </is>
      </c>
      <c r="AV1" s="66" t="inlineStr">
        <is>
          <t>KMS($)</t>
        </is>
      </c>
      <c r="AW1" s="66" t="inlineStr">
        <is>
          <t>ACM($)</t>
        </is>
      </c>
      <c r="AX1" s="66" t="inlineStr">
        <is>
          <t>IAM($)</t>
        </is>
      </c>
      <c r="AY1" s="66" t="inlineStr">
        <is>
          <t>Organizations($)</t>
        </is>
      </c>
      <c r="AZ1" s="66" t="inlineStr">
        <is>
          <t>Control Tower($)</t>
        </is>
      </c>
      <c r="BA1" s="66" t="inlineStr">
        <is>
          <t>Service Catalog($)</t>
        </is>
      </c>
      <c r="BB1" s="66" t="inlineStr">
        <is>
          <t>CodePipeline($)</t>
        </is>
      </c>
      <c r="BC1" s="66" t="inlineStr">
        <is>
          <t>CodeBuild($)</t>
        </is>
      </c>
      <c r="BD1" s="66" t="inlineStr">
        <is>
          <t>CodeDeploy($)</t>
        </is>
      </c>
      <c r="BE1" s="66" t="inlineStr">
        <is>
          <t>CodeCommit($)</t>
        </is>
      </c>
      <c r="BF1" s="66" t="inlineStr">
        <is>
          <t>Amplify($)</t>
        </is>
      </c>
      <c r="BG1" s="66" t="inlineStr">
        <is>
          <t>AppSync($)</t>
        </is>
      </c>
      <c r="BH1" s="66" t="inlineStr">
        <is>
          <t>EventBridge($)</t>
        </is>
      </c>
      <c r="BI1" s="66" t="inlineStr">
        <is>
          <t>Step Functions($)</t>
        </is>
      </c>
      <c r="BJ1" s="66" t="inlineStr">
        <is>
          <t>Batch($)</t>
        </is>
      </c>
      <c r="BK1" s="66" t="inlineStr">
        <is>
          <t>Fargate($)</t>
        </is>
      </c>
      <c r="BL1" s="66" t="inlineStr">
        <is>
          <t>Lightsail($)</t>
        </is>
      </c>
      <c r="BM1" s="66" t="inlineStr">
        <is>
          <t>Transfer Family($)</t>
        </is>
      </c>
      <c r="BN1" s="66" t="inlineStr">
        <is>
          <t>DataSync($)</t>
        </is>
      </c>
      <c r="BO1" s="66" t="inlineStr">
        <is>
          <t>Backup($)</t>
        </is>
      </c>
      <c r="BP1" s="66" t="inlineStr">
        <is>
          <t>Total($)</t>
        </is>
      </c>
    </row>
    <row r="2" ht="15" customHeight="1" s="65">
      <c r="A2" s="67" t="inlineStr">
        <is>
          <t>Service total</t>
        </is>
      </c>
      <c r="B2" s="68" t="n">
        <v>55859.312</v>
      </c>
      <c r="C2" s="68" t="n">
        <v>66208.262</v>
      </c>
      <c r="D2" s="68" t="n">
        <v>46089.558</v>
      </c>
      <c r="E2" s="68" t="n">
        <v>48133.683</v>
      </c>
      <c r="F2" s="68" t="n">
        <v>33536.154</v>
      </c>
      <c r="G2" s="68" t="n">
        <v>82390.927</v>
      </c>
      <c r="H2" s="68" t="n">
        <v>25591.611</v>
      </c>
      <c r="I2" s="68" t="n">
        <v>8492.748</v>
      </c>
      <c r="J2" s="68" t="n">
        <v>15860.747</v>
      </c>
      <c r="K2" s="68" t="n">
        <v>46149.767</v>
      </c>
      <c r="L2" s="68" t="n">
        <v>81773.745</v>
      </c>
      <c r="M2" s="68" t="n">
        <v>44171.148</v>
      </c>
      <c r="N2" s="68" t="n">
        <v>4272.455</v>
      </c>
      <c r="O2" s="68" t="n">
        <v>24151.186</v>
      </c>
      <c r="P2" s="68" t="n">
        <v>8632.52</v>
      </c>
      <c r="Q2" s="68" t="n">
        <v>26290.596</v>
      </c>
      <c r="R2" s="68" t="n">
        <v>30115.969</v>
      </c>
      <c r="S2" s="68" t="n">
        <v>89157.66</v>
      </c>
      <c r="T2" s="68" t="n">
        <v>48023.915</v>
      </c>
      <c r="U2" s="68" t="n">
        <v>77760.72199999999</v>
      </c>
      <c r="V2" s="68" t="n">
        <v>77001.727</v>
      </c>
      <c r="W2" s="68" t="n">
        <v>10905.133</v>
      </c>
      <c r="X2" s="68" t="n">
        <v>13328.324</v>
      </c>
      <c r="Y2" s="68" t="n">
        <v>85931.348</v>
      </c>
      <c r="Z2" s="68" t="n">
        <v>1015.105</v>
      </c>
      <c r="AA2" s="68" t="n">
        <v>41424.242</v>
      </c>
      <c r="AB2" s="68" t="n">
        <v>64982.802</v>
      </c>
      <c r="AC2" s="68" t="n">
        <v>21453.139</v>
      </c>
      <c r="AD2" s="68" t="n">
        <v>68228.944</v>
      </c>
      <c r="AE2" s="68" t="n">
        <v>74821.60400000001</v>
      </c>
      <c r="AF2" s="68" t="n">
        <v>78999.39200000001</v>
      </c>
      <c r="AG2" s="68" t="n">
        <v>29544.305</v>
      </c>
      <c r="AH2" s="68" t="n">
        <v>23355.999</v>
      </c>
      <c r="AI2" s="68" t="n">
        <v>30370.471</v>
      </c>
      <c r="AJ2" s="68" t="n">
        <v>3472.252</v>
      </c>
      <c r="AK2" s="68" t="n">
        <v>2599.511</v>
      </c>
      <c r="AL2" s="68" t="n">
        <v>21217.32</v>
      </c>
      <c r="AM2" s="68" t="n">
        <v>17178.338</v>
      </c>
      <c r="AN2" s="68" t="n">
        <v>63673.442</v>
      </c>
      <c r="AO2" s="68" t="n">
        <v>31874.19</v>
      </c>
      <c r="AP2" s="68" t="n">
        <v>5000.685</v>
      </c>
      <c r="AQ2" s="68" t="n">
        <v>29340.297</v>
      </c>
      <c r="AR2" s="68" t="n">
        <v>11165.981</v>
      </c>
      <c r="AS2" s="68" t="n">
        <v>2570.355</v>
      </c>
      <c r="AT2" s="68" t="n">
        <v>53615.247</v>
      </c>
      <c r="AU2" s="68" t="n">
        <v>22481.161</v>
      </c>
      <c r="AV2" s="68" t="n">
        <v>23684.128</v>
      </c>
      <c r="AW2" s="68" t="n">
        <v>16681.628</v>
      </c>
      <c r="AX2" s="68" t="n">
        <v>59218.188</v>
      </c>
      <c r="AY2" s="68" t="n">
        <v>64379.922</v>
      </c>
      <c r="AZ2" s="68" t="n">
        <v>92618.417</v>
      </c>
      <c r="BA2" s="68" t="n">
        <v>79214.05899999999</v>
      </c>
      <c r="BB2" s="68" t="n">
        <v>21089.409</v>
      </c>
      <c r="BC2" s="68" t="n">
        <v>56730.102</v>
      </c>
      <c r="BD2" s="68" t="n">
        <v>25129.477</v>
      </c>
      <c r="BE2" s="68" t="n">
        <v>12508.267</v>
      </c>
      <c r="BF2" s="68" t="n">
        <v>41899.573</v>
      </c>
      <c r="BG2" s="68" t="n">
        <v>87673.04300000001</v>
      </c>
      <c r="BH2" s="68" t="n">
        <v>29815.843</v>
      </c>
      <c r="BI2" s="68" t="n">
        <v>45830.589</v>
      </c>
      <c r="BJ2" s="68" t="n">
        <v>70010.662</v>
      </c>
      <c r="BK2" s="68" t="n">
        <v>7535.836</v>
      </c>
      <c r="BL2" s="68" t="n">
        <v>1199.364</v>
      </c>
      <c r="BM2" s="68" t="n">
        <v>84939.77800000001</v>
      </c>
      <c r="BN2" s="68" t="n">
        <v>79360.156</v>
      </c>
      <c r="BO2" s="68" t="n">
        <v>61879.021</v>
      </c>
      <c r="BP2" s="68" t="n">
        <v>2709611.461</v>
      </c>
    </row>
    <row r="3" ht="15" customHeight="1" s="65">
      <c r="A3" s="69" t="n">
        <v>45870</v>
      </c>
      <c r="B3" s="70" t="n">
        <v>7898.098</v>
      </c>
      <c r="C3" s="70" t="n">
        <v>8927.59</v>
      </c>
      <c r="D3" s="70" t="n">
        <v>7967.424</v>
      </c>
      <c r="E3" s="70" t="n">
        <v>7065.866</v>
      </c>
      <c r="F3" s="70" t="n">
        <v>5133.419</v>
      </c>
      <c r="G3" s="70" t="n">
        <v>11187.475</v>
      </c>
      <c r="H3" s="70" t="n">
        <v>4120.433</v>
      </c>
      <c r="I3" s="70" t="n">
        <v>1510.105</v>
      </c>
      <c r="J3" s="70" t="n">
        <v>2748.396</v>
      </c>
      <c r="K3" s="70" t="n">
        <v>7936.271</v>
      </c>
      <c r="L3" s="70" t="n">
        <v>14973.54</v>
      </c>
      <c r="M3" s="70" t="n">
        <v>9124.385</v>
      </c>
      <c r="N3" s="70" t="n">
        <v>718.748</v>
      </c>
      <c r="O3" s="70" t="n">
        <v>3314.026</v>
      </c>
      <c r="P3" s="70" t="n">
        <v>1514.846</v>
      </c>
      <c r="Q3" s="70" t="n">
        <v>4912.813</v>
      </c>
      <c r="R3" s="70" t="n">
        <v>4668.925</v>
      </c>
      <c r="S3" s="70" t="n">
        <v>13331.391</v>
      </c>
      <c r="T3" s="70" t="n">
        <v>7216.727</v>
      </c>
      <c r="U3" s="70" t="n">
        <v>11355.949</v>
      </c>
      <c r="V3" s="70" t="n">
        <v>11466.074</v>
      </c>
      <c r="W3" s="70" t="n">
        <v>2053.301</v>
      </c>
      <c r="X3" s="70" t="n">
        <v>1819.557</v>
      </c>
      <c r="Y3" s="70" t="n">
        <v>14376.949</v>
      </c>
      <c r="Z3" s="70" t="n">
        <v>154.545</v>
      </c>
      <c r="AA3" s="70" t="n">
        <v>7561.849</v>
      </c>
      <c r="AB3" s="70" t="n">
        <v>11218.648</v>
      </c>
      <c r="AC3" s="70" t="n">
        <v>3614.896</v>
      </c>
      <c r="AD3" s="70" t="n">
        <v>11317.451</v>
      </c>
      <c r="AE3" s="70" t="n">
        <v>12798.692</v>
      </c>
      <c r="AF3" s="70" t="n">
        <v>14128.784</v>
      </c>
      <c r="AG3" s="70" t="n">
        <v>4487.099</v>
      </c>
      <c r="AH3" s="70" t="n">
        <v>3803.23</v>
      </c>
      <c r="AI3" s="70" t="n">
        <v>5216.507</v>
      </c>
      <c r="AJ3" s="70" t="n">
        <v>502.34</v>
      </c>
      <c r="AK3" s="70" t="n">
        <v>487.019</v>
      </c>
      <c r="AL3" s="70" t="n">
        <v>3672.031</v>
      </c>
      <c r="AM3" s="70" t="n">
        <v>2665.919</v>
      </c>
      <c r="AN3" s="70" t="n">
        <v>12012.646</v>
      </c>
      <c r="AO3" s="70" t="n">
        <v>5287.608</v>
      </c>
      <c r="AP3" s="70" t="n">
        <v>1022.227</v>
      </c>
      <c r="AQ3" s="70" t="n">
        <v>4995.328</v>
      </c>
      <c r="AR3" s="70" t="n">
        <v>1988.796</v>
      </c>
      <c r="AS3" s="70" t="n">
        <v>401.206</v>
      </c>
      <c r="AT3" s="70" t="n">
        <v>9272.859</v>
      </c>
      <c r="AU3" s="70" t="n">
        <v>4110.269</v>
      </c>
      <c r="AV3" s="70" t="n">
        <v>4615.064</v>
      </c>
      <c r="AW3" s="70" t="n">
        <v>2886.477</v>
      </c>
      <c r="AX3" s="70" t="n">
        <v>8025.743</v>
      </c>
      <c r="AY3" s="70" t="n">
        <v>12635.014</v>
      </c>
      <c r="AZ3" s="70" t="n">
        <v>12572.796</v>
      </c>
      <c r="BA3" s="70" t="n">
        <v>14886.216</v>
      </c>
      <c r="BB3" s="70" t="n">
        <v>3903.414</v>
      </c>
      <c r="BC3" s="70" t="n">
        <v>9929.547</v>
      </c>
      <c r="BD3" s="70" t="n">
        <v>4299.51</v>
      </c>
      <c r="BE3" s="70" t="n">
        <v>1950.759</v>
      </c>
      <c r="BF3" s="70" t="n">
        <v>7148.863</v>
      </c>
      <c r="BG3" s="70" t="n">
        <v>14367.663</v>
      </c>
      <c r="BH3" s="70" t="n">
        <v>5719.498</v>
      </c>
      <c r="BI3" s="70" t="n">
        <v>8323.423000000001</v>
      </c>
      <c r="BJ3" s="70" t="n">
        <v>12410.901</v>
      </c>
      <c r="BK3" s="70" t="n">
        <v>1361.646</v>
      </c>
      <c r="BL3" s="70" t="n">
        <v>175.933</v>
      </c>
      <c r="BM3" s="70" t="n">
        <v>14398.88</v>
      </c>
      <c r="BN3" s="70" t="n">
        <v>13090.782</v>
      </c>
      <c r="BO3" s="70" t="n">
        <v>9030.618</v>
      </c>
      <c r="BP3" s="70" t="n">
        <v>447795.003</v>
      </c>
    </row>
    <row r="4" ht="15" customHeight="1" s="65">
      <c r="A4" s="69" t="n">
        <v>45901</v>
      </c>
      <c r="B4" s="70" t="n">
        <v>7596.897</v>
      </c>
      <c r="C4" s="70" t="n">
        <v>9268.954</v>
      </c>
      <c r="D4" s="70" t="n">
        <v>6790.932</v>
      </c>
      <c r="E4" s="70" t="n">
        <v>8153.059</v>
      </c>
      <c r="F4" s="70" t="n">
        <v>5149.737</v>
      </c>
      <c r="G4" s="70" t="n">
        <v>13633.146</v>
      </c>
      <c r="H4" s="70" t="n">
        <v>3648.681</v>
      </c>
      <c r="I4" s="70" t="n">
        <v>1743.431</v>
      </c>
      <c r="J4" s="70" t="n">
        <v>2463.461</v>
      </c>
      <c r="K4" s="70" t="n">
        <v>7675.444</v>
      </c>
      <c r="L4" s="70" t="n">
        <v>11209.926</v>
      </c>
      <c r="M4" s="70" t="n">
        <v>7779.739</v>
      </c>
      <c r="N4" s="70" t="n">
        <v>678.232</v>
      </c>
      <c r="O4" s="70" t="n">
        <v>3377.53</v>
      </c>
      <c r="P4" s="70" t="n">
        <v>1365.381</v>
      </c>
      <c r="Q4" s="70" t="n">
        <v>4420.502</v>
      </c>
      <c r="R4" s="70" t="n">
        <v>4474.725</v>
      </c>
      <c r="S4" s="70" t="n">
        <v>12849.22</v>
      </c>
      <c r="T4" s="70" t="n">
        <v>6337.681</v>
      </c>
      <c r="U4" s="70" t="n">
        <v>12378.144</v>
      </c>
      <c r="V4" s="70" t="n">
        <v>12655.27</v>
      </c>
      <c r="W4" s="70" t="n">
        <v>1654.192</v>
      </c>
      <c r="X4" s="70" t="n">
        <v>1847.866</v>
      </c>
      <c r="Y4" s="70" t="n">
        <v>14312.5</v>
      </c>
      <c r="Z4" s="70" t="n">
        <v>181.468</v>
      </c>
      <c r="AA4" s="70" t="n">
        <v>6574.922</v>
      </c>
      <c r="AB4" s="70" t="n">
        <v>11817.905</v>
      </c>
      <c r="AC4" s="70" t="n">
        <v>3207.623</v>
      </c>
      <c r="AD4" s="70" t="n">
        <v>11873.515</v>
      </c>
      <c r="AE4" s="70" t="n">
        <v>12278.082</v>
      </c>
      <c r="AF4" s="70" t="n">
        <v>12282.106</v>
      </c>
      <c r="AG4" s="70" t="n">
        <v>3965.718</v>
      </c>
      <c r="AH4" s="70" t="n">
        <v>4400.507</v>
      </c>
      <c r="AI4" s="70" t="n">
        <v>4564.86</v>
      </c>
      <c r="AJ4" s="70" t="n">
        <v>479.741</v>
      </c>
      <c r="AK4" s="70" t="n">
        <v>433.15</v>
      </c>
      <c r="AL4" s="70" t="n">
        <v>3313.456</v>
      </c>
      <c r="AM4" s="70" t="n">
        <v>2784.284</v>
      </c>
      <c r="AN4" s="70" t="n">
        <v>9961.73</v>
      </c>
      <c r="AO4" s="70" t="n">
        <v>4930.822</v>
      </c>
      <c r="AP4" s="70" t="n">
        <v>788.509</v>
      </c>
      <c r="AQ4" s="70" t="n">
        <v>4167.48</v>
      </c>
      <c r="AR4" s="70" t="n">
        <v>1894.061</v>
      </c>
      <c r="AS4" s="70" t="n">
        <v>467.396</v>
      </c>
      <c r="AT4" s="70" t="n">
        <v>9353.236999999999</v>
      </c>
      <c r="AU4" s="70" t="n">
        <v>3361.99</v>
      </c>
      <c r="AV4" s="70" t="n">
        <v>4099.656</v>
      </c>
      <c r="AW4" s="70" t="n">
        <v>2551.972</v>
      </c>
      <c r="AX4" s="70" t="n">
        <v>8227.403</v>
      </c>
      <c r="AY4" s="70" t="n">
        <v>10164.525</v>
      </c>
      <c r="AZ4" s="70" t="n">
        <v>15348.839</v>
      </c>
      <c r="BA4" s="70" t="n">
        <v>12210.292</v>
      </c>
      <c r="BB4" s="70" t="n">
        <v>3162.482</v>
      </c>
      <c r="BC4" s="70" t="n">
        <v>8344.084999999999</v>
      </c>
      <c r="BD4" s="70" t="n">
        <v>4161.362</v>
      </c>
      <c r="BE4" s="70" t="n">
        <v>1797.211</v>
      </c>
      <c r="BF4" s="70" t="n">
        <v>8152.294</v>
      </c>
      <c r="BG4" s="70" t="n">
        <v>14098.042</v>
      </c>
      <c r="BH4" s="70" t="n">
        <v>6023.96</v>
      </c>
      <c r="BI4" s="70" t="n">
        <v>8812.195</v>
      </c>
      <c r="BJ4" s="70" t="n">
        <v>11089.226</v>
      </c>
      <c r="BK4" s="70" t="n">
        <v>1379.31</v>
      </c>
      <c r="BL4" s="70" t="n">
        <v>207.919</v>
      </c>
      <c r="BM4" s="70" t="n">
        <v>13630.938</v>
      </c>
      <c r="BN4" s="70" t="n">
        <v>14413.818</v>
      </c>
      <c r="BO4" s="70" t="n">
        <v>10828.068</v>
      </c>
      <c r="BP4" s="70" t="n">
        <v>433250.812</v>
      </c>
    </row>
    <row r="5" ht="15" customHeight="1" s="65">
      <c r="A5" s="69" t="n">
        <v>45931</v>
      </c>
      <c r="B5" s="70" t="n">
        <v>7489.551</v>
      </c>
      <c r="C5" s="70" t="n">
        <v>10298.611</v>
      </c>
      <c r="D5" s="70" t="n">
        <v>6863.146</v>
      </c>
      <c r="E5" s="70" t="n">
        <v>6431.837</v>
      </c>
      <c r="F5" s="70" t="n">
        <v>4553.487</v>
      </c>
      <c r="G5" s="70" t="n">
        <v>13201.623</v>
      </c>
      <c r="H5" s="70" t="n">
        <v>4306.469</v>
      </c>
      <c r="I5" s="70" t="n">
        <v>1528.405</v>
      </c>
      <c r="J5" s="70" t="n">
        <v>2670.448</v>
      </c>
      <c r="K5" s="70" t="n">
        <v>7474.942</v>
      </c>
      <c r="L5" s="70" t="n">
        <v>11676.622</v>
      </c>
      <c r="M5" s="70" t="n">
        <v>6905.741</v>
      </c>
      <c r="N5" s="70" t="n">
        <v>763.133</v>
      </c>
      <c r="O5" s="70" t="n">
        <v>3319.038</v>
      </c>
      <c r="P5" s="70" t="n">
        <v>1733.295</v>
      </c>
      <c r="Q5" s="70" t="n">
        <v>4774.336</v>
      </c>
      <c r="R5" s="70" t="n">
        <v>5424.851</v>
      </c>
      <c r="S5" s="70" t="n">
        <v>15107.134</v>
      </c>
      <c r="T5" s="70" t="n">
        <v>8046.277</v>
      </c>
      <c r="U5" s="70" t="n">
        <v>11458.732</v>
      </c>
      <c r="V5" s="70" t="n">
        <v>10845.309</v>
      </c>
      <c r="W5" s="70" t="n">
        <v>2120.294</v>
      </c>
      <c r="X5" s="70" t="n">
        <v>2127.275</v>
      </c>
      <c r="Y5" s="70" t="n">
        <v>15196.368</v>
      </c>
      <c r="Z5" s="70" t="n">
        <v>184.277</v>
      </c>
      <c r="AA5" s="70" t="n">
        <v>6289.953</v>
      </c>
      <c r="AB5" s="70" t="n">
        <v>11724.439</v>
      </c>
      <c r="AC5" s="70" t="n">
        <v>3160.007</v>
      </c>
      <c r="AD5" s="70" t="n">
        <v>12150.703</v>
      </c>
      <c r="AE5" s="70" t="n">
        <v>14413.834</v>
      </c>
      <c r="AF5" s="70" t="n">
        <v>11119.388</v>
      </c>
      <c r="AG5" s="70" t="n">
        <v>3961.071</v>
      </c>
      <c r="AH5" s="70" t="n">
        <v>3638.733</v>
      </c>
      <c r="AI5" s="70" t="n">
        <v>5563.655</v>
      </c>
      <c r="AJ5" s="70" t="n">
        <v>599.4160000000001</v>
      </c>
      <c r="AK5" s="70" t="n">
        <v>446.019</v>
      </c>
      <c r="AL5" s="70" t="n">
        <v>3242.532</v>
      </c>
      <c r="AM5" s="70" t="n">
        <v>2452.259</v>
      </c>
      <c r="AN5" s="70" t="n">
        <v>10706.872</v>
      </c>
      <c r="AO5" s="70" t="n">
        <v>4691.537</v>
      </c>
      <c r="AP5" s="70" t="n">
        <v>900.823</v>
      </c>
      <c r="AQ5" s="70" t="n">
        <v>4276.882</v>
      </c>
      <c r="AR5" s="70" t="n">
        <v>2207.34</v>
      </c>
      <c r="AS5" s="70" t="n">
        <v>432.542</v>
      </c>
      <c r="AT5" s="70" t="n">
        <v>9820.879000000001</v>
      </c>
      <c r="AU5" s="70" t="n">
        <v>4186.376</v>
      </c>
      <c r="AV5" s="70" t="n">
        <v>4178.312</v>
      </c>
      <c r="AW5" s="70" t="n">
        <v>3073.91</v>
      </c>
      <c r="AX5" s="70" t="n">
        <v>8121.087</v>
      </c>
      <c r="AY5" s="70" t="n">
        <v>13524.201</v>
      </c>
      <c r="AZ5" s="70" t="n">
        <v>12208.183</v>
      </c>
      <c r="BA5" s="70" t="n">
        <v>15251.396</v>
      </c>
      <c r="BB5" s="70" t="n">
        <v>3296.194</v>
      </c>
      <c r="BC5" s="70" t="n">
        <v>9606.575000000001</v>
      </c>
      <c r="BD5" s="70" t="n">
        <v>3768.661</v>
      </c>
      <c r="BE5" s="70" t="n">
        <v>2165.14</v>
      </c>
      <c r="BF5" s="70" t="n">
        <v>7409.972</v>
      </c>
      <c r="BG5" s="70" t="n">
        <v>14199.5</v>
      </c>
      <c r="BH5" s="70" t="n">
        <v>5877.175</v>
      </c>
      <c r="BI5" s="70" t="n">
        <v>8318.184999999999</v>
      </c>
      <c r="BJ5" s="70" t="n">
        <v>12977.242</v>
      </c>
      <c r="BK5" s="70" t="n">
        <v>1144.364</v>
      </c>
      <c r="BL5" s="70" t="n">
        <v>203.055</v>
      </c>
      <c r="BM5" s="70" t="n">
        <v>11272.852</v>
      </c>
      <c r="BN5" s="70" t="n">
        <v>14765.119</v>
      </c>
      <c r="BO5" s="70" t="n">
        <v>9491.574000000001</v>
      </c>
      <c r="BP5" s="70" t="n">
        <v>441339.155</v>
      </c>
    </row>
    <row r="6" ht="15" customHeight="1" s="65">
      <c r="A6" s="69" t="n">
        <v>45962</v>
      </c>
      <c r="B6" s="70" t="n">
        <v>7486.077</v>
      </c>
      <c r="C6" s="70" t="n">
        <v>8975.088</v>
      </c>
      <c r="D6" s="70" t="n">
        <v>8061.765</v>
      </c>
      <c r="E6" s="70" t="n">
        <v>7021.635</v>
      </c>
      <c r="F6" s="70" t="n">
        <v>5139.045</v>
      </c>
      <c r="G6" s="70" t="n">
        <v>13839.889</v>
      </c>
      <c r="H6" s="70" t="n">
        <v>3498.844</v>
      </c>
      <c r="I6" s="70" t="n">
        <v>1567.877</v>
      </c>
      <c r="J6" s="70" t="n">
        <v>2578.171</v>
      </c>
      <c r="K6" s="70" t="n">
        <v>8883.767</v>
      </c>
      <c r="L6" s="70" t="n">
        <v>13833.364</v>
      </c>
      <c r="M6" s="70" t="n">
        <v>7984.761</v>
      </c>
      <c r="N6" s="70" t="n">
        <v>774.6799999999999</v>
      </c>
      <c r="O6" s="70" t="n">
        <v>4352.396</v>
      </c>
      <c r="P6" s="70" t="n">
        <v>1492.167</v>
      </c>
      <c r="Q6" s="70" t="n">
        <v>4126.654</v>
      </c>
      <c r="R6" s="70" t="n">
        <v>4709.501</v>
      </c>
      <c r="S6" s="70" t="n">
        <v>14060.159</v>
      </c>
      <c r="T6" s="70" t="n">
        <v>6395.85</v>
      </c>
      <c r="U6" s="70" t="n">
        <v>13429.625</v>
      </c>
      <c r="V6" s="70" t="n">
        <v>11889.15</v>
      </c>
      <c r="W6" s="70" t="n">
        <v>1836.538</v>
      </c>
      <c r="X6" s="70" t="n">
        <v>2001.208</v>
      </c>
      <c r="Y6" s="70" t="n">
        <v>15981.724</v>
      </c>
      <c r="Z6" s="70" t="n">
        <v>158.039</v>
      </c>
      <c r="AA6" s="70" t="n">
        <v>7665.417</v>
      </c>
      <c r="AB6" s="70" t="n">
        <v>11120.659</v>
      </c>
      <c r="AC6" s="70" t="n">
        <v>3851.749</v>
      </c>
      <c r="AD6" s="70" t="n">
        <v>10510.451</v>
      </c>
      <c r="AE6" s="70" t="n">
        <v>12989.169</v>
      </c>
      <c r="AF6" s="70" t="n">
        <v>14310.163</v>
      </c>
      <c r="AG6" s="70" t="n">
        <v>4417.53</v>
      </c>
      <c r="AH6" s="70" t="n">
        <v>4119.155</v>
      </c>
      <c r="AI6" s="70" t="n">
        <v>5291.926</v>
      </c>
      <c r="AJ6" s="70" t="n">
        <v>543.419</v>
      </c>
      <c r="AK6" s="70" t="n">
        <v>445.886</v>
      </c>
      <c r="AL6" s="70" t="n">
        <v>4122.033</v>
      </c>
      <c r="AM6" s="70" t="n">
        <v>2730.734</v>
      </c>
      <c r="AN6" s="70" t="n">
        <v>9908.066999999999</v>
      </c>
      <c r="AO6" s="70" t="n">
        <v>5532.068</v>
      </c>
      <c r="AP6" s="70" t="n">
        <v>1025.729</v>
      </c>
      <c r="AQ6" s="70" t="n">
        <v>5125.762</v>
      </c>
      <c r="AR6" s="70" t="n">
        <v>2026.673</v>
      </c>
      <c r="AS6" s="70" t="n">
        <v>384.455</v>
      </c>
      <c r="AT6" s="70" t="n">
        <v>9967.346</v>
      </c>
      <c r="AU6" s="70" t="n">
        <v>3377.79</v>
      </c>
      <c r="AV6" s="70" t="n">
        <v>3755.853</v>
      </c>
      <c r="AW6" s="70" t="n">
        <v>3245.771</v>
      </c>
      <c r="AX6" s="70" t="n">
        <v>9137.437</v>
      </c>
      <c r="AY6" s="70" t="n">
        <v>13647.896</v>
      </c>
      <c r="AZ6" s="70" t="n">
        <v>15740.205</v>
      </c>
      <c r="BA6" s="70" t="n">
        <v>13679.325</v>
      </c>
      <c r="BB6" s="70" t="n">
        <v>4091.797</v>
      </c>
      <c r="BC6" s="70" t="n">
        <v>10458.523</v>
      </c>
      <c r="BD6" s="70" t="n">
        <v>3730.409</v>
      </c>
      <c r="BE6" s="70" t="n">
        <v>1790.925</v>
      </c>
      <c r="BF6" s="70" t="n">
        <v>6485.981</v>
      </c>
      <c r="BG6" s="70" t="n">
        <v>16075.598</v>
      </c>
      <c r="BH6" s="70" t="n">
        <v>4820.824</v>
      </c>
      <c r="BI6" s="70" t="n">
        <v>8184.618</v>
      </c>
      <c r="BJ6" s="70" t="n">
        <v>11855.182</v>
      </c>
      <c r="BK6" s="70" t="n">
        <v>1163.279</v>
      </c>
      <c r="BL6" s="70" t="n">
        <v>178.461</v>
      </c>
      <c r="BM6" s="70" t="n">
        <v>14612.739</v>
      </c>
      <c r="BN6" s="70" t="n">
        <v>12797.589</v>
      </c>
      <c r="BO6" s="70" t="n">
        <v>9141.707</v>
      </c>
      <c r="BP6" s="70" t="n">
        <v>454138.276</v>
      </c>
    </row>
    <row r="7" ht="15" customHeight="1" s="65">
      <c r="A7" s="69" t="n">
        <v>45992</v>
      </c>
      <c r="B7" s="70" t="n">
        <v>9317.598</v>
      </c>
      <c r="C7" s="70" t="n">
        <v>11077.956</v>
      </c>
      <c r="D7" s="70" t="n">
        <v>7116.244</v>
      </c>
      <c r="E7" s="70" t="n">
        <v>8084.851</v>
      </c>
      <c r="F7" s="70" t="n">
        <v>5282.063</v>
      </c>
      <c r="G7" s="70" t="n">
        <v>11993.522</v>
      </c>
      <c r="H7" s="70" t="n">
        <v>4351.4</v>
      </c>
      <c r="I7" s="70" t="n">
        <v>1349.332</v>
      </c>
      <c r="J7" s="70" t="n">
        <v>2648.311</v>
      </c>
      <c r="K7" s="70" t="n">
        <v>7869.399</v>
      </c>
      <c r="L7" s="70" t="n">
        <v>11212.953</v>
      </c>
      <c r="M7" s="70" t="n">
        <v>9110.288</v>
      </c>
      <c r="N7" s="70" t="n">
        <v>761.958</v>
      </c>
      <c r="O7" s="70" t="n">
        <v>4083.043</v>
      </c>
      <c r="P7" s="70" t="n">
        <v>1776.018</v>
      </c>
      <c r="Q7" s="70" t="n">
        <v>5215.535</v>
      </c>
      <c r="R7" s="70" t="n">
        <v>5300.322</v>
      </c>
      <c r="S7" s="70" t="n">
        <v>12775.282</v>
      </c>
      <c r="T7" s="70" t="n">
        <v>6439.419</v>
      </c>
      <c r="U7" s="70" t="n">
        <v>13050.325</v>
      </c>
      <c r="V7" s="70" t="n">
        <v>10734.303</v>
      </c>
      <c r="W7" s="70" t="n">
        <v>1699.345</v>
      </c>
      <c r="X7" s="70" t="n">
        <v>2364.925</v>
      </c>
      <c r="Y7" s="70" t="n">
        <v>15928.871</v>
      </c>
      <c r="Z7" s="70" t="n">
        <v>154.63</v>
      </c>
      <c r="AA7" s="70" t="n">
        <v>6108.108</v>
      </c>
      <c r="AB7" s="70" t="n">
        <v>13390.889</v>
      </c>
      <c r="AC7" s="70" t="n">
        <v>3368.083</v>
      </c>
      <c r="AD7" s="70" t="n">
        <v>10280.13</v>
      </c>
      <c r="AE7" s="70" t="n">
        <v>13227.697</v>
      </c>
      <c r="AF7" s="70" t="n">
        <v>11695.133</v>
      </c>
      <c r="AG7" s="70" t="n">
        <v>4794.303</v>
      </c>
      <c r="AH7" s="70" t="n">
        <v>3835.288</v>
      </c>
      <c r="AI7" s="70" t="n">
        <v>5222.861</v>
      </c>
      <c r="AJ7" s="70" t="n">
        <v>562.139</v>
      </c>
      <c r="AK7" s="70" t="n">
        <v>392.37</v>
      </c>
      <c r="AL7" s="70" t="n">
        <v>3994.027</v>
      </c>
      <c r="AM7" s="70" t="n">
        <v>2916.963</v>
      </c>
      <c r="AN7" s="70" t="n">
        <v>11013.665</v>
      </c>
      <c r="AO7" s="70" t="n">
        <v>4794.195</v>
      </c>
      <c r="AP7" s="70" t="n">
        <v>816.364</v>
      </c>
      <c r="AQ7" s="70" t="n">
        <v>4536.682</v>
      </c>
      <c r="AR7" s="70" t="n">
        <v>2215.143</v>
      </c>
      <c r="AS7" s="70" t="n">
        <v>398.033</v>
      </c>
      <c r="AT7" s="70" t="n">
        <v>10365.411</v>
      </c>
      <c r="AU7" s="70" t="n">
        <v>3798.254</v>
      </c>
      <c r="AV7" s="70" t="n">
        <v>3654.904</v>
      </c>
      <c r="AW7" s="70" t="n">
        <v>2686.354</v>
      </c>
      <c r="AX7" s="70" t="n">
        <v>9052.764999999999</v>
      </c>
      <c r="AY7" s="70" t="n">
        <v>13499.796</v>
      </c>
      <c r="AZ7" s="70" t="n">
        <v>15782.985</v>
      </c>
      <c r="BA7" s="70" t="n">
        <v>12446.441</v>
      </c>
      <c r="BB7" s="70" t="n">
        <v>3649.779</v>
      </c>
      <c r="BC7" s="70" t="n">
        <v>9853.704</v>
      </c>
      <c r="BD7" s="70" t="n">
        <v>4129.992</v>
      </c>
      <c r="BE7" s="70" t="n">
        <v>2040.537</v>
      </c>
      <c r="BF7" s="70" t="n">
        <v>7580.971</v>
      </c>
      <c r="BG7" s="70" t="n">
        <v>15826.965</v>
      </c>
      <c r="BH7" s="70" t="n">
        <v>5609.512</v>
      </c>
      <c r="BI7" s="70" t="n">
        <v>6999.9</v>
      </c>
      <c r="BJ7" s="70" t="n">
        <v>12496.225</v>
      </c>
      <c r="BK7" s="70" t="n">
        <v>1318.317</v>
      </c>
      <c r="BL7" s="70" t="n">
        <v>159.961</v>
      </c>
      <c r="BM7" s="70" t="n">
        <v>13366.569</v>
      </c>
      <c r="BN7" s="70" t="n">
        <v>13303.025</v>
      </c>
      <c r="BO7" s="70" t="n">
        <v>8520.996999999999</v>
      </c>
      <c r="BP7" s="70" t="n">
        <v>449403.331</v>
      </c>
    </row>
    <row r="8" ht="15" customHeight="1" s="65">
      <c r="A8" s="69" t="n">
        <v>46023</v>
      </c>
      <c r="B8" s="70" t="n">
        <v>10067.384</v>
      </c>
      <c r="C8" s="70" t="n">
        <v>11752.892</v>
      </c>
      <c r="D8" s="70" t="n">
        <v>8175.512</v>
      </c>
      <c r="E8" s="70" t="n">
        <v>7071.832</v>
      </c>
      <c r="F8" s="70" t="n">
        <v>5755.123</v>
      </c>
      <c r="G8" s="70" t="n">
        <v>12914.552</v>
      </c>
      <c r="H8" s="70" t="n">
        <v>3871.446</v>
      </c>
      <c r="I8" s="70" t="n">
        <v>1756.175</v>
      </c>
      <c r="J8" s="70" t="n">
        <v>2744.249</v>
      </c>
      <c r="K8" s="70" t="n">
        <v>7323.111</v>
      </c>
      <c r="L8" s="70" t="n">
        <v>13881.928</v>
      </c>
      <c r="M8" s="70" t="n">
        <v>7703.772</v>
      </c>
      <c r="N8" s="70" t="n">
        <v>729.75</v>
      </c>
      <c r="O8" s="70" t="n">
        <v>3905.578</v>
      </c>
      <c r="P8" s="70" t="n">
        <v>1557.068</v>
      </c>
      <c r="Q8" s="70" t="n">
        <v>4898.09</v>
      </c>
      <c r="R8" s="70" t="n">
        <v>5029.763</v>
      </c>
      <c r="S8" s="70" t="n">
        <v>15251.639</v>
      </c>
      <c r="T8" s="70" t="n">
        <v>8243.276</v>
      </c>
      <c r="U8" s="70" t="n">
        <v>12948.016</v>
      </c>
      <c r="V8" s="70" t="n">
        <v>13047.047</v>
      </c>
      <c r="W8" s="70" t="n">
        <v>2112.433</v>
      </c>
      <c r="X8" s="70" t="n">
        <v>2222.029</v>
      </c>
      <c r="Y8" s="70" t="n">
        <v>14907.991</v>
      </c>
      <c r="Z8" s="70" t="n">
        <v>169.57</v>
      </c>
      <c r="AA8" s="70" t="n">
        <v>6991.086</v>
      </c>
      <c r="AB8" s="70" t="n">
        <v>10895.279</v>
      </c>
      <c r="AC8" s="70" t="n">
        <v>4083.755</v>
      </c>
      <c r="AD8" s="70" t="n">
        <v>9714.620000000001</v>
      </c>
      <c r="AE8" s="70" t="n">
        <v>13551.787</v>
      </c>
      <c r="AF8" s="70" t="n">
        <v>13663.332</v>
      </c>
      <c r="AG8" s="70" t="n">
        <v>4430.411</v>
      </c>
      <c r="AH8" s="70" t="n">
        <v>3870.402</v>
      </c>
      <c r="AI8" s="70" t="n">
        <v>4827.409</v>
      </c>
      <c r="AJ8" s="70" t="n">
        <v>641.513</v>
      </c>
      <c r="AK8" s="70" t="n">
        <v>396.893</v>
      </c>
      <c r="AL8" s="70" t="n">
        <v>3327.782</v>
      </c>
      <c r="AM8" s="70" t="n">
        <v>2563.067</v>
      </c>
      <c r="AN8" s="70" t="n">
        <v>11676.934</v>
      </c>
      <c r="AO8" s="70" t="n">
        <v>4872.982</v>
      </c>
      <c r="AP8" s="70" t="n">
        <v>986.116</v>
      </c>
      <c r="AQ8" s="70" t="n">
        <v>4597.659</v>
      </c>
      <c r="AR8" s="70" t="n">
        <v>1734.689</v>
      </c>
      <c r="AS8" s="70" t="n">
        <v>442.935</v>
      </c>
      <c r="AT8" s="70" t="n">
        <v>9560.971</v>
      </c>
      <c r="AU8" s="70" t="n">
        <v>4104.464</v>
      </c>
      <c r="AV8" s="70" t="n">
        <v>3989.229</v>
      </c>
      <c r="AW8" s="70" t="n">
        <v>3285.221</v>
      </c>
      <c r="AX8" s="70" t="n">
        <v>7794.385</v>
      </c>
      <c r="AY8" s="70" t="n">
        <v>12102.471</v>
      </c>
      <c r="AZ8" s="70" t="n">
        <v>13736.549</v>
      </c>
      <c r="BA8" s="70" t="n">
        <v>12362.894</v>
      </c>
      <c r="BB8" s="70" t="n">
        <v>3150.388</v>
      </c>
      <c r="BC8" s="70" t="n">
        <v>8166.235</v>
      </c>
      <c r="BD8" s="70" t="n">
        <v>4095.459</v>
      </c>
      <c r="BE8" s="70" t="n">
        <v>1928.786</v>
      </c>
      <c r="BF8" s="70" t="n">
        <v>8432.475</v>
      </c>
      <c r="BG8" s="70" t="n">
        <v>15178.999</v>
      </c>
      <c r="BH8" s="70" t="n">
        <v>5621.914</v>
      </c>
      <c r="BI8" s="70" t="n">
        <v>7473.589</v>
      </c>
      <c r="BJ8" s="70" t="n">
        <v>10580.265</v>
      </c>
      <c r="BK8" s="70" t="n">
        <v>1150.749</v>
      </c>
      <c r="BL8" s="70" t="n">
        <v>170.039</v>
      </c>
      <c r="BM8" s="70" t="n">
        <v>13576.395</v>
      </c>
      <c r="BN8" s="70" t="n">
        <v>13517.198</v>
      </c>
      <c r="BO8" s="70" t="n">
        <v>8489.945</v>
      </c>
      <c r="BP8" s="70" t="n">
        <v>449777.496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5" customWidth="1" style="64" min="1" max="1"/>
  </cols>
  <sheetData>
    <row r="1" ht="15" customHeight="1" s="65">
      <c r="A1" s="71" t="inlineStr">
        <is>
          <t>Month (from Acct1_Raw)</t>
        </is>
      </c>
      <c r="C1" s="71" t="inlineStr">
        <is>
          <t>N_Months</t>
        </is>
      </c>
    </row>
    <row r="2" ht="15" customHeight="1" s="65">
      <c r="A2" s="69">
        <f>IFERROR(IF(Acct1_Raw!$A$3="","",Acct1_Raw!$A$3),"")</f>
        <v/>
      </c>
      <c r="C2" s="72">
        <f>COUNTA(A2:A25)</f>
        <v/>
      </c>
    </row>
    <row r="3" ht="15" customHeight="1" s="65">
      <c r="A3" s="69">
        <f>IFERROR(IF(Acct1_Raw!$A$4="","",Acct1_Raw!$A$4),"")</f>
        <v/>
      </c>
    </row>
    <row r="4" ht="15" customHeight="1" s="65">
      <c r="A4" s="69">
        <f>IFERROR(IF(Acct1_Raw!$A$5="","",Acct1_Raw!$A$5),"")</f>
        <v/>
      </c>
    </row>
    <row r="5" ht="15" customHeight="1" s="65">
      <c r="A5" s="69">
        <f>IFERROR(IF(Acct1_Raw!$A$6="","",Acct1_Raw!$A$6),"")</f>
        <v/>
      </c>
    </row>
    <row r="6" ht="15" customHeight="1" s="65">
      <c r="A6" s="69">
        <f>IFERROR(IF(Acct1_Raw!$A$7="","",Acct1_Raw!$A$7),"")</f>
        <v/>
      </c>
    </row>
    <row r="7" ht="15" customHeight="1" s="65">
      <c r="A7" s="69">
        <f>IFERROR(IF(Acct1_Raw!$A$8="","",Acct1_Raw!$A$8),"")</f>
        <v/>
      </c>
    </row>
    <row r="8" ht="15" customHeight="1" s="65">
      <c r="A8" s="69">
        <f>IFERROR(IF(Acct1_Raw!$A$9="","",Acct1_Raw!$A$9),"")</f>
        <v/>
      </c>
    </row>
    <row r="9" ht="15" customHeight="1" s="65">
      <c r="A9" s="69">
        <f>IFERROR(IF(Acct1_Raw!$A$10="","",Acct1_Raw!$A$10),"")</f>
        <v/>
      </c>
    </row>
    <row r="10" ht="15" customHeight="1" s="65">
      <c r="A10" s="69">
        <f>IFERROR(IF(Acct1_Raw!$A$11="","",Acct1_Raw!$A$11),"")</f>
        <v/>
      </c>
    </row>
    <row r="11" ht="15" customHeight="1" s="65">
      <c r="A11" s="69">
        <f>IFERROR(IF(Acct1_Raw!$A$12="","",Acct1_Raw!$A$12),"")</f>
        <v/>
      </c>
    </row>
    <row r="12" ht="15" customHeight="1" s="65">
      <c r="A12" s="69">
        <f>IFERROR(IF(Acct1_Raw!$A$13="","",Acct1_Raw!$A$13),"")</f>
        <v/>
      </c>
    </row>
    <row r="13" ht="15" customHeight="1" s="65">
      <c r="A13" s="69">
        <f>IFERROR(IF(Acct1_Raw!$A$14="","",Acct1_Raw!$A$14),"")</f>
        <v/>
      </c>
    </row>
    <row r="14" ht="15" customHeight="1" s="65">
      <c r="A14" s="69">
        <f>IFERROR(IF(Acct1_Raw!$A$15="","",Acct1_Raw!$A$15),"")</f>
        <v/>
      </c>
    </row>
    <row r="15" ht="15" customHeight="1" s="65">
      <c r="A15" s="69">
        <f>IFERROR(IF(Acct1_Raw!$A$16="","",Acct1_Raw!$A$16),"")</f>
        <v/>
      </c>
    </row>
    <row r="16" ht="15" customHeight="1" s="65">
      <c r="A16" s="69">
        <f>IFERROR(IF(Acct1_Raw!$A$17="","",Acct1_Raw!$A$17),"")</f>
        <v/>
      </c>
    </row>
    <row r="17" ht="15" customHeight="1" s="65">
      <c r="A17" s="69">
        <f>IFERROR(IF(Acct1_Raw!$A$18="","",Acct1_Raw!$A$18),"")</f>
        <v/>
      </c>
    </row>
    <row r="18" ht="15" customHeight="1" s="65">
      <c r="A18" s="69">
        <f>IFERROR(IF(Acct1_Raw!$A$19="","",Acct1_Raw!$A$19),"")</f>
        <v/>
      </c>
    </row>
    <row r="19" ht="15" customHeight="1" s="65">
      <c r="A19" s="69">
        <f>IFERROR(IF(Acct1_Raw!$A$20="","",Acct1_Raw!$A$20),"")</f>
        <v/>
      </c>
    </row>
    <row r="20" ht="15" customHeight="1" s="65">
      <c r="A20" s="69">
        <f>IFERROR(IF(Acct1_Raw!$A$21="","",Acct1_Raw!$A$21),"")</f>
        <v/>
      </c>
    </row>
    <row r="21" ht="15" customHeight="1" s="65">
      <c r="A21" s="69">
        <f>IFERROR(IF(Acct1_Raw!$A$22="","",Acct1_Raw!$A$22),"")</f>
        <v/>
      </c>
    </row>
    <row r="22" ht="15" customHeight="1" s="65">
      <c r="A22" s="69">
        <f>IFERROR(IF(Acct1_Raw!$A$23="","",Acct1_Raw!$A$23),"")</f>
        <v/>
      </c>
    </row>
    <row r="23" ht="15" customHeight="1" s="65">
      <c r="A23" s="69">
        <f>IFERROR(IF(Acct1_Raw!$A$24="","",Acct1_Raw!$A$24),"")</f>
        <v/>
      </c>
    </row>
    <row r="24" ht="15" customHeight="1" s="65">
      <c r="A24" s="69">
        <f>IFERROR(IF(Acct1_Raw!$A$25="","",Acct1_Raw!$A$25),"")</f>
        <v/>
      </c>
    </row>
    <row r="25" ht="15" customHeight="1" s="65">
      <c r="A25" s="69">
        <f>IFERROR(IF(Acct1_Raw!$A$26="","",Acct1_Raw!$A$26),"")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S6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64" min="1" max="1"/>
    <col width="14" customWidth="1" style="64" min="2" max="19"/>
  </cols>
  <sheetData>
    <row r="1" ht="15" customHeight="1" s="65">
      <c r="A1" s="73" t="inlineStr">
        <is>
          <t>Service</t>
        </is>
      </c>
      <c r="B1" s="74">
        <f>IF(Months_Ref!$A$2="","—","A1_"&amp;TEXT(Months_Ref!$A$2,"mmm-yy"))</f>
        <v/>
      </c>
      <c r="C1" s="74">
        <f>IF(Months_Ref!$A$3="","—","A1_"&amp;TEXT(Months_Ref!$A$3,"mmm-yy"))</f>
        <v/>
      </c>
      <c r="D1" s="74">
        <f>IF(Months_Ref!$A$4="","—","A1_"&amp;TEXT(Months_Ref!$A$4,"mmm-yy"))</f>
        <v/>
      </c>
      <c r="E1" s="74">
        <f>IF(Months_Ref!$A$5="","—","A1_"&amp;TEXT(Months_Ref!$A$5,"mmm-yy"))</f>
        <v/>
      </c>
      <c r="F1" s="74">
        <f>IF(Months_Ref!$A$6="","—","A1_"&amp;TEXT(Months_Ref!$A$6,"mmm-yy"))</f>
        <v/>
      </c>
      <c r="G1" s="74">
        <f>IF(Months_Ref!$A$7="","—","A1_"&amp;TEXT(Months_Ref!$A$7,"mmm-yy"))</f>
        <v/>
      </c>
      <c r="H1" s="75">
        <f>IF(Months_Ref!$A$2="","—","A2_"&amp;TEXT(Months_Ref!$A$2,"mmm-yy"))</f>
        <v/>
      </c>
      <c r="I1" s="75">
        <f>IF(Months_Ref!$A$3="","—","A2_"&amp;TEXT(Months_Ref!$A$3,"mmm-yy"))</f>
        <v/>
      </c>
      <c r="J1" s="75">
        <f>IF(Months_Ref!$A$4="","—","A2_"&amp;TEXT(Months_Ref!$A$4,"mmm-yy"))</f>
        <v/>
      </c>
      <c r="K1" s="75">
        <f>IF(Months_Ref!$A$5="","—","A2_"&amp;TEXT(Months_Ref!$A$5,"mmm-yy"))</f>
        <v/>
      </c>
      <c r="L1" s="75">
        <f>IF(Months_Ref!$A$6="","—","A2_"&amp;TEXT(Months_Ref!$A$6,"mmm-yy"))</f>
        <v/>
      </c>
      <c r="M1" s="75">
        <f>IF(Months_Ref!$A$7="","—","A2_"&amp;TEXT(Months_Ref!$A$7,"mmm-yy"))</f>
        <v/>
      </c>
      <c r="N1" s="76">
        <f>IF(Months_Ref!$A$2="","—","CB_"&amp;TEXT(Months_Ref!$A$2,"mmm-yy"))</f>
        <v/>
      </c>
      <c r="O1" s="76">
        <f>IF(Months_Ref!$A$3="","—","CB_"&amp;TEXT(Months_Ref!$A$3,"mmm-yy"))</f>
        <v/>
      </c>
      <c r="P1" s="76">
        <f>IF(Months_Ref!$A$4="","—","CB_"&amp;TEXT(Months_Ref!$A$4,"mmm-yy"))</f>
        <v/>
      </c>
      <c r="Q1" s="76">
        <f>IF(Months_Ref!$A$5="","—","CB_"&amp;TEXT(Months_Ref!$A$5,"mmm-yy"))</f>
        <v/>
      </c>
      <c r="R1" s="76">
        <f>IF(Months_Ref!$A$6="","—","CB_"&amp;TEXT(Months_Ref!$A$6,"mmm-yy"))</f>
        <v/>
      </c>
      <c r="S1" s="76">
        <f>IF(Months_Ref!$A$7="","—","CB_"&amp;TEXT(Months_Ref!$A$7,"mmm-yy"))</f>
        <v/>
      </c>
    </row>
    <row r="2" ht="15" customHeight="1" s="65">
      <c r="A2" s="72" t="inlineStr">
        <is>
          <t>ACM($)</t>
        </is>
      </c>
      <c r="B2" s="70">
        <f>IFERROR(IF(Months_Ref!$A$2="",0,INDEX(Acct1_Raw!$B$3:$BO$26,MATCH(Months_Ref!$A$2,Acct1_Raw!$A$3:$A$26,0),MATCH($A2,Acct1_Raw!$B$1:$BO$1,0))),0)</f>
        <v/>
      </c>
      <c r="C2" s="70">
        <f>IFERROR(IF(Months_Ref!$A$3="",0,INDEX(Acct1_Raw!$B$3:$BO$26,MATCH(Months_Ref!$A$3,Acct1_Raw!$A$3:$A$26,0),MATCH($A2,Acct1_Raw!$B$1:$BO$1,0))),0)</f>
        <v/>
      </c>
      <c r="D2" s="70">
        <f>IFERROR(IF(Months_Ref!$A$4="",0,INDEX(Acct1_Raw!$B$3:$BO$26,MATCH(Months_Ref!$A$4,Acct1_Raw!$A$3:$A$26,0),MATCH($A2,Acct1_Raw!$B$1:$BO$1,0))),0)</f>
        <v/>
      </c>
      <c r="E2" s="70">
        <f>IFERROR(IF(Months_Ref!$A$5="",0,INDEX(Acct1_Raw!$B$3:$BO$26,MATCH(Months_Ref!$A$5,Acct1_Raw!$A$3:$A$26,0),MATCH($A2,Acct1_Raw!$B$1:$BO$1,0))),0)</f>
        <v/>
      </c>
      <c r="F2" s="70">
        <f>IFERROR(IF(Months_Ref!$A$6="",0,INDEX(Acct1_Raw!$B$3:$BO$26,MATCH(Months_Ref!$A$6,Acct1_Raw!$A$3:$A$26,0),MATCH($A2,Acct1_Raw!$B$1:$BO$1,0))),0)</f>
        <v/>
      </c>
      <c r="G2" s="70">
        <f>IFERROR(IF(Months_Ref!$A$7="",0,INDEX(Acct1_Raw!$B$3:$BO$26,MATCH(Months_Ref!$A$7,Acct1_Raw!$A$3:$A$26,0),MATCH($A2,Acct1_Raw!$B$1:$BO$1,0))),0)</f>
        <v/>
      </c>
      <c r="H2" s="70">
        <f>IFERROR(IF(Months_Ref!$A$2="",0,INDEX(Acct2_Raw!$B$3:$BO$26,MATCH(Months_Ref!$A$2,Acct2_Raw!$A$3:$A$26,0),MATCH($A2,Acct2_Raw!$B$1:$BO$1,0))),0)</f>
        <v/>
      </c>
      <c r="I2" s="70">
        <f>IFERROR(IF(Months_Ref!$A$3="",0,INDEX(Acct2_Raw!$B$3:$BO$26,MATCH(Months_Ref!$A$3,Acct2_Raw!$A$3:$A$26,0),MATCH($A2,Acct2_Raw!$B$1:$BO$1,0))),0)</f>
        <v/>
      </c>
      <c r="J2" s="70">
        <f>IFERROR(IF(Months_Ref!$A$4="",0,INDEX(Acct2_Raw!$B$3:$BO$26,MATCH(Months_Ref!$A$4,Acct2_Raw!$A$3:$A$26,0),MATCH($A2,Acct2_Raw!$B$1:$BO$1,0))),0)</f>
        <v/>
      </c>
      <c r="K2" s="70">
        <f>IFERROR(IF(Months_Ref!$A$5="",0,INDEX(Acct2_Raw!$B$3:$BO$26,MATCH(Months_Ref!$A$5,Acct2_Raw!$A$3:$A$26,0),MATCH($A2,Acct2_Raw!$B$1:$BO$1,0))),0)</f>
        <v/>
      </c>
      <c r="L2" s="70">
        <f>IFERROR(IF(Months_Ref!$A$6="",0,INDEX(Acct2_Raw!$B$3:$BO$26,MATCH(Months_Ref!$A$6,Acct2_Raw!$A$3:$A$26,0),MATCH($A2,Acct2_Raw!$B$1:$BO$1,0))),0)</f>
        <v/>
      </c>
      <c r="M2" s="70">
        <f>IFERROR(IF(Months_Ref!$A$7="",0,INDEX(Acct2_Raw!$B$3:$BO$26,MATCH(Months_Ref!$A$7,Acct2_Raw!$A$3:$A$26,0),MATCH($A2,Acct2_Raw!$B$1:$BO$1,0))),0)</f>
        <v/>
      </c>
      <c r="N2" s="70">
        <f>B2+H2</f>
        <v/>
      </c>
      <c r="O2" s="70">
        <f>C2+I2</f>
        <v/>
      </c>
      <c r="P2" s="70">
        <f>D2+J2</f>
        <v/>
      </c>
      <c r="Q2" s="70">
        <f>E2+K2</f>
        <v/>
      </c>
      <c r="R2" s="70">
        <f>F2+L2</f>
        <v/>
      </c>
      <c r="S2" s="70">
        <f>G2+M2</f>
        <v/>
      </c>
    </row>
    <row r="3" ht="15" customHeight="1" s="65">
      <c r="A3" s="72" t="inlineStr">
        <is>
          <t>API Gateway($)</t>
        </is>
      </c>
      <c r="B3" s="70">
        <f>IFERROR(IF(Months_Ref!$A$2="",0,INDEX(Acct1_Raw!$B$3:$BO$26,MATCH(Months_Ref!$A$2,Acct1_Raw!$A$3:$A$26,0),MATCH($A3,Acct1_Raw!$B$1:$BO$1,0))),0)</f>
        <v/>
      </c>
      <c r="C3" s="70">
        <f>IFERROR(IF(Months_Ref!$A$3="",0,INDEX(Acct1_Raw!$B$3:$BO$26,MATCH(Months_Ref!$A$3,Acct1_Raw!$A$3:$A$26,0),MATCH($A3,Acct1_Raw!$B$1:$BO$1,0))),0)</f>
        <v/>
      </c>
      <c r="D3" s="70">
        <f>IFERROR(IF(Months_Ref!$A$4="",0,INDEX(Acct1_Raw!$B$3:$BO$26,MATCH(Months_Ref!$A$4,Acct1_Raw!$A$3:$A$26,0),MATCH($A3,Acct1_Raw!$B$1:$BO$1,0))),0)</f>
        <v/>
      </c>
      <c r="E3" s="70">
        <f>IFERROR(IF(Months_Ref!$A$5="",0,INDEX(Acct1_Raw!$B$3:$BO$26,MATCH(Months_Ref!$A$5,Acct1_Raw!$A$3:$A$26,0),MATCH($A3,Acct1_Raw!$B$1:$BO$1,0))),0)</f>
        <v/>
      </c>
      <c r="F3" s="70">
        <f>IFERROR(IF(Months_Ref!$A$6="",0,INDEX(Acct1_Raw!$B$3:$BO$26,MATCH(Months_Ref!$A$6,Acct1_Raw!$A$3:$A$26,0),MATCH($A3,Acct1_Raw!$B$1:$BO$1,0))),0)</f>
        <v/>
      </c>
      <c r="G3" s="70">
        <f>IFERROR(IF(Months_Ref!$A$7="",0,INDEX(Acct1_Raw!$B$3:$BO$26,MATCH(Months_Ref!$A$7,Acct1_Raw!$A$3:$A$26,0),MATCH($A3,Acct1_Raw!$B$1:$BO$1,0))),0)</f>
        <v/>
      </c>
      <c r="H3" s="70">
        <f>IFERROR(IF(Months_Ref!$A$2="",0,INDEX(Acct2_Raw!$B$3:$BO$26,MATCH(Months_Ref!$A$2,Acct2_Raw!$A$3:$A$26,0),MATCH($A3,Acct2_Raw!$B$1:$BO$1,0))),0)</f>
        <v/>
      </c>
      <c r="I3" s="70">
        <f>IFERROR(IF(Months_Ref!$A$3="",0,INDEX(Acct2_Raw!$B$3:$BO$26,MATCH(Months_Ref!$A$3,Acct2_Raw!$A$3:$A$26,0),MATCH($A3,Acct2_Raw!$B$1:$BO$1,0))),0)</f>
        <v/>
      </c>
      <c r="J3" s="70">
        <f>IFERROR(IF(Months_Ref!$A$4="",0,INDEX(Acct2_Raw!$B$3:$BO$26,MATCH(Months_Ref!$A$4,Acct2_Raw!$A$3:$A$26,0),MATCH($A3,Acct2_Raw!$B$1:$BO$1,0))),0)</f>
        <v/>
      </c>
      <c r="K3" s="70">
        <f>IFERROR(IF(Months_Ref!$A$5="",0,INDEX(Acct2_Raw!$B$3:$BO$26,MATCH(Months_Ref!$A$5,Acct2_Raw!$A$3:$A$26,0),MATCH($A3,Acct2_Raw!$B$1:$BO$1,0))),0)</f>
        <v/>
      </c>
      <c r="L3" s="70">
        <f>IFERROR(IF(Months_Ref!$A$6="",0,INDEX(Acct2_Raw!$B$3:$BO$26,MATCH(Months_Ref!$A$6,Acct2_Raw!$A$3:$A$26,0),MATCH($A3,Acct2_Raw!$B$1:$BO$1,0))),0)</f>
        <v/>
      </c>
      <c r="M3" s="70">
        <f>IFERROR(IF(Months_Ref!$A$7="",0,INDEX(Acct2_Raw!$B$3:$BO$26,MATCH(Months_Ref!$A$7,Acct2_Raw!$A$3:$A$26,0),MATCH($A3,Acct2_Raw!$B$1:$BO$1,0))),0)</f>
        <v/>
      </c>
      <c r="N3" s="70">
        <f>B3+H3</f>
        <v/>
      </c>
      <c r="O3" s="70">
        <f>C3+I3</f>
        <v/>
      </c>
      <c r="P3" s="70">
        <f>D3+J3</f>
        <v/>
      </c>
      <c r="Q3" s="70">
        <f>E3+K3</f>
        <v/>
      </c>
      <c r="R3" s="70">
        <f>F3+L3</f>
        <v/>
      </c>
      <c r="S3" s="70">
        <f>G3+M3</f>
        <v/>
      </c>
    </row>
    <row r="4" ht="15" customHeight="1" s="65">
      <c r="A4" s="72" t="inlineStr">
        <is>
          <t>Amplify($)</t>
        </is>
      </c>
      <c r="B4" s="70">
        <f>IFERROR(IF(Months_Ref!$A$2="",0,INDEX(Acct1_Raw!$B$3:$BO$26,MATCH(Months_Ref!$A$2,Acct1_Raw!$A$3:$A$26,0),MATCH($A4,Acct1_Raw!$B$1:$BO$1,0))),0)</f>
        <v/>
      </c>
      <c r="C4" s="70">
        <f>IFERROR(IF(Months_Ref!$A$3="",0,INDEX(Acct1_Raw!$B$3:$BO$26,MATCH(Months_Ref!$A$3,Acct1_Raw!$A$3:$A$26,0),MATCH($A4,Acct1_Raw!$B$1:$BO$1,0))),0)</f>
        <v/>
      </c>
      <c r="D4" s="70">
        <f>IFERROR(IF(Months_Ref!$A$4="",0,INDEX(Acct1_Raw!$B$3:$BO$26,MATCH(Months_Ref!$A$4,Acct1_Raw!$A$3:$A$26,0),MATCH($A4,Acct1_Raw!$B$1:$BO$1,0))),0)</f>
        <v/>
      </c>
      <c r="E4" s="70">
        <f>IFERROR(IF(Months_Ref!$A$5="",0,INDEX(Acct1_Raw!$B$3:$BO$26,MATCH(Months_Ref!$A$5,Acct1_Raw!$A$3:$A$26,0),MATCH($A4,Acct1_Raw!$B$1:$BO$1,0))),0)</f>
        <v/>
      </c>
      <c r="F4" s="70">
        <f>IFERROR(IF(Months_Ref!$A$6="",0,INDEX(Acct1_Raw!$B$3:$BO$26,MATCH(Months_Ref!$A$6,Acct1_Raw!$A$3:$A$26,0),MATCH($A4,Acct1_Raw!$B$1:$BO$1,0))),0)</f>
        <v/>
      </c>
      <c r="G4" s="70">
        <f>IFERROR(IF(Months_Ref!$A$7="",0,INDEX(Acct1_Raw!$B$3:$BO$26,MATCH(Months_Ref!$A$7,Acct1_Raw!$A$3:$A$26,0),MATCH($A4,Acct1_Raw!$B$1:$BO$1,0))),0)</f>
        <v/>
      </c>
      <c r="H4" s="70">
        <f>IFERROR(IF(Months_Ref!$A$2="",0,INDEX(Acct2_Raw!$B$3:$BO$26,MATCH(Months_Ref!$A$2,Acct2_Raw!$A$3:$A$26,0),MATCH($A4,Acct2_Raw!$B$1:$BO$1,0))),0)</f>
        <v/>
      </c>
      <c r="I4" s="70">
        <f>IFERROR(IF(Months_Ref!$A$3="",0,INDEX(Acct2_Raw!$B$3:$BO$26,MATCH(Months_Ref!$A$3,Acct2_Raw!$A$3:$A$26,0),MATCH($A4,Acct2_Raw!$B$1:$BO$1,0))),0)</f>
        <v/>
      </c>
      <c r="J4" s="70">
        <f>IFERROR(IF(Months_Ref!$A$4="",0,INDEX(Acct2_Raw!$B$3:$BO$26,MATCH(Months_Ref!$A$4,Acct2_Raw!$A$3:$A$26,0),MATCH($A4,Acct2_Raw!$B$1:$BO$1,0))),0)</f>
        <v/>
      </c>
      <c r="K4" s="70">
        <f>IFERROR(IF(Months_Ref!$A$5="",0,INDEX(Acct2_Raw!$B$3:$BO$26,MATCH(Months_Ref!$A$5,Acct2_Raw!$A$3:$A$26,0),MATCH($A4,Acct2_Raw!$B$1:$BO$1,0))),0)</f>
        <v/>
      </c>
      <c r="L4" s="70">
        <f>IFERROR(IF(Months_Ref!$A$6="",0,INDEX(Acct2_Raw!$B$3:$BO$26,MATCH(Months_Ref!$A$6,Acct2_Raw!$A$3:$A$26,0),MATCH($A4,Acct2_Raw!$B$1:$BO$1,0))),0)</f>
        <v/>
      </c>
      <c r="M4" s="70">
        <f>IFERROR(IF(Months_Ref!$A$7="",0,INDEX(Acct2_Raw!$B$3:$BO$26,MATCH(Months_Ref!$A$7,Acct2_Raw!$A$3:$A$26,0),MATCH($A4,Acct2_Raw!$B$1:$BO$1,0))),0)</f>
        <v/>
      </c>
      <c r="N4" s="70">
        <f>B4+H4</f>
        <v/>
      </c>
      <c r="O4" s="70">
        <f>C4+I4</f>
        <v/>
      </c>
      <c r="P4" s="70">
        <f>D4+J4</f>
        <v/>
      </c>
      <c r="Q4" s="70">
        <f>E4+K4</f>
        <v/>
      </c>
      <c r="R4" s="70">
        <f>F4+L4</f>
        <v/>
      </c>
      <c r="S4" s="70">
        <f>G4+M4</f>
        <v/>
      </c>
    </row>
    <row r="5" ht="15" customHeight="1" s="65">
      <c r="A5" s="72" t="inlineStr">
        <is>
          <t>AppStream($)</t>
        </is>
      </c>
      <c r="B5" s="70">
        <f>IFERROR(IF(Months_Ref!$A$2="",0,INDEX(Acct1_Raw!$B$3:$BO$26,MATCH(Months_Ref!$A$2,Acct1_Raw!$A$3:$A$26,0),MATCH($A5,Acct1_Raw!$B$1:$BO$1,0))),0)</f>
        <v/>
      </c>
      <c r="C5" s="70">
        <f>IFERROR(IF(Months_Ref!$A$3="",0,INDEX(Acct1_Raw!$B$3:$BO$26,MATCH(Months_Ref!$A$3,Acct1_Raw!$A$3:$A$26,0),MATCH($A5,Acct1_Raw!$B$1:$BO$1,0))),0)</f>
        <v/>
      </c>
      <c r="D5" s="70">
        <f>IFERROR(IF(Months_Ref!$A$4="",0,INDEX(Acct1_Raw!$B$3:$BO$26,MATCH(Months_Ref!$A$4,Acct1_Raw!$A$3:$A$26,0),MATCH($A5,Acct1_Raw!$B$1:$BO$1,0))),0)</f>
        <v/>
      </c>
      <c r="E5" s="70">
        <f>IFERROR(IF(Months_Ref!$A$5="",0,INDEX(Acct1_Raw!$B$3:$BO$26,MATCH(Months_Ref!$A$5,Acct1_Raw!$A$3:$A$26,0),MATCH($A5,Acct1_Raw!$B$1:$BO$1,0))),0)</f>
        <v/>
      </c>
      <c r="F5" s="70">
        <f>IFERROR(IF(Months_Ref!$A$6="",0,INDEX(Acct1_Raw!$B$3:$BO$26,MATCH(Months_Ref!$A$6,Acct1_Raw!$A$3:$A$26,0),MATCH($A5,Acct1_Raw!$B$1:$BO$1,0))),0)</f>
        <v/>
      </c>
      <c r="G5" s="70">
        <f>IFERROR(IF(Months_Ref!$A$7="",0,INDEX(Acct1_Raw!$B$3:$BO$26,MATCH(Months_Ref!$A$7,Acct1_Raw!$A$3:$A$26,0),MATCH($A5,Acct1_Raw!$B$1:$BO$1,0))),0)</f>
        <v/>
      </c>
      <c r="H5" s="70">
        <f>IFERROR(IF(Months_Ref!$A$2="",0,INDEX(Acct2_Raw!$B$3:$BO$26,MATCH(Months_Ref!$A$2,Acct2_Raw!$A$3:$A$26,0),MATCH($A5,Acct2_Raw!$B$1:$BO$1,0))),0)</f>
        <v/>
      </c>
      <c r="I5" s="70">
        <f>IFERROR(IF(Months_Ref!$A$3="",0,INDEX(Acct2_Raw!$B$3:$BO$26,MATCH(Months_Ref!$A$3,Acct2_Raw!$A$3:$A$26,0),MATCH($A5,Acct2_Raw!$B$1:$BO$1,0))),0)</f>
        <v/>
      </c>
      <c r="J5" s="70">
        <f>IFERROR(IF(Months_Ref!$A$4="",0,INDEX(Acct2_Raw!$B$3:$BO$26,MATCH(Months_Ref!$A$4,Acct2_Raw!$A$3:$A$26,0),MATCH($A5,Acct2_Raw!$B$1:$BO$1,0))),0)</f>
        <v/>
      </c>
      <c r="K5" s="70">
        <f>IFERROR(IF(Months_Ref!$A$5="",0,INDEX(Acct2_Raw!$B$3:$BO$26,MATCH(Months_Ref!$A$5,Acct2_Raw!$A$3:$A$26,0),MATCH($A5,Acct2_Raw!$B$1:$BO$1,0))),0)</f>
        <v/>
      </c>
      <c r="L5" s="70">
        <f>IFERROR(IF(Months_Ref!$A$6="",0,INDEX(Acct2_Raw!$B$3:$BO$26,MATCH(Months_Ref!$A$6,Acct2_Raw!$A$3:$A$26,0),MATCH($A5,Acct2_Raw!$B$1:$BO$1,0))),0)</f>
        <v/>
      </c>
      <c r="M5" s="70">
        <f>IFERROR(IF(Months_Ref!$A$7="",0,INDEX(Acct2_Raw!$B$3:$BO$26,MATCH(Months_Ref!$A$7,Acct2_Raw!$A$3:$A$26,0),MATCH($A5,Acct2_Raw!$B$1:$BO$1,0))),0)</f>
        <v/>
      </c>
      <c r="N5" s="70">
        <f>B5+H5</f>
        <v/>
      </c>
      <c r="O5" s="70">
        <f>C5+I5</f>
        <v/>
      </c>
      <c r="P5" s="70">
        <f>D5+J5</f>
        <v/>
      </c>
      <c r="Q5" s="70">
        <f>E5+K5</f>
        <v/>
      </c>
      <c r="R5" s="70">
        <f>F5+L5</f>
        <v/>
      </c>
      <c r="S5" s="70">
        <f>G5+M5</f>
        <v/>
      </c>
    </row>
    <row r="6" ht="15" customHeight="1" s="65">
      <c r="A6" s="72" t="inlineStr">
        <is>
          <t>AppSync($)</t>
        </is>
      </c>
      <c r="B6" s="70">
        <f>IFERROR(IF(Months_Ref!$A$2="",0,INDEX(Acct1_Raw!$B$3:$BO$26,MATCH(Months_Ref!$A$2,Acct1_Raw!$A$3:$A$26,0),MATCH($A6,Acct1_Raw!$B$1:$BO$1,0))),0)</f>
        <v/>
      </c>
      <c r="C6" s="70">
        <f>IFERROR(IF(Months_Ref!$A$3="",0,INDEX(Acct1_Raw!$B$3:$BO$26,MATCH(Months_Ref!$A$3,Acct1_Raw!$A$3:$A$26,0),MATCH($A6,Acct1_Raw!$B$1:$BO$1,0))),0)</f>
        <v/>
      </c>
      <c r="D6" s="70">
        <f>IFERROR(IF(Months_Ref!$A$4="",0,INDEX(Acct1_Raw!$B$3:$BO$26,MATCH(Months_Ref!$A$4,Acct1_Raw!$A$3:$A$26,0),MATCH($A6,Acct1_Raw!$B$1:$BO$1,0))),0)</f>
        <v/>
      </c>
      <c r="E6" s="70">
        <f>IFERROR(IF(Months_Ref!$A$5="",0,INDEX(Acct1_Raw!$B$3:$BO$26,MATCH(Months_Ref!$A$5,Acct1_Raw!$A$3:$A$26,0),MATCH($A6,Acct1_Raw!$B$1:$BO$1,0))),0)</f>
        <v/>
      </c>
      <c r="F6" s="70">
        <f>IFERROR(IF(Months_Ref!$A$6="",0,INDEX(Acct1_Raw!$B$3:$BO$26,MATCH(Months_Ref!$A$6,Acct1_Raw!$A$3:$A$26,0),MATCH($A6,Acct1_Raw!$B$1:$BO$1,0))),0)</f>
        <v/>
      </c>
      <c r="G6" s="70">
        <f>IFERROR(IF(Months_Ref!$A$7="",0,INDEX(Acct1_Raw!$B$3:$BO$26,MATCH(Months_Ref!$A$7,Acct1_Raw!$A$3:$A$26,0),MATCH($A6,Acct1_Raw!$B$1:$BO$1,0))),0)</f>
        <v/>
      </c>
      <c r="H6" s="70">
        <f>IFERROR(IF(Months_Ref!$A$2="",0,INDEX(Acct2_Raw!$B$3:$BO$26,MATCH(Months_Ref!$A$2,Acct2_Raw!$A$3:$A$26,0),MATCH($A6,Acct2_Raw!$B$1:$BO$1,0))),0)</f>
        <v/>
      </c>
      <c r="I6" s="70">
        <f>IFERROR(IF(Months_Ref!$A$3="",0,INDEX(Acct2_Raw!$B$3:$BO$26,MATCH(Months_Ref!$A$3,Acct2_Raw!$A$3:$A$26,0),MATCH($A6,Acct2_Raw!$B$1:$BO$1,0))),0)</f>
        <v/>
      </c>
      <c r="J6" s="70">
        <f>IFERROR(IF(Months_Ref!$A$4="",0,INDEX(Acct2_Raw!$B$3:$BO$26,MATCH(Months_Ref!$A$4,Acct2_Raw!$A$3:$A$26,0),MATCH($A6,Acct2_Raw!$B$1:$BO$1,0))),0)</f>
        <v/>
      </c>
      <c r="K6" s="70">
        <f>IFERROR(IF(Months_Ref!$A$5="",0,INDEX(Acct2_Raw!$B$3:$BO$26,MATCH(Months_Ref!$A$5,Acct2_Raw!$A$3:$A$26,0),MATCH($A6,Acct2_Raw!$B$1:$BO$1,0))),0)</f>
        <v/>
      </c>
      <c r="L6" s="70">
        <f>IFERROR(IF(Months_Ref!$A$6="",0,INDEX(Acct2_Raw!$B$3:$BO$26,MATCH(Months_Ref!$A$6,Acct2_Raw!$A$3:$A$26,0),MATCH($A6,Acct2_Raw!$B$1:$BO$1,0))),0)</f>
        <v/>
      </c>
      <c r="M6" s="70">
        <f>IFERROR(IF(Months_Ref!$A$7="",0,INDEX(Acct2_Raw!$B$3:$BO$26,MATCH(Months_Ref!$A$7,Acct2_Raw!$A$3:$A$26,0),MATCH($A6,Acct2_Raw!$B$1:$BO$1,0))),0)</f>
        <v/>
      </c>
      <c r="N6" s="70">
        <f>B6+H6</f>
        <v/>
      </c>
      <c r="O6" s="70">
        <f>C6+I6</f>
        <v/>
      </c>
      <c r="P6" s="70">
        <f>D6+J6</f>
        <v/>
      </c>
      <c r="Q6" s="70">
        <f>E6+K6</f>
        <v/>
      </c>
      <c r="R6" s="70">
        <f>F6+L6</f>
        <v/>
      </c>
      <c r="S6" s="70">
        <f>G6+M6</f>
        <v/>
      </c>
    </row>
    <row r="7" ht="15" customHeight="1" s="65">
      <c r="A7" s="72" t="inlineStr">
        <is>
          <t>Athena($)</t>
        </is>
      </c>
      <c r="B7" s="70">
        <f>IFERROR(IF(Months_Ref!$A$2="",0,INDEX(Acct1_Raw!$B$3:$BO$26,MATCH(Months_Ref!$A$2,Acct1_Raw!$A$3:$A$26,0),MATCH($A7,Acct1_Raw!$B$1:$BO$1,0))),0)</f>
        <v/>
      </c>
      <c r="C7" s="70">
        <f>IFERROR(IF(Months_Ref!$A$3="",0,INDEX(Acct1_Raw!$B$3:$BO$26,MATCH(Months_Ref!$A$3,Acct1_Raw!$A$3:$A$26,0),MATCH($A7,Acct1_Raw!$B$1:$BO$1,0))),0)</f>
        <v/>
      </c>
      <c r="D7" s="70">
        <f>IFERROR(IF(Months_Ref!$A$4="",0,INDEX(Acct1_Raw!$B$3:$BO$26,MATCH(Months_Ref!$A$4,Acct1_Raw!$A$3:$A$26,0),MATCH($A7,Acct1_Raw!$B$1:$BO$1,0))),0)</f>
        <v/>
      </c>
      <c r="E7" s="70">
        <f>IFERROR(IF(Months_Ref!$A$5="",0,INDEX(Acct1_Raw!$B$3:$BO$26,MATCH(Months_Ref!$A$5,Acct1_Raw!$A$3:$A$26,0),MATCH($A7,Acct1_Raw!$B$1:$BO$1,0))),0)</f>
        <v/>
      </c>
      <c r="F7" s="70">
        <f>IFERROR(IF(Months_Ref!$A$6="",0,INDEX(Acct1_Raw!$B$3:$BO$26,MATCH(Months_Ref!$A$6,Acct1_Raw!$A$3:$A$26,0),MATCH($A7,Acct1_Raw!$B$1:$BO$1,0))),0)</f>
        <v/>
      </c>
      <c r="G7" s="70">
        <f>IFERROR(IF(Months_Ref!$A$7="",0,INDEX(Acct1_Raw!$B$3:$BO$26,MATCH(Months_Ref!$A$7,Acct1_Raw!$A$3:$A$26,0),MATCH($A7,Acct1_Raw!$B$1:$BO$1,0))),0)</f>
        <v/>
      </c>
      <c r="H7" s="70">
        <f>IFERROR(IF(Months_Ref!$A$2="",0,INDEX(Acct2_Raw!$B$3:$BO$26,MATCH(Months_Ref!$A$2,Acct2_Raw!$A$3:$A$26,0),MATCH($A7,Acct2_Raw!$B$1:$BO$1,0))),0)</f>
        <v/>
      </c>
      <c r="I7" s="70">
        <f>IFERROR(IF(Months_Ref!$A$3="",0,INDEX(Acct2_Raw!$B$3:$BO$26,MATCH(Months_Ref!$A$3,Acct2_Raw!$A$3:$A$26,0),MATCH($A7,Acct2_Raw!$B$1:$BO$1,0))),0)</f>
        <v/>
      </c>
      <c r="J7" s="70">
        <f>IFERROR(IF(Months_Ref!$A$4="",0,INDEX(Acct2_Raw!$B$3:$BO$26,MATCH(Months_Ref!$A$4,Acct2_Raw!$A$3:$A$26,0),MATCH($A7,Acct2_Raw!$B$1:$BO$1,0))),0)</f>
        <v/>
      </c>
      <c r="K7" s="70">
        <f>IFERROR(IF(Months_Ref!$A$5="",0,INDEX(Acct2_Raw!$B$3:$BO$26,MATCH(Months_Ref!$A$5,Acct2_Raw!$A$3:$A$26,0),MATCH($A7,Acct2_Raw!$B$1:$BO$1,0))),0)</f>
        <v/>
      </c>
      <c r="L7" s="70">
        <f>IFERROR(IF(Months_Ref!$A$6="",0,INDEX(Acct2_Raw!$B$3:$BO$26,MATCH(Months_Ref!$A$6,Acct2_Raw!$A$3:$A$26,0),MATCH($A7,Acct2_Raw!$B$1:$BO$1,0))),0)</f>
        <v/>
      </c>
      <c r="M7" s="70">
        <f>IFERROR(IF(Months_Ref!$A$7="",0,INDEX(Acct2_Raw!$B$3:$BO$26,MATCH(Months_Ref!$A$7,Acct2_Raw!$A$3:$A$26,0),MATCH($A7,Acct2_Raw!$B$1:$BO$1,0))),0)</f>
        <v/>
      </c>
      <c r="N7" s="70">
        <f>B7+H7</f>
        <v/>
      </c>
      <c r="O7" s="70">
        <f>C7+I7</f>
        <v/>
      </c>
      <c r="P7" s="70">
        <f>D7+J7</f>
        <v/>
      </c>
      <c r="Q7" s="70">
        <f>E7+K7</f>
        <v/>
      </c>
      <c r="R7" s="70">
        <f>F7+L7</f>
        <v/>
      </c>
      <c r="S7" s="70">
        <f>G7+M7</f>
        <v/>
      </c>
    </row>
    <row r="8" ht="15" customHeight="1" s="65">
      <c r="A8" s="72" t="inlineStr">
        <is>
          <t>Backup($)</t>
        </is>
      </c>
      <c r="B8" s="70">
        <f>IFERROR(IF(Months_Ref!$A$2="",0,INDEX(Acct1_Raw!$B$3:$BO$26,MATCH(Months_Ref!$A$2,Acct1_Raw!$A$3:$A$26,0),MATCH($A8,Acct1_Raw!$B$1:$BO$1,0))),0)</f>
        <v/>
      </c>
      <c r="C8" s="70">
        <f>IFERROR(IF(Months_Ref!$A$3="",0,INDEX(Acct1_Raw!$B$3:$BO$26,MATCH(Months_Ref!$A$3,Acct1_Raw!$A$3:$A$26,0),MATCH($A8,Acct1_Raw!$B$1:$BO$1,0))),0)</f>
        <v/>
      </c>
      <c r="D8" s="70">
        <f>IFERROR(IF(Months_Ref!$A$4="",0,INDEX(Acct1_Raw!$B$3:$BO$26,MATCH(Months_Ref!$A$4,Acct1_Raw!$A$3:$A$26,0),MATCH($A8,Acct1_Raw!$B$1:$BO$1,0))),0)</f>
        <v/>
      </c>
      <c r="E8" s="70">
        <f>IFERROR(IF(Months_Ref!$A$5="",0,INDEX(Acct1_Raw!$B$3:$BO$26,MATCH(Months_Ref!$A$5,Acct1_Raw!$A$3:$A$26,0),MATCH($A8,Acct1_Raw!$B$1:$BO$1,0))),0)</f>
        <v/>
      </c>
      <c r="F8" s="70">
        <f>IFERROR(IF(Months_Ref!$A$6="",0,INDEX(Acct1_Raw!$B$3:$BO$26,MATCH(Months_Ref!$A$6,Acct1_Raw!$A$3:$A$26,0),MATCH($A8,Acct1_Raw!$B$1:$BO$1,0))),0)</f>
        <v/>
      </c>
      <c r="G8" s="70">
        <f>IFERROR(IF(Months_Ref!$A$7="",0,INDEX(Acct1_Raw!$B$3:$BO$26,MATCH(Months_Ref!$A$7,Acct1_Raw!$A$3:$A$26,0),MATCH($A8,Acct1_Raw!$B$1:$BO$1,0))),0)</f>
        <v/>
      </c>
      <c r="H8" s="70">
        <f>IFERROR(IF(Months_Ref!$A$2="",0,INDEX(Acct2_Raw!$B$3:$BO$26,MATCH(Months_Ref!$A$2,Acct2_Raw!$A$3:$A$26,0),MATCH($A8,Acct2_Raw!$B$1:$BO$1,0))),0)</f>
        <v/>
      </c>
      <c r="I8" s="70">
        <f>IFERROR(IF(Months_Ref!$A$3="",0,INDEX(Acct2_Raw!$B$3:$BO$26,MATCH(Months_Ref!$A$3,Acct2_Raw!$A$3:$A$26,0),MATCH($A8,Acct2_Raw!$B$1:$BO$1,0))),0)</f>
        <v/>
      </c>
      <c r="J8" s="70">
        <f>IFERROR(IF(Months_Ref!$A$4="",0,INDEX(Acct2_Raw!$B$3:$BO$26,MATCH(Months_Ref!$A$4,Acct2_Raw!$A$3:$A$26,0),MATCH($A8,Acct2_Raw!$B$1:$BO$1,0))),0)</f>
        <v/>
      </c>
      <c r="K8" s="70">
        <f>IFERROR(IF(Months_Ref!$A$5="",0,INDEX(Acct2_Raw!$B$3:$BO$26,MATCH(Months_Ref!$A$5,Acct2_Raw!$A$3:$A$26,0),MATCH($A8,Acct2_Raw!$B$1:$BO$1,0))),0)</f>
        <v/>
      </c>
      <c r="L8" s="70">
        <f>IFERROR(IF(Months_Ref!$A$6="",0,INDEX(Acct2_Raw!$B$3:$BO$26,MATCH(Months_Ref!$A$6,Acct2_Raw!$A$3:$A$26,0),MATCH($A8,Acct2_Raw!$B$1:$BO$1,0))),0)</f>
        <v/>
      </c>
      <c r="M8" s="70">
        <f>IFERROR(IF(Months_Ref!$A$7="",0,INDEX(Acct2_Raw!$B$3:$BO$26,MATCH(Months_Ref!$A$7,Acct2_Raw!$A$3:$A$26,0),MATCH($A8,Acct2_Raw!$B$1:$BO$1,0))),0)</f>
        <v/>
      </c>
      <c r="N8" s="70">
        <f>B8+H8</f>
        <v/>
      </c>
      <c r="O8" s="70">
        <f>C8+I8</f>
        <v/>
      </c>
      <c r="P8" s="70">
        <f>D8+J8</f>
        <v/>
      </c>
      <c r="Q8" s="70">
        <f>E8+K8</f>
        <v/>
      </c>
      <c r="R8" s="70">
        <f>F8+L8</f>
        <v/>
      </c>
      <c r="S8" s="70">
        <f>G8+M8</f>
        <v/>
      </c>
    </row>
    <row r="9" ht="15" customHeight="1" s="65">
      <c r="A9" s="72" t="inlineStr">
        <is>
          <t>Batch($)</t>
        </is>
      </c>
      <c r="B9" s="70">
        <f>IFERROR(IF(Months_Ref!$A$2="",0,INDEX(Acct1_Raw!$B$3:$BO$26,MATCH(Months_Ref!$A$2,Acct1_Raw!$A$3:$A$26,0),MATCH($A9,Acct1_Raw!$B$1:$BO$1,0))),0)</f>
        <v/>
      </c>
      <c r="C9" s="70">
        <f>IFERROR(IF(Months_Ref!$A$3="",0,INDEX(Acct1_Raw!$B$3:$BO$26,MATCH(Months_Ref!$A$3,Acct1_Raw!$A$3:$A$26,0),MATCH($A9,Acct1_Raw!$B$1:$BO$1,0))),0)</f>
        <v/>
      </c>
      <c r="D9" s="70">
        <f>IFERROR(IF(Months_Ref!$A$4="",0,INDEX(Acct1_Raw!$B$3:$BO$26,MATCH(Months_Ref!$A$4,Acct1_Raw!$A$3:$A$26,0),MATCH($A9,Acct1_Raw!$B$1:$BO$1,0))),0)</f>
        <v/>
      </c>
      <c r="E9" s="70">
        <f>IFERROR(IF(Months_Ref!$A$5="",0,INDEX(Acct1_Raw!$B$3:$BO$26,MATCH(Months_Ref!$A$5,Acct1_Raw!$A$3:$A$26,0),MATCH($A9,Acct1_Raw!$B$1:$BO$1,0))),0)</f>
        <v/>
      </c>
      <c r="F9" s="70">
        <f>IFERROR(IF(Months_Ref!$A$6="",0,INDEX(Acct1_Raw!$B$3:$BO$26,MATCH(Months_Ref!$A$6,Acct1_Raw!$A$3:$A$26,0),MATCH($A9,Acct1_Raw!$B$1:$BO$1,0))),0)</f>
        <v/>
      </c>
      <c r="G9" s="70">
        <f>IFERROR(IF(Months_Ref!$A$7="",0,INDEX(Acct1_Raw!$B$3:$BO$26,MATCH(Months_Ref!$A$7,Acct1_Raw!$A$3:$A$26,0),MATCH($A9,Acct1_Raw!$B$1:$BO$1,0))),0)</f>
        <v/>
      </c>
      <c r="H9" s="70">
        <f>IFERROR(IF(Months_Ref!$A$2="",0,INDEX(Acct2_Raw!$B$3:$BO$26,MATCH(Months_Ref!$A$2,Acct2_Raw!$A$3:$A$26,0),MATCH($A9,Acct2_Raw!$B$1:$BO$1,0))),0)</f>
        <v/>
      </c>
      <c r="I9" s="70">
        <f>IFERROR(IF(Months_Ref!$A$3="",0,INDEX(Acct2_Raw!$B$3:$BO$26,MATCH(Months_Ref!$A$3,Acct2_Raw!$A$3:$A$26,0),MATCH($A9,Acct2_Raw!$B$1:$BO$1,0))),0)</f>
        <v/>
      </c>
      <c r="J9" s="70">
        <f>IFERROR(IF(Months_Ref!$A$4="",0,INDEX(Acct2_Raw!$B$3:$BO$26,MATCH(Months_Ref!$A$4,Acct2_Raw!$A$3:$A$26,0),MATCH($A9,Acct2_Raw!$B$1:$BO$1,0))),0)</f>
        <v/>
      </c>
      <c r="K9" s="70">
        <f>IFERROR(IF(Months_Ref!$A$5="",0,INDEX(Acct2_Raw!$B$3:$BO$26,MATCH(Months_Ref!$A$5,Acct2_Raw!$A$3:$A$26,0),MATCH($A9,Acct2_Raw!$B$1:$BO$1,0))),0)</f>
        <v/>
      </c>
      <c r="L9" s="70">
        <f>IFERROR(IF(Months_Ref!$A$6="",0,INDEX(Acct2_Raw!$B$3:$BO$26,MATCH(Months_Ref!$A$6,Acct2_Raw!$A$3:$A$26,0),MATCH($A9,Acct2_Raw!$B$1:$BO$1,0))),0)</f>
        <v/>
      </c>
      <c r="M9" s="70">
        <f>IFERROR(IF(Months_Ref!$A$7="",0,INDEX(Acct2_Raw!$B$3:$BO$26,MATCH(Months_Ref!$A$7,Acct2_Raw!$A$3:$A$26,0),MATCH($A9,Acct2_Raw!$B$1:$BO$1,0))),0)</f>
        <v/>
      </c>
      <c r="N9" s="70">
        <f>B9+H9</f>
        <v/>
      </c>
      <c r="O9" s="70">
        <f>C9+I9</f>
        <v/>
      </c>
      <c r="P9" s="70">
        <f>D9+J9</f>
        <v/>
      </c>
      <c r="Q9" s="70">
        <f>E9+K9</f>
        <v/>
      </c>
      <c r="R9" s="70">
        <f>F9+L9</f>
        <v/>
      </c>
      <c r="S9" s="70">
        <f>G9+M9</f>
        <v/>
      </c>
    </row>
    <row r="10" ht="15" customHeight="1" s="65">
      <c r="A10" s="72" t="inlineStr">
        <is>
          <t>Chime($)</t>
        </is>
      </c>
      <c r="B10" s="70">
        <f>IFERROR(IF(Months_Ref!$A$2="",0,INDEX(Acct1_Raw!$B$3:$BO$26,MATCH(Months_Ref!$A$2,Acct1_Raw!$A$3:$A$26,0),MATCH($A10,Acct1_Raw!$B$1:$BO$1,0))),0)</f>
        <v/>
      </c>
      <c r="C10" s="70">
        <f>IFERROR(IF(Months_Ref!$A$3="",0,INDEX(Acct1_Raw!$B$3:$BO$26,MATCH(Months_Ref!$A$3,Acct1_Raw!$A$3:$A$26,0),MATCH($A10,Acct1_Raw!$B$1:$BO$1,0))),0)</f>
        <v/>
      </c>
      <c r="D10" s="70">
        <f>IFERROR(IF(Months_Ref!$A$4="",0,INDEX(Acct1_Raw!$B$3:$BO$26,MATCH(Months_Ref!$A$4,Acct1_Raw!$A$3:$A$26,0),MATCH($A10,Acct1_Raw!$B$1:$BO$1,0))),0)</f>
        <v/>
      </c>
      <c r="E10" s="70">
        <f>IFERROR(IF(Months_Ref!$A$5="",0,INDEX(Acct1_Raw!$B$3:$BO$26,MATCH(Months_Ref!$A$5,Acct1_Raw!$A$3:$A$26,0),MATCH($A10,Acct1_Raw!$B$1:$BO$1,0))),0)</f>
        <v/>
      </c>
      <c r="F10" s="70">
        <f>IFERROR(IF(Months_Ref!$A$6="",0,INDEX(Acct1_Raw!$B$3:$BO$26,MATCH(Months_Ref!$A$6,Acct1_Raw!$A$3:$A$26,0),MATCH($A10,Acct1_Raw!$B$1:$BO$1,0))),0)</f>
        <v/>
      </c>
      <c r="G10" s="70">
        <f>IFERROR(IF(Months_Ref!$A$7="",0,INDEX(Acct1_Raw!$B$3:$BO$26,MATCH(Months_Ref!$A$7,Acct1_Raw!$A$3:$A$26,0),MATCH($A10,Acct1_Raw!$B$1:$BO$1,0))),0)</f>
        <v/>
      </c>
      <c r="H10" s="70">
        <f>IFERROR(IF(Months_Ref!$A$2="",0,INDEX(Acct2_Raw!$B$3:$BO$26,MATCH(Months_Ref!$A$2,Acct2_Raw!$A$3:$A$26,0),MATCH($A10,Acct2_Raw!$B$1:$BO$1,0))),0)</f>
        <v/>
      </c>
      <c r="I10" s="70">
        <f>IFERROR(IF(Months_Ref!$A$3="",0,INDEX(Acct2_Raw!$B$3:$BO$26,MATCH(Months_Ref!$A$3,Acct2_Raw!$A$3:$A$26,0),MATCH($A10,Acct2_Raw!$B$1:$BO$1,0))),0)</f>
        <v/>
      </c>
      <c r="J10" s="70">
        <f>IFERROR(IF(Months_Ref!$A$4="",0,INDEX(Acct2_Raw!$B$3:$BO$26,MATCH(Months_Ref!$A$4,Acct2_Raw!$A$3:$A$26,0),MATCH($A10,Acct2_Raw!$B$1:$BO$1,0))),0)</f>
        <v/>
      </c>
      <c r="K10" s="70">
        <f>IFERROR(IF(Months_Ref!$A$5="",0,INDEX(Acct2_Raw!$B$3:$BO$26,MATCH(Months_Ref!$A$5,Acct2_Raw!$A$3:$A$26,0),MATCH($A10,Acct2_Raw!$B$1:$BO$1,0))),0)</f>
        <v/>
      </c>
      <c r="L10" s="70">
        <f>IFERROR(IF(Months_Ref!$A$6="",0,INDEX(Acct2_Raw!$B$3:$BO$26,MATCH(Months_Ref!$A$6,Acct2_Raw!$A$3:$A$26,0),MATCH($A10,Acct2_Raw!$B$1:$BO$1,0))),0)</f>
        <v/>
      </c>
      <c r="M10" s="70">
        <f>IFERROR(IF(Months_Ref!$A$7="",0,INDEX(Acct2_Raw!$B$3:$BO$26,MATCH(Months_Ref!$A$7,Acct2_Raw!$A$3:$A$26,0),MATCH($A10,Acct2_Raw!$B$1:$BO$1,0))),0)</f>
        <v/>
      </c>
      <c r="N10" s="70">
        <f>B10+H10</f>
        <v/>
      </c>
      <c r="O10" s="70">
        <f>C10+I10</f>
        <v/>
      </c>
      <c r="P10" s="70">
        <f>D10+J10</f>
        <v/>
      </c>
      <c r="Q10" s="70">
        <f>E10+K10</f>
        <v/>
      </c>
      <c r="R10" s="70">
        <f>F10+L10</f>
        <v/>
      </c>
      <c r="S10" s="70">
        <f>G10+M10</f>
        <v/>
      </c>
    </row>
    <row r="11" ht="15" customHeight="1" s="65">
      <c r="A11" s="72" t="inlineStr">
        <is>
          <t>CloudFront($)</t>
        </is>
      </c>
      <c r="B11" s="70">
        <f>IFERROR(IF(Months_Ref!$A$2="",0,INDEX(Acct1_Raw!$B$3:$BO$26,MATCH(Months_Ref!$A$2,Acct1_Raw!$A$3:$A$26,0),MATCH($A11,Acct1_Raw!$B$1:$BO$1,0))),0)</f>
        <v/>
      </c>
      <c r="C11" s="70">
        <f>IFERROR(IF(Months_Ref!$A$3="",0,INDEX(Acct1_Raw!$B$3:$BO$26,MATCH(Months_Ref!$A$3,Acct1_Raw!$A$3:$A$26,0),MATCH($A11,Acct1_Raw!$B$1:$BO$1,0))),0)</f>
        <v/>
      </c>
      <c r="D11" s="70">
        <f>IFERROR(IF(Months_Ref!$A$4="",0,INDEX(Acct1_Raw!$B$3:$BO$26,MATCH(Months_Ref!$A$4,Acct1_Raw!$A$3:$A$26,0),MATCH($A11,Acct1_Raw!$B$1:$BO$1,0))),0)</f>
        <v/>
      </c>
      <c r="E11" s="70">
        <f>IFERROR(IF(Months_Ref!$A$5="",0,INDEX(Acct1_Raw!$B$3:$BO$26,MATCH(Months_Ref!$A$5,Acct1_Raw!$A$3:$A$26,0),MATCH($A11,Acct1_Raw!$B$1:$BO$1,0))),0)</f>
        <v/>
      </c>
      <c r="F11" s="70">
        <f>IFERROR(IF(Months_Ref!$A$6="",0,INDEX(Acct1_Raw!$B$3:$BO$26,MATCH(Months_Ref!$A$6,Acct1_Raw!$A$3:$A$26,0),MATCH($A11,Acct1_Raw!$B$1:$BO$1,0))),0)</f>
        <v/>
      </c>
      <c r="G11" s="70">
        <f>IFERROR(IF(Months_Ref!$A$7="",0,INDEX(Acct1_Raw!$B$3:$BO$26,MATCH(Months_Ref!$A$7,Acct1_Raw!$A$3:$A$26,0),MATCH($A11,Acct1_Raw!$B$1:$BO$1,0))),0)</f>
        <v/>
      </c>
      <c r="H11" s="70">
        <f>IFERROR(IF(Months_Ref!$A$2="",0,INDEX(Acct2_Raw!$B$3:$BO$26,MATCH(Months_Ref!$A$2,Acct2_Raw!$A$3:$A$26,0),MATCH($A11,Acct2_Raw!$B$1:$BO$1,0))),0)</f>
        <v/>
      </c>
      <c r="I11" s="70">
        <f>IFERROR(IF(Months_Ref!$A$3="",0,INDEX(Acct2_Raw!$B$3:$BO$26,MATCH(Months_Ref!$A$3,Acct2_Raw!$A$3:$A$26,0),MATCH($A11,Acct2_Raw!$B$1:$BO$1,0))),0)</f>
        <v/>
      </c>
      <c r="J11" s="70">
        <f>IFERROR(IF(Months_Ref!$A$4="",0,INDEX(Acct2_Raw!$B$3:$BO$26,MATCH(Months_Ref!$A$4,Acct2_Raw!$A$3:$A$26,0),MATCH($A11,Acct2_Raw!$B$1:$BO$1,0))),0)</f>
        <v/>
      </c>
      <c r="K11" s="70">
        <f>IFERROR(IF(Months_Ref!$A$5="",0,INDEX(Acct2_Raw!$B$3:$BO$26,MATCH(Months_Ref!$A$5,Acct2_Raw!$A$3:$A$26,0),MATCH($A11,Acct2_Raw!$B$1:$BO$1,0))),0)</f>
        <v/>
      </c>
      <c r="L11" s="70">
        <f>IFERROR(IF(Months_Ref!$A$6="",0,INDEX(Acct2_Raw!$B$3:$BO$26,MATCH(Months_Ref!$A$6,Acct2_Raw!$A$3:$A$26,0),MATCH($A11,Acct2_Raw!$B$1:$BO$1,0))),0)</f>
        <v/>
      </c>
      <c r="M11" s="70">
        <f>IFERROR(IF(Months_Ref!$A$7="",0,INDEX(Acct2_Raw!$B$3:$BO$26,MATCH(Months_Ref!$A$7,Acct2_Raw!$A$3:$A$26,0),MATCH($A11,Acct2_Raw!$B$1:$BO$1,0))),0)</f>
        <v/>
      </c>
      <c r="N11" s="70">
        <f>B11+H11</f>
        <v/>
      </c>
      <c r="O11" s="70">
        <f>C11+I11</f>
        <v/>
      </c>
      <c r="P11" s="70">
        <f>D11+J11</f>
        <v/>
      </c>
      <c r="Q11" s="70">
        <f>E11+K11</f>
        <v/>
      </c>
      <c r="R11" s="70">
        <f>F11+L11</f>
        <v/>
      </c>
      <c r="S11" s="70">
        <f>G11+M11</f>
        <v/>
      </c>
    </row>
    <row r="12" ht="15" customHeight="1" s="65">
      <c r="A12" s="72" t="inlineStr">
        <is>
          <t>CloudTrail($)</t>
        </is>
      </c>
      <c r="B12" s="70">
        <f>IFERROR(IF(Months_Ref!$A$2="",0,INDEX(Acct1_Raw!$B$3:$BO$26,MATCH(Months_Ref!$A$2,Acct1_Raw!$A$3:$A$26,0),MATCH($A12,Acct1_Raw!$B$1:$BO$1,0))),0)</f>
        <v/>
      </c>
      <c r="C12" s="70">
        <f>IFERROR(IF(Months_Ref!$A$3="",0,INDEX(Acct1_Raw!$B$3:$BO$26,MATCH(Months_Ref!$A$3,Acct1_Raw!$A$3:$A$26,0),MATCH($A12,Acct1_Raw!$B$1:$BO$1,0))),0)</f>
        <v/>
      </c>
      <c r="D12" s="70">
        <f>IFERROR(IF(Months_Ref!$A$4="",0,INDEX(Acct1_Raw!$B$3:$BO$26,MATCH(Months_Ref!$A$4,Acct1_Raw!$A$3:$A$26,0),MATCH($A12,Acct1_Raw!$B$1:$BO$1,0))),0)</f>
        <v/>
      </c>
      <c r="E12" s="70">
        <f>IFERROR(IF(Months_Ref!$A$5="",0,INDEX(Acct1_Raw!$B$3:$BO$26,MATCH(Months_Ref!$A$5,Acct1_Raw!$A$3:$A$26,0),MATCH($A12,Acct1_Raw!$B$1:$BO$1,0))),0)</f>
        <v/>
      </c>
      <c r="F12" s="70">
        <f>IFERROR(IF(Months_Ref!$A$6="",0,INDEX(Acct1_Raw!$B$3:$BO$26,MATCH(Months_Ref!$A$6,Acct1_Raw!$A$3:$A$26,0),MATCH($A12,Acct1_Raw!$B$1:$BO$1,0))),0)</f>
        <v/>
      </c>
      <c r="G12" s="70">
        <f>IFERROR(IF(Months_Ref!$A$7="",0,INDEX(Acct1_Raw!$B$3:$BO$26,MATCH(Months_Ref!$A$7,Acct1_Raw!$A$3:$A$26,0),MATCH($A12,Acct1_Raw!$B$1:$BO$1,0))),0)</f>
        <v/>
      </c>
      <c r="H12" s="70">
        <f>IFERROR(IF(Months_Ref!$A$2="",0,INDEX(Acct2_Raw!$B$3:$BO$26,MATCH(Months_Ref!$A$2,Acct2_Raw!$A$3:$A$26,0),MATCH($A12,Acct2_Raw!$B$1:$BO$1,0))),0)</f>
        <v/>
      </c>
      <c r="I12" s="70">
        <f>IFERROR(IF(Months_Ref!$A$3="",0,INDEX(Acct2_Raw!$B$3:$BO$26,MATCH(Months_Ref!$A$3,Acct2_Raw!$A$3:$A$26,0),MATCH($A12,Acct2_Raw!$B$1:$BO$1,0))),0)</f>
        <v/>
      </c>
      <c r="J12" s="70">
        <f>IFERROR(IF(Months_Ref!$A$4="",0,INDEX(Acct2_Raw!$B$3:$BO$26,MATCH(Months_Ref!$A$4,Acct2_Raw!$A$3:$A$26,0),MATCH($A12,Acct2_Raw!$B$1:$BO$1,0))),0)</f>
        <v/>
      </c>
      <c r="K12" s="70">
        <f>IFERROR(IF(Months_Ref!$A$5="",0,INDEX(Acct2_Raw!$B$3:$BO$26,MATCH(Months_Ref!$A$5,Acct2_Raw!$A$3:$A$26,0),MATCH($A12,Acct2_Raw!$B$1:$BO$1,0))),0)</f>
        <v/>
      </c>
      <c r="L12" s="70">
        <f>IFERROR(IF(Months_Ref!$A$6="",0,INDEX(Acct2_Raw!$B$3:$BO$26,MATCH(Months_Ref!$A$6,Acct2_Raw!$A$3:$A$26,0),MATCH($A12,Acct2_Raw!$B$1:$BO$1,0))),0)</f>
        <v/>
      </c>
      <c r="M12" s="70">
        <f>IFERROR(IF(Months_Ref!$A$7="",0,INDEX(Acct2_Raw!$B$3:$BO$26,MATCH(Months_Ref!$A$7,Acct2_Raw!$A$3:$A$26,0),MATCH($A12,Acct2_Raw!$B$1:$BO$1,0))),0)</f>
        <v/>
      </c>
      <c r="N12" s="70">
        <f>B12+H12</f>
        <v/>
      </c>
      <c r="O12" s="70">
        <f>C12+I12</f>
        <v/>
      </c>
      <c r="P12" s="70">
        <f>D12+J12</f>
        <v/>
      </c>
      <c r="Q12" s="70">
        <f>E12+K12</f>
        <v/>
      </c>
      <c r="R12" s="70">
        <f>F12+L12</f>
        <v/>
      </c>
      <c r="S12" s="70">
        <f>G12+M12</f>
        <v/>
      </c>
    </row>
    <row r="13" ht="15" customHeight="1" s="65">
      <c r="A13" s="72" t="inlineStr">
        <is>
          <t>CloudWatch($)</t>
        </is>
      </c>
      <c r="B13" s="70">
        <f>IFERROR(IF(Months_Ref!$A$2="",0,INDEX(Acct1_Raw!$B$3:$BO$26,MATCH(Months_Ref!$A$2,Acct1_Raw!$A$3:$A$26,0),MATCH($A13,Acct1_Raw!$B$1:$BO$1,0))),0)</f>
        <v/>
      </c>
      <c r="C13" s="70">
        <f>IFERROR(IF(Months_Ref!$A$3="",0,INDEX(Acct1_Raw!$B$3:$BO$26,MATCH(Months_Ref!$A$3,Acct1_Raw!$A$3:$A$26,0),MATCH($A13,Acct1_Raw!$B$1:$BO$1,0))),0)</f>
        <v/>
      </c>
      <c r="D13" s="70">
        <f>IFERROR(IF(Months_Ref!$A$4="",0,INDEX(Acct1_Raw!$B$3:$BO$26,MATCH(Months_Ref!$A$4,Acct1_Raw!$A$3:$A$26,0),MATCH($A13,Acct1_Raw!$B$1:$BO$1,0))),0)</f>
        <v/>
      </c>
      <c r="E13" s="70">
        <f>IFERROR(IF(Months_Ref!$A$5="",0,INDEX(Acct1_Raw!$B$3:$BO$26,MATCH(Months_Ref!$A$5,Acct1_Raw!$A$3:$A$26,0),MATCH($A13,Acct1_Raw!$B$1:$BO$1,0))),0)</f>
        <v/>
      </c>
      <c r="F13" s="70">
        <f>IFERROR(IF(Months_Ref!$A$6="",0,INDEX(Acct1_Raw!$B$3:$BO$26,MATCH(Months_Ref!$A$6,Acct1_Raw!$A$3:$A$26,0),MATCH($A13,Acct1_Raw!$B$1:$BO$1,0))),0)</f>
        <v/>
      </c>
      <c r="G13" s="70">
        <f>IFERROR(IF(Months_Ref!$A$7="",0,INDEX(Acct1_Raw!$B$3:$BO$26,MATCH(Months_Ref!$A$7,Acct1_Raw!$A$3:$A$26,0),MATCH($A13,Acct1_Raw!$B$1:$BO$1,0))),0)</f>
        <v/>
      </c>
      <c r="H13" s="70">
        <f>IFERROR(IF(Months_Ref!$A$2="",0,INDEX(Acct2_Raw!$B$3:$BO$26,MATCH(Months_Ref!$A$2,Acct2_Raw!$A$3:$A$26,0),MATCH($A13,Acct2_Raw!$B$1:$BO$1,0))),0)</f>
        <v/>
      </c>
      <c r="I13" s="70">
        <f>IFERROR(IF(Months_Ref!$A$3="",0,INDEX(Acct2_Raw!$B$3:$BO$26,MATCH(Months_Ref!$A$3,Acct2_Raw!$A$3:$A$26,0),MATCH($A13,Acct2_Raw!$B$1:$BO$1,0))),0)</f>
        <v/>
      </c>
      <c r="J13" s="70">
        <f>IFERROR(IF(Months_Ref!$A$4="",0,INDEX(Acct2_Raw!$B$3:$BO$26,MATCH(Months_Ref!$A$4,Acct2_Raw!$A$3:$A$26,0),MATCH($A13,Acct2_Raw!$B$1:$BO$1,0))),0)</f>
        <v/>
      </c>
      <c r="K13" s="70">
        <f>IFERROR(IF(Months_Ref!$A$5="",0,INDEX(Acct2_Raw!$B$3:$BO$26,MATCH(Months_Ref!$A$5,Acct2_Raw!$A$3:$A$26,0),MATCH($A13,Acct2_Raw!$B$1:$BO$1,0))),0)</f>
        <v/>
      </c>
      <c r="L13" s="70">
        <f>IFERROR(IF(Months_Ref!$A$6="",0,INDEX(Acct2_Raw!$B$3:$BO$26,MATCH(Months_Ref!$A$6,Acct2_Raw!$A$3:$A$26,0),MATCH($A13,Acct2_Raw!$B$1:$BO$1,0))),0)</f>
        <v/>
      </c>
      <c r="M13" s="70">
        <f>IFERROR(IF(Months_Ref!$A$7="",0,INDEX(Acct2_Raw!$B$3:$BO$26,MATCH(Months_Ref!$A$7,Acct2_Raw!$A$3:$A$26,0),MATCH($A13,Acct2_Raw!$B$1:$BO$1,0))),0)</f>
        <v/>
      </c>
      <c r="N13" s="70">
        <f>B13+H13</f>
        <v/>
      </c>
      <c r="O13" s="70">
        <f>C13+I13</f>
        <v/>
      </c>
      <c r="P13" s="70">
        <f>D13+J13</f>
        <v/>
      </c>
      <c r="Q13" s="70">
        <f>E13+K13</f>
        <v/>
      </c>
      <c r="R13" s="70">
        <f>F13+L13</f>
        <v/>
      </c>
      <c r="S13" s="70">
        <f>G13+M13</f>
        <v/>
      </c>
    </row>
    <row r="14" ht="15" customHeight="1" s="65">
      <c r="A14" s="72" t="inlineStr">
        <is>
          <t>CodeBuild($)</t>
        </is>
      </c>
      <c r="B14" s="70">
        <f>IFERROR(IF(Months_Ref!$A$2="",0,INDEX(Acct1_Raw!$B$3:$BO$26,MATCH(Months_Ref!$A$2,Acct1_Raw!$A$3:$A$26,0),MATCH($A14,Acct1_Raw!$B$1:$BO$1,0))),0)</f>
        <v/>
      </c>
      <c r="C14" s="70">
        <f>IFERROR(IF(Months_Ref!$A$3="",0,INDEX(Acct1_Raw!$B$3:$BO$26,MATCH(Months_Ref!$A$3,Acct1_Raw!$A$3:$A$26,0),MATCH($A14,Acct1_Raw!$B$1:$BO$1,0))),0)</f>
        <v/>
      </c>
      <c r="D14" s="70">
        <f>IFERROR(IF(Months_Ref!$A$4="",0,INDEX(Acct1_Raw!$B$3:$BO$26,MATCH(Months_Ref!$A$4,Acct1_Raw!$A$3:$A$26,0),MATCH($A14,Acct1_Raw!$B$1:$BO$1,0))),0)</f>
        <v/>
      </c>
      <c r="E14" s="70">
        <f>IFERROR(IF(Months_Ref!$A$5="",0,INDEX(Acct1_Raw!$B$3:$BO$26,MATCH(Months_Ref!$A$5,Acct1_Raw!$A$3:$A$26,0),MATCH($A14,Acct1_Raw!$B$1:$BO$1,0))),0)</f>
        <v/>
      </c>
      <c r="F14" s="70">
        <f>IFERROR(IF(Months_Ref!$A$6="",0,INDEX(Acct1_Raw!$B$3:$BO$26,MATCH(Months_Ref!$A$6,Acct1_Raw!$A$3:$A$26,0),MATCH($A14,Acct1_Raw!$B$1:$BO$1,0))),0)</f>
        <v/>
      </c>
      <c r="G14" s="70">
        <f>IFERROR(IF(Months_Ref!$A$7="",0,INDEX(Acct1_Raw!$B$3:$BO$26,MATCH(Months_Ref!$A$7,Acct1_Raw!$A$3:$A$26,0),MATCH($A14,Acct1_Raw!$B$1:$BO$1,0))),0)</f>
        <v/>
      </c>
      <c r="H14" s="70">
        <f>IFERROR(IF(Months_Ref!$A$2="",0,INDEX(Acct2_Raw!$B$3:$BO$26,MATCH(Months_Ref!$A$2,Acct2_Raw!$A$3:$A$26,0),MATCH($A14,Acct2_Raw!$B$1:$BO$1,0))),0)</f>
        <v/>
      </c>
      <c r="I14" s="70">
        <f>IFERROR(IF(Months_Ref!$A$3="",0,INDEX(Acct2_Raw!$B$3:$BO$26,MATCH(Months_Ref!$A$3,Acct2_Raw!$A$3:$A$26,0),MATCH($A14,Acct2_Raw!$B$1:$BO$1,0))),0)</f>
        <v/>
      </c>
      <c r="J14" s="70">
        <f>IFERROR(IF(Months_Ref!$A$4="",0,INDEX(Acct2_Raw!$B$3:$BO$26,MATCH(Months_Ref!$A$4,Acct2_Raw!$A$3:$A$26,0),MATCH($A14,Acct2_Raw!$B$1:$BO$1,0))),0)</f>
        <v/>
      </c>
      <c r="K14" s="70">
        <f>IFERROR(IF(Months_Ref!$A$5="",0,INDEX(Acct2_Raw!$B$3:$BO$26,MATCH(Months_Ref!$A$5,Acct2_Raw!$A$3:$A$26,0),MATCH($A14,Acct2_Raw!$B$1:$BO$1,0))),0)</f>
        <v/>
      </c>
      <c r="L14" s="70">
        <f>IFERROR(IF(Months_Ref!$A$6="",0,INDEX(Acct2_Raw!$B$3:$BO$26,MATCH(Months_Ref!$A$6,Acct2_Raw!$A$3:$A$26,0),MATCH($A14,Acct2_Raw!$B$1:$BO$1,0))),0)</f>
        <v/>
      </c>
      <c r="M14" s="70">
        <f>IFERROR(IF(Months_Ref!$A$7="",0,INDEX(Acct2_Raw!$B$3:$BO$26,MATCH(Months_Ref!$A$7,Acct2_Raw!$A$3:$A$26,0),MATCH($A14,Acct2_Raw!$B$1:$BO$1,0))),0)</f>
        <v/>
      </c>
      <c r="N14" s="70">
        <f>B14+H14</f>
        <v/>
      </c>
      <c r="O14" s="70">
        <f>C14+I14</f>
        <v/>
      </c>
      <c r="P14" s="70">
        <f>D14+J14</f>
        <v/>
      </c>
      <c r="Q14" s="70">
        <f>E14+K14</f>
        <v/>
      </c>
      <c r="R14" s="70">
        <f>F14+L14</f>
        <v/>
      </c>
      <c r="S14" s="70">
        <f>G14+M14</f>
        <v/>
      </c>
    </row>
    <row r="15" ht="15" customHeight="1" s="65">
      <c r="A15" s="72" t="inlineStr">
        <is>
          <t>CodeCommit($)</t>
        </is>
      </c>
      <c r="B15" s="70">
        <f>IFERROR(IF(Months_Ref!$A$2="",0,INDEX(Acct1_Raw!$B$3:$BO$26,MATCH(Months_Ref!$A$2,Acct1_Raw!$A$3:$A$26,0),MATCH($A15,Acct1_Raw!$B$1:$BO$1,0))),0)</f>
        <v/>
      </c>
      <c r="C15" s="70">
        <f>IFERROR(IF(Months_Ref!$A$3="",0,INDEX(Acct1_Raw!$B$3:$BO$26,MATCH(Months_Ref!$A$3,Acct1_Raw!$A$3:$A$26,0),MATCH($A15,Acct1_Raw!$B$1:$BO$1,0))),0)</f>
        <v/>
      </c>
      <c r="D15" s="70">
        <f>IFERROR(IF(Months_Ref!$A$4="",0,INDEX(Acct1_Raw!$B$3:$BO$26,MATCH(Months_Ref!$A$4,Acct1_Raw!$A$3:$A$26,0),MATCH($A15,Acct1_Raw!$B$1:$BO$1,0))),0)</f>
        <v/>
      </c>
      <c r="E15" s="70">
        <f>IFERROR(IF(Months_Ref!$A$5="",0,INDEX(Acct1_Raw!$B$3:$BO$26,MATCH(Months_Ref!$A$5,Acct1_Raw!$A$3:$A$26,0),MATCH($A15,Acct1_Raw!$B$1:$BO$1,0))),0)</f>
        <v/>
      </c>
      <c r="F15" s="70">
        <f>IFERROR(IF(Months_Ref!$A$6="",0,INDEX(Acct1_Raw!$B$3:$BO$26,MATCH(Months_Ref!$A$6,Acct1_Raw!$A$3:$A$26,0),MATCH($A15,Acct1_Raw!$B$1:$BO$1,0))),0)</f>
        <v/>
      </c>
      <c r="G15" s="70">
        <f>IFERROR(IF(Months_Ref!$A$7="",0,INDEX(Acct1_Raw!$B$3:$BO$26,MATCH(Months_Ref!$A$7,Acct1_Raw!$A$3:$A$26,0),MATCH($A15,Acct1_Raw!$B$1:$BO$1,0))),0)</f>
        <v/>
      </c>
      <c r="H15" s="70">
        <f>IFERROR(IF(Months_Ref!$A$2="",0,INDEX(Acct2_Raw!$B$3:$BO$26,MATCH(Months_Ref!$A$2,Acct2_Raw!$A$3:$A$26,0),MATCH($A15,Acct2_Raw!$B$1:$BO$1,0))),0)</f>
        <v/>
      </c>
      <c r="I15" s="70">
        <f>IFERROR(IF(Months_Ref!$A$3="",0,INDEX(Acct2_Raw!$B$3:$BO$26,MATCH(Months_Ref!$A$3,Acct2_Raw!$A$3:$A$26,0),MATCH($A15,Acct2_Raw!$B$1:$BO$1,0))),0)</f>
        <v/>
      </c>
      <c r="J15" s="70">
        <f>IFERROR(IF(Months_Ref!$A$4="",0,INDEX(Acct2_Raw!$B$3:$BO$26,MATCH(Months_Ref!$A$4,Acct2_Raw!$A$3:$A$26,0),MATCH($A15,Acct2_Raw!$B$1:$BO$1,0))),0)</f>
        <v/>
      </c>
      <c r="K15" s="70">
        <f>IFERROR(IF(Months_Ref!$A$5="",0,INDEX(Acct2_Raw!$B$3:$BO$26,MATCH(Months_Ref!$A$5,Acct2_Raw!$A$3:$A$26,0),MATCH($A15,Acct2_Raw!$B$1:$BO$1,0))),0)</f>
        <v/>
      </c>
      <c r="L15" s="70">
        <f>IFERROR(IF(Months_Ref!$A$6="",0,INDEX(Acct2_Raw!$B$3:$BO$26,MATCH(Months_Ref!$A$6,Acct2_Raw!$A$3:$A$26,0),MATCH($A15,Acct2_Raw!$B$1:$BO$1,0))),0)</f>
        <v/>
      </c>
      <c r="M15" s="70">
        <f>IFERROR(IF(Months_Ref!$A$7="",0,INDEX(Acct2_Raw!$B$3:$BO$26,MATCH(Months_Ref!$A$7,Acct2_Raw!$A$3:$A$26,0),MATCH($A15,Acct2_Raw!$B$1:$BO$1,0))),0)</f>
        <v/>
      </c>
      <c r="N15" s="70">
        <f>B15+H15</f>
        <v/>
      </c>
      <c r="O15" s="70">
        <f>C15+I15</f>
        <v/>
      </c>
      <c r="P15" s="70">
        <f>D15+J15</f>
        <v/>
      </c>
      <c r="Q15" s="70">
        <f>E15+K15</f>
        <v/>
      </c>
      <c r="R15" s="70">
        <f>F15+L15</f>
        <v/>
      </c>
      <c r="S15" s="70">
        <f>G15+M15</f>
        <v/>
      </c>
    </row>
    <row r="16" ht="15" customHeight="1" s="65">
      <c r="A16" s="72" t="inlineStr">
        <is>
          <t>CodeDeploy($)</t>
        </is>
      </c>
      <c r="B16" s="70">
        <f>IFERROR(IF(Months_Ref!$A$2="",0,INDEX(Acct1_Raw!$B$3:$BO$26,MATCH(Months_Ref!$A$2,Acct1_Raw!$A$3:$A$26,0),MATCH($A16,Acct1_Raw!$B$1:$BO$1,0))),0)</f>
        <v/>
      </c>
      <c r="C16" s="70">
        <f>IFERROR(IF(Months_Ref!$A$3="",0,INDEX(Acct1_Raw!$B$3:$BO$26,MATCH(Months_Ref!$A$3,Acct1_Raw!$A$3:$A$26,0),MATCH($A16,Acct1_Raw!$B$1:$BO$1,0))),0)</f>
        <v/>
      </c>
      <c r="D16" s="70">
        <f>IFERROR(IF(Months_Ref!$A$4="",0,INDEX(Acct1_Raw!$B$3:$BO$26,MATCH(Months_Ref!$A$4,Acct1_Raw!$A$3:$A$26,0),MATCH($A16,Acct1_Raw!$B$1:$BO$1,0))),0)</f>
        <v/>
      </c>
      <c r="E16" s="70">
        <f>IFERROR(IF(Months_Ref!$A$5="",0,INDEX(Acct1_Raw!$B$3:$BO$26,MATCH(Months_Ref!$A$5,Acct1_Raw!$A$3:$A$26,0),MATCH($A16,Acct1_Raw!$B$1:$BO$1,0))),0)</f>
        <v/>
      </c>
      <c r="F16" s="70">
        <f>IFERROR(IF(Months_Ref!$A$6="",0,INDEX(Acct1_Raw!$B$3:$BO$26,MATCH(Months_Ref!$A$6,Acct1_Raw!$A$3:$A$26,0),MATCH($A16,Acct1_Raw!$B$1:$BO$1,0))),0)</f>
        <v/>
      </c>
      <c r="G16" s="70">
        <f>IFERROR(IF(Months_Ref!$A$7="",0,INDEX(Acct1_Raw!$B$3:$BO$26,MATCH(Months_Ref!$A$7,Acct1_Raw!$A$3:$A$26,0),MATCH($A16,Acct1_Raw!$B$1:$BO$1,0))),0)</f>
        <v/>
      </c>
      <c r="H16" s="70">
        <f>IFERROR(IF(Months_Ref!$A$2="",0,INDEX(Acct2_Raw!$B$3:$BO$26,MATCH(Months_Ref!$A$2,Acct2_Raw!$A$3:$A$26,0),MATCH($A16,Acct2_Raw!$B$1:$BO$1,0))),0)</f>
        <v/>
      </c>
      <c r="I16" s="70">
        <f>IFERROR(IF(Months_Ref!$A$3="",0,INDEX(Acct2_Raw!$B$3:$BO$26,MATCH(Months_Ref!$A$3,Acct2_Raw!$A$3:$A$26,0),MATCH($A16,Acct2_Raw!$B$1:$BO$1,0))),0)</f>
        <v/>
      </c>
      <c r="J16" s="70">
        <f>IFERROR(IF(Months_Ref!$A$4="",0,INDEX(Acct2_Raw!$B$3:$BO$26,MATCH(Months_Ref!$A$4,Acct2_Raw!$A$3:$A$26,0),MATCH($A16,Acct2_Raw!$B$1:$BO$1,0))),0)</f>
        <v/>
      </c>
      <c r="K16" s="70">
        <f>IFERROR(IF(Months_Ref!$A$5="",0,INDEX(Acct2_Raw!$B$3:$BO$26,MATCH(Months_Ref!$A$5,Acct2_Raw!$A$3:$A$26,0),MATCH($A16,Acct2_Raw!$B$1:$BO$1,0))),0)</f>
        <v/>
      </c>
      <c r="L16" s="70">
        <f>IFERROR(IF(Months_Ref!$A$6="",0,INDEX(Acct2_Raw!$B$3:$BO$26,MATCH(Months_Ref!$A$6,Acct2_Raw!$A$3:$A$26,0),MATCH($A16,Acct2_Raw!$B$1:$BO$1,0))),0)</f>
        <v/>
      </c>
      <c r="M16" s="70">
        <f>IFERROR(IF(Months_Ref!$A$7="",0,INDEX(Acct2_Raw!$B$3:$BO$26,MATCH(Months_Ref!$A$7,Acct2_Raw!$A$3:$A$26,0),MATCH($A16,Acct2_Raw!$B$1:$BO$1,0))),0)</f>
        <v/>
      </c>
      <c r="N16" s="70">
        <f>B16+H16</f>
        <v/>
      </c>
      <c r="O16" s="70">
        <f>C16+I16</f>
        <v/>
      </c>
      <c r="P16" s="70">
        <f>D16+J16</f>
        <v/>
      </c>
      <c r="Q16" s="70">
        <f>E16+K16</f>
        <v/>
      </c>
      <c r="R16" s="70">
        <f>F16+L16</f>
        <v/>
      </c>
      <c r="S16" s="70">
        <f>G16+M16</f>
        <v/>
      </c>
    </row>
    <row r="17" ht="15" customHeight="1" s="65">
      <c r="A17" s="72" t="inlineStr">
        <is>
          <t>CodePipeline($)</t>
        </is>
      </c>
      <c r="B17" s="70">
        <f>IFERROR(IF(Months_Ref!$A$2="",0,INDEX(Acct1_Raw!$B$3:$BO$26,MATCH(Months_Ref!$A$2,Acct1_Raw!$A$3:$A$26,0),MATCH($A17,Acct1_Raw!$B$1:$BO$1,0))),0)</f>
        <v/>
      </c>
      <c r="C17" s="70">
        <f>IFERROR(IF(Months_Ref!$A$3="",0,INDEX(Acct1_Raw!$B$3:$BO$26,MATCH(Months_Ref!$A$3,Acct1_Raw!$A$3:$A$26,0),MATCH($A17,Acct1_Raw!$B$1:$BO$1,0))),0)</f>
        <v/>
      </c>
      <c r="D17" s="70">
        <f>IFERROR(IF(Months_Ref!$A$4="",0,INDEX(Acct1_Raw!$B$3:$BO$26,MATCH(Months_Ref!$A$4,Acct1_Raw!$A$3:$A$26,0),MATCH($A17,Acct1_Raw!$B$1:$BO$1,0))),0)</f>
        <v/>
      </c>
      <c r="E17" s="70">
        <f>IFERROR(IF(Months_Ref!$A$5="",0,INDEX(Acct1_Raw!$B$3:$BO$26,MATCH(Months_Ref!$A$5,Acct1_Raw!$A$3:$A$26,0),MATCH($A17,Acct1_Raw!$B$1:$BO$1,0))),0)</f>
        <v/>
      </c>
      <c r="F17" s="70">
        <f>IFERROR(IF(Months_Ref!$A$6="",0,INDEX(Acct1_Raw!$B$3:$BO$26,MATCH(Months_Ref!$A$6,Acct1_Raw!$A$3:$A$26,0),MATCH($A17,Acct1_Raw!$B$1:$BO$1,0))),0)</f>
        <v/>
      </c>
      <c r="G17" s="70">
        <f>IFERROR(IF(Months_Ref!$A$7="",0,INDEX(Acct1_Raw!$B$3:$BO$26,MATCH(Months_Ref!$A$7,Acct1_Raw!$A$3:$A$26,0),MATCH($A17,Acct1_Raw!$B$1:$BO$1,0))),0)</f>
        <v/>
      </c>
      <c r="H17" s="70">
        <f>IFERROR(IF(Months_Ref!$A$2="",0,INDEX(Acct2_Raw!$B$3:$BO$26,MATCH(Months_Ref!$A$2,Acct2_Raw!$A$3:$A$26,0),MATCH($A17,Acct2_Raw!$B$1:$BO$1,0))),0)</f>
        <v/>
      </c>
      <c r="I17" s="70">
        <f>IFERROR(IF(Months_Ref!$A$3="",0,INDEX(Acct2_Raw!$B$3:$BO$26,MATCH(Months_Ref!$A$3,Acct2_Raw!$A$3:$A$26,0),MATCH($A17,Acct2_Raw!$B$1:$BO$1,0))),0)</f>
        <v/>
      </c>
      <c r="J17" s="70">
        <f>IFERROR(IF(Months_Ref!$A$4="",0,INDEX(Acct2_Raw!$B$3:$BO$26,MATCH(Months_Ref!$A$4,Acct2_Raw!$A$3:$A$26,0),MATCH($A17,Acct2_Raw!$B$1:$BO$1,0))),0)</f>
        <v/>
      </c>
      <c r="K17" s="70">
        <f>IFERROR(IF(Months_Ref!$A$5="",0,INDEX(Acct2_Raw!$B$3:$BO$26,MATCH(Months_Ref!$A$5,Acct2_Raw!$A$3:$A$26,0),MATCH($A17,Acct2_Raw!$B$1:$BO$1,0))),0)</f>
        <v/>
      </c>
      <c r="L17" s="70">
        <f>IFERROR(IF(Months_Ref!$A$6="",0,INDEX(Acct2_Raw!$B$3:$BO$26,MATCH(Months_Ref!$A$6,Acct2_Raw!$A$3:$A$26,0),MATCH($A17,Acct2_Raw!$B$1:$BO$1,0))),0)</f>
        <v/>
      </c>
      <c r="M17" s="70">
        <f>IFERROR(IF(Months_Ref!$A$7="",0,INDEX(Acct2_Raw!$B$3:$BO$26,MATCH(Months_Ref!$A$7,Acct2_Raw!$A$3:$A$26,0),MATCH($A17,Acct2_Raw!$B$1:$BO$1,0))),0)</f>
        <v/>
      </c>
      <c r="N17" s="70">
        <f>B17+H17</f>
        <v/>
      </c>
      <c r="O17" s="70">
        <f>C17+I17</f>
        <v/>
      </c>
      <c r="P17" s="70">
        <f>D17+J17</f>
        <v/>
      </c>
      <c r="Q17" s="70">
        <f>E17+K17</f>
        <v/>
      </c>
      <c r="R17" s="70">
        <f>F17+L17</f>
        <v/>
      </c>
      <c r="S17" s="70">
        <f>G17+M17</f>
        <v/>
      </c>
    </row>
    <row r="18" ht="15" customHeight="1" s="65">
      <c r="A18" s="72" t="inlineStr">
        <is>
          <t>Comprehend($)</t>
        </is>
      </c>
      <c r="B18" s="70">
        <f>IFERROR(IF(Months_Ref!$A$2="",0,INDEX(Acct1_Raw!$B$3:$BO$26,MATCH(Months_Ref!$A$2,Acct1_Raw!$A$3:$A$26,0),MATCH($A18,Acct1_Raw!$B$1:$BO$1,0))),0)</f>
        <v/>
      </c>
      <c r="C18" s="70">
        <f>IFERROR(IF(Months_Ref!$A$3="",0,INDEX(Acct1_Raw!$B$3:$BO$26,MATCH(Months_Ref!$A$3,Acct1_Raw!$A$3:$A$26,0),MATCH($A18,Acct1_Raw!$B$1:$BO$1,0))),0)</f>
        <v/>
      </c>
      <c r="D18" s="70">
        <f>IFERROR(IF(Months_Ref!$A$4="",0,INDEX(Acct1_Raw!$B$3:$BO$26,MATCH(Months_Ref!$A$4,Acct1_Raw!$A$3:$A$26,0),MATCH($A18,Acct1_Raw!$B$1:$BO$1,0))),0)</f>
        <v/>
      </c>
      <c r="E18" s="70">
        <f>IFERROR(IF(Months_Ref!$A$5="",0,INDEX(Acct1_Raw!$B$3:$BO$26,MATCH(Months_Ref!$A$5,Acct1_Raw!$A$3:$A$26,0),MATCH($A18,Acct1_Raw!$B$1:$BO$1,0))),0)</f>
        <v/>
      </c>
      <c r="F18" s="70">
        <f>IFERROR(IF(Months_Ref!$A$6="",0,INDEX(Acct1_Raw!$B$3:$BO$26,MATCH(Months_Ref!$A$6,Acct1_Raw!$A$3:$A$26,0),MATCH($A18,Acct1_Raw!$B$1:$BO$1,0))),0)</f>
        <v/>
      </c>
      <c r="G18" s="70">
        <f>IFERROR(IF(Months_Ref!$A$7="",0,INDEX(Acct1_Raw!$B$3:$BO$26,MATCH(Months_Ref!$A$7,Acct1_Raw!$A$3:$A$26,0),MATCH($A18,Acct1_Raw!$B$1:$BO$1,0))),0)</f>
        <v/>
      </c>
      <c r="H18" s="70">
        <f>IFERROR(IF(Months_Ref!$A$2="",0,INDEX(Acct2_Raw!$B$3:$BO$26,MATCH(Months_Ref!$A$2,Acct2_Raw!$A$3:$A$26,0),MATCH($A18,Acct2_Raw!$B$1:$BO$1,0))),0)</f>
        <v/>
      </c>
      <c r="I18" s="70">
        <f>IFERROR(IF(Months_Ref!$A$3="",0,INDEX(Acct2_Raw!$B$3:$BO$26,MATCH(Months_Ref!$A$3,Acct2_Raw!$A$3:$A$26,0),MATCH($A18,Acct2_Raw!$B$1:$BO$1,0))),0)</f>
        <v/>
      </c>
      <c r="J18" s="70">
        <f>IFERROR(IF(Months_Ref!$A$4="",0,INDEX(Acct2_Raw!$B$3:$BO$26,MATCH(Months_Ref!$A$4,Acct2_Raw!$A$3:$A$26,0),MATCH($A18,Acct2_Raw!$B$1:$BO$1,0))),0)</f>
        <v/>
      </c>
      <c r="K18" s="70">
        <f>IFERROR(IF(Months_Ref!$A$5="",0,INDEX(Acct2_Raw!$B$3:$BO$26,MATCH(Months_Ref!$A$5,Acct2_Raw!$A$3:$A$26,0),MATCH($A18,Acct2_Raw!$B$1:$BO$1,0))),0)</f>
        <v/>
      </c>
      <c r="L18" s="70">
        <f>IFERROR(IF(Months_Ref!$A$6="",0,INDEX(Acct2_Raw!$B$3:$BO$26,MATCH(Months_Ref!$A$6,Acct2_Raw!$A$3:$A$26,0),MATCH($A18,Acct2_Raw!$B$1:$BO$1,0))),0)</f>
        <v/>
      </c>
      <c r="M18" s="70">
        <f>IFERROR(IF(Months_Ref!$A$7="",0,INDEX(Acct2_Raw!$B$3:$BO$26,MATCH(Months_Ref!$A$7,Acct2_Raw!$A$3:$A$26,0),MATCH($A18,Acct2_Raw!$B$1:$BO$1,0))),0)</f>
        <v/>
      </c>
      <c r="N18" s="70">
        <f>B18+H18</f>
        <v/>
      </c>
      <c r="O18" s="70">
        <f>C18+I18</f>
        <v/>
      </c>
      <c r="P18" s="70">
        <f>D18+J18</f>
        <v/>
      </c>
      <c r="Q18" s="70">
        <f>E18+K18</f>
        <v/>
      </c>
      <c r="R18" s="70">
        <f>F18+L18</f>
        <v/>
      </c>
      <c r="S18" s="70">
        <f>G18+M18</f>
        <v/>
      </c>
    </row>
    <row r="19" ht="15" customHeight="1" s="65">
      <c r="A19" s="72" t="inlineStr">
        <is>
          <t>Config($)</t>
        </is>
      </c>
      <c r="B19" s="70">
        <f>IFERROR(IF(Months_Ref!$A$2="",0,INDEX(Acct1_Raw!$B$3:$BO$26,MATCH(Months_Ref!$A$2,Acct1_Raw!$A$3:$A$26,0),MATCH($A19,Acct1_Raw!$B$1:$BO$1,0))),0)</f>
        <v/>
      </c>
      <c r="C19" s="70">
        <f>IFERROR(IF(Months_Ref!$A$3="",0,INDEX(Acct1_Raw!$B$3:$BO$26,MATCH(Months_Ref!$A$3,Acct1_Raw!$A$3:$A$26,0),MATCH($A19,Acct1_Raw!$B$1:$BO$1,0))),0)</f>
        <v/>
      </c>
      <c r="D19" s="70">
        <f>IFERROR(IF(Months_Ref!$A$4="",0,INDEX(Acct1_Raw!$B$3:$BO$26,MATCH(Months_Ref!$A$4,Acct1_Raw!$A$3:$A$26,0),MATCH($A19,Acct1_Raw!$B$1:$BO$1,0))),0)</f>
        <v/>
      </c>
      <c r="E19" s="70">
        <f>IFERROR(IF(Months_Ref!$A$5="",0,INDEX(Acct1_Raw!$B$3:$BO$26,MATCH(Months_Ref!$A$5,Acct1_Raw!$A$3:$A$26,0),MATCH($A19,Acct1_Raw!$B$1:$BO$1,0))),0)</f>
        <v/>
      </c>
      <c r="F19" s="70">
        <f>IFERROR(IF(Months_Ref!$A$6="",0,INDEX(Acct1_Raw!$B$3:$BO$26,MATCH(Months_Ref!$A$6,Acct1_Raw!$A$3:$A$26,0),MATCH($A19,Acct1_Raw!$B$1:$BO$1,0))),0)</f>
        <v/>
      </c>
      <c r="G19" s="70">
        <f>IFERROR(IF(Months_Ref!$A$7="",0,INDEX(Acct1_Raw!$B$3:$BO$26,MATCH(Months_Ref!$A$7,Acct1_Raw!$A$3:$A$26,0),MATCH($A19,Acct1_Raw!$B$1:$BO$1,0))),0)</f>
        <v/>
      </c>
      <c r="H19" s="70">
        <f>IFERROR(IF(Months_Ref!$A$2="",0,INDEX(Acct2_Raw!$B$3:$BO$26,MATCH(Months_Ref!$A$2,Acct2_Raw!$A$3:$A$26,0),MATCH($A19,Acct2_Raw!$B$1:$BO$1,0))),0)</f>
        <v/>
      </c>
      <c r="I19" s="70">
        <f>IFERROR(IF(Months_Ref!$A$3="",0,INDEX(Acct2_Raw!$B$3:$BO$26,MATCH(Months_Ref!$A$3,Acct2_Raw!$A$3:$A$26,0),MATCH($A19,Acct2_Raw!$B$1:$BO$1,0))),0)</f>
        <v/>
      </c>
      <c r="J19" s="70">
        <f>IFERROR(IF(Months_Ref!$A$4="",0,INDEX(Acct2_Raw!$B$3:$BO$26,MATCH(Months_Ref!$A$4,Acct2_Raw!$A$3:$A$26,0),MATCH($A19,Acct2_Raw!$B$1:$BO$1,0))),0)</f>
        <v/>
      </c>
      <c r="K19" s="70">
        <f>IFERROR(IF(Months_Ref!$A$5="",0,INDEX(Acct2_Raw!$B$3:$BO$26,MATCH(Months_Ref!$A$5,Acct2_Raw!$A$3:$A$26,0),MATCH($A19,Acct2_Raw!$B$1:$BO$1,0))),0)</f>
        <v/>
      </c>
      <c r="L19" s="70">
        <f>IFERROR(IF(Months_Ref!$A$6="",0,INDEX(Acct2_Raw!$B$3:$BO$26,MATCH(Months_Ref!$A$6,Acct2_Raw!$A$3:$A$26,0),MATCH($A19,Acct2_Raw!$B$1:$BO$1,0))),0)</f>
        <v/>
      </c>
      <c r="M19" s="70">
        <f>IFERROR(IF(Months_Ref!$A$7="",0,INDEX(Acct2_Raw!$B$3:$BO$26,MATCH(Months_Ref!$A$7,Acct2_Raw!$A$3:$A$26,0),MATCH($A19,Acct2_Raw!$B$1:$BO$1,0))),0)</f>
        <v/>
      </c>
      <c r="N19" s="70">
        <f>B19+H19</f>
        <v/>
      </c>
      <c r="O19" s="70">
        <f>C19+I19</f>
        <v/>
      </c>
      <c r="P19" s="70">
        <f>D19+J19</f>
        <v/>
      </c>
      <c r="Q19" s="70">
        <f>E19+K19</f>
        <v/>
      </c>
      <c r="R19" s="70">
        <f>F19+L19</f>
        <v/>
      </c>
      <c r="S19" s="70">
        <f>G19+M19</f>
        <v/>
      </c>
    </row>
    <row r="20" ht="15" customHeight="1" s="65">
      <c r="A20" s="72" t="inlineStr">
        <is>
          <t>Connect($)</t>
        </is>
      </c>
      <c r="B20" s="70">
        <f>IFERROR(IF(Months_Ref!$A$2="",0,INDEX(Acct1_Raw!$B$3:$BO$26,MATCH(Months_Ref!$A$2,Acct1_Raw!$A$3:$A$26,0),MATCH($A20,Acct1_Raw!$B$1:$BO$1,0))),0)</f>
        <v/>
      </c>
      <c r="C20" s="70">
        <f>IFERROR(IF(Months_Ref!$A$3="",0,INDEX(Acct1_Raw!$B$3:$BO$26,MATCH(Months_Ref!$A$3,Acct1_Raw!$A$3:$A$26,0),MATCH($A20,Acct1_Raw!$B$1:$BO$1,0))),0)</f>
        <v/>
      </c>
      <c r="D20" s="70">
        <f>IFERROR(IF(Months_Ref!$A$4="",0,INDEX(Acct1_Raw!$B$3:$BO$26,MATCH(Months_Ref!$A$4,Acct1_Raw!$A$3:$A$26,0),MATCH($A20,Acct1_Raw!$B$1:$BO$1,0))),0)</f>
        <v/>
      </c>
      <c r="E20" s="70">
        <f>IFERROR(IF(Months_Ref!$A$5="",0,INDEX(Acct1_Raw!$B$3:$BO$26,MATCH(Months_Ref!$A$5,Acct1_Raw!$A$3:$A$26,0),MATCH($A20,Acct1_Raw!$B$1:$BO$1,0))),0)</f>
        <v/>
      </c>
      <c r="F20" s="70">
        <f>IFERROR(IF(Months_Ref!$A$6="",0,INDEX(Acct1_Raw!$B$3:$BO$26,MATCH(Months_Ref!$A$6,Acct1_Raw!$A$3:$A$26,0),MATCH($A20,Acct1_Raw!$B$1:$BO$1,0))),0)</f>
        <v/>
      </c>
      <c r="G20" s="70">
        <f>IFERROR(IF(Months_Ref!$A$7="",0,INDEX(Acct1_Raw!$B$3:$BO$26,MATCH(Months_Ref!$A$7,Acct1_Raw!$A$3:$A$26,0),MATCH($A20,Acct1_Raw!$B$1:$BO$1,0))),0)</f>
        <v/>
      </c>
      <c r="H20" s="70">
        <f>IFERROR(IF(Months_Ref!$A$2="",0,INDEX(Acct2_Raw!$B$3:$BO$26,MATCH(Months_Ref!$A$2,Acct2_Raw!$A$3:$A$26,0),MATCH($A20,Acct2_Raw!$B$1:$BO$1,0))),0)</f>
        <v/>
      </c>
      <c r="I20" s="70">
        <f>IFERROR(IF(Months_Ref!$A$3="",0,INDEX(Acct2_Raw!$B$3:$BO$26,MATCH(Months_Ref!$A$3,Acct2_Raw!$A$3:$A$26,0),MATCH($A20,Acct2_Raw!$B$1:$BO$1,0))),0)</f>
        <v/>
      </c>
      <c r="J20" s="70">
        <f>IFERROR(IF(Months_Ref!$A$4="",0,INDEX(Acct2_Raw!$B$3:$BO$26,MATCH(Months_Ref!$A$4,Acct2_Raw!$A$3:$A$26,0),MATCH($A20,Acct2_Raw!$B$1:$BO$1,0))),0)</f>
        <v/>
      </c>
      <c r="K20" s="70">
        <f>IFERROR(IF(Months_Ref!$A$5="",0,INDEX(Acct2_Raw!$B$3:$BO$26,MATCH(Months_Ref!$A$5,Acct2_Raw!$A$3:$A$26,0),MATCH($A20,Acct2_Raw!$B$1:$BO$1,0))),0)</f>
        <v/>
      </c>
      <c r="L20" s="70">
        <f>IFERROR(IF(Months_Ref!$A$6="",0,INDEX(Acct2_Raw!$B$3:$BO$26,MATCH(Months_Ref!$A$6,Acct2_Raw!$A$3:$A$26,0),MATCH($A20,Acct2_Raw!$B$1:$BO$1,0))),0)</f>
        <v/>
      </c>
      <c r="M20" s="70">
        <f>IFERROR(IF(Months_Ref!$A$7="",0,INDEX(Acct2_Raw!$B$3:$BO$26,MATCH(Months_Ref!$A$7,Acct2_Raw!$A$3:$A$26,0),MATCH($A20,Acct2_Raw!$B$1:$BO$1,0))),0)</f>
        <v/>
      </c>
      <c r="N20" s="70">
        <f>B20+H20</f>
        <v/>
      </c>
      <c r="O20" s="70">
        <f>C20+I20</f>
        <v/>
      </c>
      <c r="P20" s="70">
        <f>D20+J20</f>
        <v/>
      </c>
      <c r="Q20" s="70">
        <f>E20+K20</f>
        <v/>
      </c>
      <c r="R20" s="70">
        <f>F20+L20</f>
        <v/>
      </c>
      <c r="S20" s="70">
        <f>G20+M20</f>
        <v/>
      </c>
    </row>
    <row r="21" ht="15" customHeight="1" s="65">
      <c r="A21" s="72" t="inlineStr">
        <is>
          <t>Control Tower($)</t>
        </is>
      </c>
      <c r="B21" s="70">
        <f>IFERROR(IF(Months_Ref!$A$2="",0,INDEX(Acct1_Raw!$B$3:$BO$26,MATCH(Months_Ref!$A$2,Acct1_Raw!$A$3:$A$26,0),MATCH($A21,Acct1_Raw!$B$1:$BO$1,0))),0)</f>
        <v/>
      </c>
      <c r="C21" s="70">
        <f>IFERROR(IF(Months_Ref!$A$3="",0,INDEX(Acct1_Raw!$B$3:$BO$26,MATCH(Months_Ref!$A$3,Acct1_Raw!$A$3:$A$26,0),MATCH($A21,Acct1_Raw!$B$1:$BO$1,0))),0)</f>
        <v/>
      </c>
      <c r="D21" s="70">
        <f>IFERROR(IF(Months_Ref!$A$4="",0,INDEX(Acct1_Raw!$B$3:$BO$26,MATCH(Months_Ref!$A$4,Acct1_Raw!$A$3:$A$26,0),MATCH($A21,Acct1_Raw!$B$1:$BO$1,0))),0)</f>
        <v/>
      </c>
      <c r="E21" s="70">
        <f>IFERROR(IF(Months_Ref!$A$5="",0,INDEX(Acct1_Raw!$B$3:$BO$26,MATCH(Months_Ref!$A$5,Acct1_Raw!$A$3:$A$26,0),MATCH($A21,Acct1_Raw!$B$1:$BO$1,0))),0)</f>
        <v/>
      </c>
      <c r="F21" s="70">
        <f>IFERROR(IF(Months_Ref!$A$6="",0,INDEX(Acct1_Raw!$B$3:$BO$26,MATCH(Months_Ref!$A$6,Acct1_Raw!$A$3:$A$26,0),MATCH($A21,Acct1_Raw!$B$1:$BO$1,0))),0)</f>
        <v/>
      </c>
      <c r="G21" s="70">
        <f>IFERROR(IF(Months_Ref!$A$7="",0,INDEX(Acct1_Raw!$B$3:$BO$26,MATCH(Months_Ref!$A$7,Acct1_Raw!$A$3:$A$26,0),MATCH($A21,Acct1_Raw!$B$1:$BO$1,0))),0)</f>
        <v/>
      </c>
      <c r="H21" s="70">
        <f>IFERROR(IF(Months_Ref!$A$2="",0,INDEX(Acct2_Raw!$B$3:$BO$26,MATCH(Months_Ref!$A$2,Acct2_Raw!$A$3:$A$26,0),MATCH($A21,Acct2_Raw!$B$1:$BO$1,0))),0)</f>
        <v/>
      </c>
      <c r="I21" s="70">
        <f>IFERROR(IF(Months_Ref!$A$3="",0,INDEX(Acct2_Raw!$B$3:$BO$26,MATCH(Months_Ref!$A$3,Acct2_Raw!$A$3:$A$26,0),MATCH($A21,Acct2_Raw!$B$1:$BO$1,0))),0)</f>
        <v/>
      </c>
      <c r="J21" s="70">
        <f>IFERROR(IF(Months_Ref!$A$4="",0,INDEX(Acct2_Raw!$B$3:$BO$26,MATCH(Months_Ref!$A$4,Acct2_Raw!$A$3:$A$26,0),MATCH($A21,Acct2_Raw!$B$1:$BO$1,0))),0)</f>
        <v/>
      </c>
      <c r="K21" s="70">
        <f>IFERROR(IF(Months_Ref!$A$5="",0,INDEX(Acct2_Raw!$B$3:$BO$26,MATCH(Months_Ref!$A$5,Acct2_Raw!$A$3:$A$26,0),MATCH($A21,Acct2_Raw!$B$1:$BO$1,0))),0)</f>
        <v/>
      </c>
      <c r="L21" s="70">
        <f>IFERROR(IF(Months_Ref!$A$6="",0,INDEX(Acct2_Raw!$B$3:$BO$26,MATCH(Months_Ref!$A$6,Acct2_Raw!$A$3:$A$26,0),MATCH($A21,Acct2_Raw!$B$1:$BO$1,0))),0)</f>
        <v/>
      </c>
      <c r="M21" s="70">
        <f>IFERROR(IF(Months_Ref!$A$7="",0,INDEX(Acct2_Raw!$B$3:$BO$26,MATCH(Months_Ref!$A$7,Acct2_Raw!$A$3:$A$26,0),MATCH($A21,Acct2_Raw!$B$1:$BO$1,0))),0)</f>
        <v/>
      </c>
      <c r="N21" s="70">
        <f>B21+H21</f>
        <v/>
      </c>
      <c r="O21" s="70">
        <f>C21+I21</f>
        <v/>
      </c>
      <c r="P21" s="70">
        <f>D21+J21</f>
        <v/>
      </c>
      <c r="Q21" s="70">
        <f>E21+K21</f>
        <v/>
      </c>
      <c r="R21" s="70">
        <f>F21+L21</f>
        <v/>
      </c>
      <c r="S21" s="70">
        <f>G21+M21</f>
        <v/>
      </c>
    </row>
    <row r="22" ht="15" customHeight="1" s="65">
      <c r="A22" s="72" t="inlineStr">
        <is>
          <t>DMS($)</t>
        </is>
      </c>
      <c r="B22" s="70">
        <f>IFERROR(IF(Months_Ref!$A$2="",0,INDEX(Acct1_Raw!$B$3:$BO$26,MATCH(Months_Ref!$A$2,Acct1_Raw!$A$3:$A$26,0),MATCH($A22,Acct1_Raw!$B$1:$BO$1,0))),0)</f>
        <v/>
      </c>
      <c r="C22" s="70">
        <f>IFERROR(IF(Months_Ref!$A$3="",0,INDEX(Acct1_Raw!$B$3:$BO$26,MATCH(Months_Ref!$A$3,Acct1_Raw!$A$3:$A$26,0),MATCH($A22,Acct1_Raw!$B$1:$BO$1,0))),0)</f>
        <v/>
      </c>
      <c r="D22" s="70">
        <f>IFERROR(IF(Months_Ref!$A$4="",0,INDEX(Acct1_Raw!$B$3:$BO$26,MATCH(Months_Ref!$A$4,Acct1_Raw!$A$3:$A$26,0),MATCH($A22,Acct1_Raw!$B$1:$BO$1,0))),0)</f>
        <v/>
      </c>
      <c r="E22" s="70">
        <f>IFERROR(IF(Months_Ref!$A$5="",0,INDEX(Acct1_Raw!$B$3:$BO$26,MATCH(Months_Ref!$A$5,Acct1_Raw!$A$3:$A$26,0),MATCH($A22,Acct1_Raw!$B$1:$BO$1,0))),0)</f>
        <v/>
      </c>
      <c r="F22" s="70">
        <f>IFERROR(IF(Months_Ref!$A$6="",0,INDEX(Acct1_Raw!$B$3:$BO$26,MATCH(Months_Ref!$A$6,Acct1_Raw!$A$3:$A$26,0),MATCH($A22,Acct1_Raw!$B$1:$BO$1,0))),0)</f>
        <v/>
      </c>
      <c r="G22" s="70">
        <f>IFERROR(IF(Months_Ref!$A$7="",0,INDEX(Acct1_Raw!$B$3:$BO$26,MATCH(Months_Ref!$A$7,Acct1_Raw!$A$3:$A$26,0),MATCH($A22,Acct1_Raw!$B$1:$BO$1,0))),0)</f>
        <v/>
      </c>
      <c r="H22" s="70">
        <f>IFERROR(IF(Months_Ref!$A$2="",0,INDEX(Acct2_Raw!$B$3:$BO$26,MATCH(Months_Ref!$A$2,Acct2_Raw!$A$3:$A$26,0),MATCH($A22,Acct2_Raw!$B$1:$BO$1,0))),0)</f>
        <v/>
      </c>
      <c r="I22" s="70">
        <f>IFERROR(IF(Months_Ref!$A$3="",0,INDEX(Acct2_Raw!$B$3:$BO$26,MATCH(Months_Ref!$A$3,Acct2_Raw!$A$3:$A$26,0),MATCH($A22,Acct2_Raw!$B$1:$BO$1,0))),0)</f>
        <v/>
      </c>
      <c r="J22" s="70">
        <f>IFERROR(IF(Months_Ref!$A$4="",0,INDEX(Acct2_Raw!$B$3:$BO$26,MATCH(Months_Ref!$A$4,Acct2_Raw!$A$3:$A$26,0),MATCH($A22,Acct2_Raw!$B$1:$BO$1,0))),0)</f>
        <v/>
      </c>
      <c r="K22" s="70">
        <f>IFERROR(IF(Months_Ref!$A$5="",0,INDEX(Acct2_Raw!$B$3:$BO$26,MATCH(Months_Ref!$A$5,Acct2_Raw!$A$3:$A$26,0),MATCH($A22,Acct2_Raw!$B$1:$BO$1,0))),0)</f>
        <v/>
      </c>
      <c r="L22" s="70">
        <f>IFERROR(IF(Months_Ref!$A$6="",0,INDEX(Acct2_Raw!$B$3:$BO$26,MATCH(Months_Ref!$A$6,Acct2_Raw!$A$3:$A$26,0),MATCH($A22,Acct2_Raw!$B$1:$BO$1,0))),0)</f>
        <v/>
      </c>
      <c r="M22" s="70">
        <f>IFERROR(IF(Months_Ref!$A$7="",0,INDEX(Acct2_Raw!$B$3:$BO$26,MATCH(Months_Ref!$A$7,Acct2_Raw!$A$3:$A$26,0),MATCH($A22,Acct2_Raw!$B$1:$BO$1,0))),0)</f>
        <v/>
      </c>
      <c r="N22" s="70">
        <f>B22+H22</f>
        <v/>
      </c>
      <c r="O22" s="70">
        <f>C22+I22</f>
        <v/>
      </c>
      <c r="P22" s="70">
        <f>D22+J22</f>
        <v/>
      </c>
      <c r="Q22" s="70">
        <f>E22+K22</f>
        <v/>
      </c>
      <c r="R22" s="70">
        <f>F22+L22</f>
        <v/>
      </c>
      <c r="S22" s="70">
        <f>G22+M22</f>
        <v/>
      </c>
    </row>
    <row r="23" ht="15" customHeight="1" s="65">
      <c r="A23" s="72" t="inlineStr">
        <is>
          <t>DataSync($)</t>
        </is>
      </c>
      <c r="B23" s="70">
        <f>IFERROR(IF(Months_Ref!$A$2="",0,INDEX(Acct1_Raw!$B$3:$BO$26,MATCH(Months_Ref!$A$2,Acct1_Raw!$A$3:$A$26,0),MATCH($A23,Acct1_Raw!$B$1:$BO$1,0))),0)</f>
        <v/>
      </c>
      <c r="C23" s="70">
        <f>IFERROR(IF(Months_Ref!$A$3="",0,INDEX(Acct1_Raw!$B$3:$BO$26,MATCH(Months_Ref!$A$3,Acct1_Raw!$A$3:$A$26,0),MATCH($A23,Acct1_Raw!$B$1:$BO$1,0))),0)</f>
        <v/>
      </c>
      <c r="D23" s="70">
        <f>IFERROR(IF(Months_Ref!$A$4="",0,INDEX(Acct1_Raw!$B$3:$BO$26,MATCH(Months_Ref!$A$4,Acct1_Raw!$A$3:$A$26,0),MATCH($A23,Acct1_Raw!$B$1:$BO$1,0))),0)</f>
        <v/>
      </c>
      <c r="E23" s="70">
        <f>IFERROR(IF(Months_Ref!$A$5="",0,INDEX(Acct1_Raw!$B$3:$BO$26,MATCH(Months_Ref!$A$5,Acct1_Raw!$A$3:$A$26,0),MATCH($A23,Acct1_Raw!$B$1:$BO$1,0))),0)</f>
        <v/>
      </c>
      <c r="F23" s="70">
        <f>IFERROR(IF(Months_Ref!$A$6="",0,INDEX(Acct1_Raw!$B$3:$BO$26,MATCH(Months_Ref!$A$6,Acct1_Raw!$A$3:$A$26,0),MATCH($A23,Acct1_Raw!$B$1:$BO$1,0))),0)</f>
        <v/>
      </c>
      <c r="G23" s="70">
        <f>IFERROR(IF(Months_Ref!$A$7="",0,INDEX(Acct1_Raw!$B$3:$BO$26,MATCH(Months_Ref!$A$7,Acct1_Raw!$A$3:$A$26,0),MATCH($A23,Acct1_Raw!$B$1:$BO$1,0))),0)</f>
        <v/>
      </c>
      <c r="H23" s="70">
        <f>IFERROR(IF(Months_Ref!$A$2="",0,INDEX(Acct2_Raw!$B$3:$BO$26,MATCH(Months_Ref!$A$2,Acct2_Raw!$A$3:$A$26,0),MATCH($A23,Acct2_Raw!$B$1:$BO$1,0))),0)</f>
        <v/>
      </c>
      <c r="I23" s="70">
        <f>IFERROR(IF(Months_Ref!$A$3="",0,INDEX(Acct2_Raw!$B$3:$BO$26,MATCH(Months_Ref!$A$3,Acct2_Raw!$A$3:$A$26,0),MATCH($A23,Acct2_Raw!$B$1:$BO$1,0))),0)</f>
        <v/>
      </c>
      <c r="J23" s="70">
        <f>IFERROR(IF(Months_Ref!$A$4="",0,INDEX(Acct2_Raw!$B$3:$BO$26,MATCH(Months_Ref!$A$4,Acct2_Raw!$A$3:$A$26,0),MATCH($A23,Acct2_Raw!$B$1:$BO$1,0))),0)</f>
        <v/>
      </c>
      <c r="K23" s="70">
        <f>IFERROR(IF(Months_Ref!$A$5="",0,INDEX(Acct2_Raw!$B$3:$BO$26,MATCH(Months_Ref!$A$5,Acct2_Raw!$A$3:$A$26,0),MATCH($A23,Acct2_Raw!$B$1:$BO$1,0))),0)</f>
        <v/>
      </c>
      <c r="L23" s="70">
        <f>IFERROR(IF(Months_Ref!$A$6="",0,INDEX(Acct2_Raw!$B$3:$BO$26,MATCH(Months_Ref!$A$6,Acct2_Raw!$A$3:$A$26,0),MATCH($A23,Acct2_Raw!$B$1:$BO$1,0))),0)</f>
        <v/>
      </c>
      <c r="M23" s="70">
        <f>IFERROR(IF(Months_Ref!$A$7="",0,INDEX(Acct2_Raw!$B$3:$BO$26,MATCH(Months_Ref!$A$7,Acct2_Raw!$A$3:$A$26,0),MATCH($A23,Acct2_Raw!$B$1:$BO$1,0))),0)</f>
        <v/>
      </c>
      <c r="N23" s="70">
        <f>B23+H23</f>
        <v/>
      </c>
      <c r="O23" s="70">
        <f>C23+I23</f>
        <v/>
      </c>
      <c r="P23" s="70">
        <f>D23+J23</f>
        <v/>
      </c>
      <c r="Q23" s="70">
        <f>E23+K23</f>
        <v/>
      </c>
      <c r="R23" s="70">
        <f>F23+L23</f>
        <v/>
      </c>
      <c r="S23" s="70">
        <f>G23+M23</f>
        <v/>
      </c>
    </row>
    <row r="24" ht="15" customHeight="1" s="65">
      <c r="A24" s="72" t="inlineStr">
        <is>
          <t>Direct Connect($)</t>
        </is>
      </c>
      <c r="B24" s="70">
        <f>IFERROR(IF(Months_Ref!$A$2="",0,INDEX(Acct1_Raw!$B$3:$BO$26,MATCH(Months_Ref!$A$2,Acct1_Raw!$A$3:$A$26,0),MATCH($A24,Acct1_Raw!$B$1:$BO$1,0))),0)</f>
        <v/>
      </c>
      <c r="C24" s="70">
        <f>IFERROR(IF(Months_Ref!$A$3="",0,INDEX(Acct1_Raw!$B$3:$BO$26,MATCH(Months_Ref!$A$3,Acct1_Raw!$A$3:$A$26,0),MATCH($A24,Acct1_Raw!$B$1:$BO$1,0))),0)</f>
        <v/>
      </c>
      <c r="D24" s="70">
        <f>IFERROR(IF(Months_Ref!$A$4="",0,INDEX(Acct1_Raw!$B$3:$BO$26,MATCH(Months_Ref!$A$4,Acct1_Raw!$A$3:$A$26,0),MATCH($A24,Acct1_Raw!$B$1:$BO$1,0))),0)</f>
        <v/>
      </c>
      <c r="E24" s="70">
        <f>IFERROR(IF(Months_Ref!$A$5="",0,INDEX(Acct1_Raw!$B$3:$BO$26,MATCH(Months_Ref!$A$5,Acct1_Raw!$A$3:$A$26,0),MATCH($A24,Acct1_Raw!$B$1:$BO$1,0))),0)</f>
        <v/>
      </c>
      <c r="F24" s="70">
        <f>IFERROR(IF(Months_Ref!$A$6="",0,INDEX(Acct1_Raw!$B$3:$BO$26,MATCH(Months_Ref!$A$6,Acct1_Raw!$A$3:$A$26,0),MATCH($A24,Acct1_Raw!$B$1:$BO$1,0))),0)</f>
        <v/>
      </c>
      <c r="G24" s="70">
        <f>IFERROR(IF(Months_Ref!$A$7="",0,INDEX(Acct1_Raw!$B$3:$BO$26,MATCH(Months_Ref!$A$7,Acct1_Raw!$A$3:$A$26,0),MATCH($A24,Acct1_Raw!$B$1:$BO$1,0))),0)</f>
        <v/>
      </c>
      <c r="H24" s="70">
        <f>IFERROR(IF(Months_Ref!$A$2="",0,INDEX(Acct2_Raw!$B$3:$BO$26,MATCH(Months_Ref!$A$2,Acct2_Raw!$A$3:$A$26,0),MATCH($A24,Acct2_Raw!$B$1:$BO$1,0))),0)</f>
        <v/>
      </c>
      <c r="I24" s="70">
        <f>IFERROR(IF(Months_Ref!$A$3="",0,INDEX(Acct2_Raw!$B$3:$BO$26,MATCH(Months_Ref!$A$3,Acct2_Raw!$A$3:$A$26,0),MATCH($A24,Acct2_Raw!$B$1:$BO$1,0))),0)</f>
        <v/>
      </c>
      <c r="J24" s="70">
        <f>IFERROR(IF(Months_Ref!$A$4="",0,INDEX(Acct2_Raw!$B$3:$BO$26,MATCH(Months_Ref!$A$4,Acct2_Raw!$A$3:$A$26,0),MATCH($A24,Acct2_Raw!$B$1:$BO$1,0))),0)</f>
        <v/>
      </c>
      <c r="K24" s="70">
        <f>IFERROR(IF(Months_Ref!$A$5="",0,INDEX(Acct2_Raw!$B$3:$BO$26,MATCH(Months_Ref!$A$5,Acct2_Raw!$A$3:$A$26,0),MATCH($A24,Acct2_Raw!$B$1:$BO$1,0))),0)</f>
        <v/>
      </c>
      <c r="L24" s="70">
        <f>IFERROR(IF(Months_Ref!$A$6="",0,INDEX(Acct2_Raw!$B$3:$BO$26,MATCH(Months_Ref!$A$6,Acct2_Raw!$A$3:$A$26,0),MATCH($A24,Acct2_Raw!$B$1:$BO$1,0))),0)</f>
        <v/>
      </c>
      <c r="M24" s="70">
        <f>IFERROR(IF(Months_Ref!$A$7="",0,INDEX(Acct2_Raw!$B$3:$BO$26,MATCH(Months_Ref!$A$7,Acct2_Raw!$A$3:$A$26,0),MATCH($A24,Acct2_Raw!$B$1:$BO$1,0))),0)</f>
        <v/>
      </c>
      <c r="N24" s="70">
        <f>B24+H24</f>
        <v/>
      </c>
      <c r="O24" s="70">
        <f>C24+I24</f>
        <v/>
      </c>
      <c r="P24" s="70">
        <f>D24+J24</f>
        <v/>
      </c>
      <c r="Q24" s="70">
        <f>E24+K24</f>
        <v/>
      </c>
      <c r="R24" s="70">
        <f>F24+L24</f>
        <v/>
      </c>
      <c r="S24" s="70">
        <f>G24+M24</f>
        <v/>
      </c>
    </row>
    <row r="25" ht="15" customHeight="1" s="65">
      <c r="A25" s="72" t="inlineStr">
        <is>
          <t>DynamoDB($)</t>
        </is>
      </c>
      <c r="B25" s="70">
        <f>IFERROR(IF(Months_Ref!$A$2="",0,INDEX(Acct1_Raw!$B$3:$BO$26,MATCH(Months_Ref!$A$2,Acct1_Raw!$A$3:$A$26,0),MATCH($A25,Acct1_Raw!$B$1:$BO$1,0))),0)</f>
        <v/>
      </c>
      <c r="C25" s="70">
        <f>IFERROR(IF(Months_Ref!$A$3="",0,INDEX(Acct1_Raw!$B$3:$BO$26,MATCH(Months_Ref!$A$3,Acct1_Raw!$A$3:$A$26,0),MATCH($A25,Acct1_Raw!$B$1:$BO$1,0))),0)</f>
        <v/>
      </c>
      <c r="D25" s="70">
        <f>IFERROR(IF(Months_Ref!$A$4="",0,INDEX(Acct1_Raw!$B$3:$BO$26,MATCH(Months_Ref!$A$4,Acct1_Raw!$A$3:$A$26,0),MATCH($A25,Acct1_Raw!$B$1:$BO$1,0))),0)</f>
        <v/>
      </c>
      <c r="E25" s="70">
        <f>IFERROR(IF(Months_Ref!$A$5="",0,INDEX(Acct1_Raw!$B$3:$BO$26,MATCH(Months_Ref!$A$5,Acct1_Raw!$A$3:$A$26,0),MATCH($A25,Acct1_Raw!$B$1:$BO$1,0))),0)</f>
        <v/>
      </c>
      <c r="F25" s="70">
        <f>IFERROR(IF(Months_Ref!$A$6="",0,INDEX(Acct1_Raw!$B$3:$BO$26,MATCH(Months_Ref!$A$6,Acct1_Raw!$A$3:$A$26,0),MATCH($A25,Acct1_Raw!$B$1:$BO$1,0))),0)</f>
        <v/>
      </c>
      <c r="G25" s="70">
        <f>IFERROR(IF(Months_Ref!$A$7="",0,INDEX(Acct1_Raw!$B$3:$BO$26,MATCH(Months_Ref!$A$7,Acct1_Raw!$A$3:$A$26,0),MATCH($A25,Acct1_Raw!$B$1:$BO$1,0))),0)</f>
        <v/>
      </c>
      <c r="H25" s="70">
        <f>IFERROR(IF(Months_Ref!$A$2="",0,INDEX(Acct2_Raw!$B$3:$BO$26,MATCH(Months_Ref!$A$2,Acct2_Raw!$A$3:$A$26,0),MATCH($A25,Acct2_Raw!$B$1:$BO$1,0))),0)</f>
        <v/>
      </c>
      <c r="I25" s="70">
        <f>IFERROR(IF(Months_Ref!$A$3="",0,INDEX(Acct2_Raw!$B$3:$BO$26,MATCH(Months_Ref!$A$3,Acct2_Raw!$A$3:$A$26,0),MATCH($A25,Acct2_Raw!$B$1:$BO$1,0))),0)</f>
        <v/>
      </c>
      <c r="J25" s="70">
        <f>IFERROR(IF(Months_Ref!$A$4="",0,INDEX(Acct2_Raw!$B$3:$BO$26,MATCH(Months_Ref!$A$4,Acct2_Raw!$A$3:$A$26,0),MATCH($A25,Acct2_Raw!$B$1:$BO$1,0))),0)</f>
        <v/>
      </c>
      <c r="K25" s="70">
        <f>IFERROR(IF(Months_Ref!$A$5="",0,INDEX(Acct2_Raw!$B$3:$BO$26,MATCH(Months_Ref!$A$5,Acct2_Raw!$A$3:$A$26,0),MATCH($A25,Acct2_Raw!$B$1:$BO$1,0))),0)</f>
        <v/>
      </c>
      <c r="L25" s="70">
        <f>IFERROR(IF(Months_Ref!$A$6="",0,INDEX(Acct2_Raw!$B$3:$BO$26,MATCH(Months_Ref!$A$6,Acct2_Raw!$A$3:$A$26,0),MATCH($A25,Acct2_Raw!$B$1:$BO$1,0))),0)</f>
        <v/>
      </c>
      <c r="M25" s="70">
        <f>IFERROR(IF(Months_Ref!$A$7="",0,INDEX(Acct2_Raw!$B$3:$BO$26,MATCH(Months_Ref!$A$7,Acct2_Raw!$A$3:$A$26,0),MATCH($A25,Acct2_Raw!$B$1:$BO$1,0))),0)</f>
        <v/>
      </c>
      <c r="N25" s="70">
        <f>B25+H25</f>
        <v/>
      </c>
      <c r="O25" s="70">
        <f>C25+I25</f>
        <v/>
      </c>
      <c r="P25" s="70">
        <f>D25+J25</f>
        <v/>
      </c>
      <c r="Q25" s="70">
        <f>E25+K25</f>
        <v/>
      </c>
      <c r="R25" s="70">
        <f>F25+L25</f>
        <v/>
      </c>
      <c r="S25" s="70">
        <f>G25+M25</f>
        <v/>
      </c>
    </row>
    <row r="26" ht="15" customHeight="1" s="65">
      <c r="A26" s="72" t="inlineStr">
        <is>
          <t>EC2-Instances($)</t>
        </is>
      </c>
      <c r="B26" s="70">
        <f>IFERROR(IF(Months_Ref!$A$2="",0,INDEX(Acct1_Raw!$B$3:$BO$26,MATCH(Months_Ref!$A$2,Acct1_Raw!$A$3:$A$26,0),MATCH($A26,Acct1_Raw!$B$1:$BO$1,0))),0)</f>
        <v/>
      </c>
      <c r="C26" s="70">
        <f>IFERROR(IF(Months_Ref!$A$3="",0,INDEX(Acct1_Raw!$B$3:$BO$26,MATCH(Months_Ref!$A$3,Acct1_Raw!$A$3:$A$26,0),MATCH($A26,Acct1_Raw!$B$1:$BO$1,0))),0)</f>
        <v/>
      </c>
      <c r="D26" s="70">
        <f>IFERROR(IF(Months_Ref!$A$4="",0,INDEX(Acct1_Raw!$B$3:$BO$26,MATCH(Months_Ref!$A$4,Acct1_Raw!$A$3:$A$26,0),MATCH($A26,Acct1_Raw!$B$1:$BO$1,0))),0)</f>
        <v/>
      </c>
      <c r="E26" s="70">
        <f>IFERROR(IF(Months_Ref!$A$5="",0,INDEX(Acct1_Raw!$B$3:$BO$26,MATCH(Months_Ref!$A$5,Acct1_Raw!$A$3:$A$26,0),MATCH($A26,Acct1_Raw!$B$1:$BO$1,0))),0)</f>
        <v/>
      </c>
      <c r="F26" s="70">
        <f>IFERROR(IF(Months_Ref!$A$6="",0,INDEX(Acct1_Raw!$B$3:$BO$26,MATCH(Months_Ref!$A$6,Acct1_Raw!$A$3:$A$26,0),MATCH($A26,Acct1_Raw!$B$1:$BO$1,0))),0)</f>
        <v/>
      </c>
      <c r="G26" s="70">
        <f>IFERROR(IF(Months_Ref!$A$7="",0,INDEX(Acct1_Raw!$B$3:$BO$26,MATCH(Months_Ref!$A$7,Acct1_Raw!$A$3:$A$26,0),MATCH($A26,Acct1_Raw!$B$1:$BO$1,0))),0)</f>
        <v/>
      </c>
      <c r="H26" s="70">
        <f>IFERROR(IF(Months_Ref!$A$2="",0,INDEX(Acct2_Raw!$B$3:$BO$26,MATCH(Months_Ref!$A$2,Acct2_Raw!$A$3:$A$26,0),MATCH($A26,Acct2_Raw!$B$1:$BO$1,0))),0)</f>
        <v/>
      </c>
      <c r="I26" s="70">
        <f>IFERROR(IF(Months_Ref!$A$3="",0,INDEX(Acct2_Raw!$B$3:$BO$26,MATCH(Months_Ref!$A$3,Acct2_Raw!$A$3:$A$26,0),MATCH($A26,Acct2_Raw!$B$1:$BO$1,0))),0)</f>
        <v/>
      </c>
      <c r="J26" s="70">
        <f>IFERROR(IF(Months_Ref!$A$4="",0,INDEX(Acct2_Raw!$B$3:$BO$26,MATCH(Months_Ref!$A$4,Acct2_Raw!$A$3:$A$26,0),MATCH($A26,Acct2_Raw!$B$1:$BO$1,0))),0)</f>
        <v/>
      </c>
      <c r="K26" s="70">
        <f>IFERROR(IF(Months_Ref!$A$5="",0,INDEX(Acct2_Raw!$B$3:$BO$26,MATCH(Months_Ref!$A$5,Acct2_Raw!$A$3:$A$26,0),MATCH($A26,Acct2_Raw!$B$1:$BO$1,0))),0)</f>
        <v/>
      </c>
      <c r="L26" s="70">
        <f>IFERROR(IF(Months_Ref!$A$6="",0,INDEX(Acct2_Raw!$B$3:$BO$26,MATCH(Months_Ref!$A$6,Acct2_Raw!$A$3:$A$26,0),MATCH($A26,Acct2_Raw!$B$1:$BO$1,0))),0)</f>
        <v/>
      </c>
      <c r="M26" s="70">
        <f>IFERROR(IF(Months_Ref!$A$7="",0,INDEX(Acct2_Raw!$B$3:$BO$26,MATCH(Months_Ref!$A$7,Acct2_Raw!$A$3:$A$26,0),MATCH($A26,Acct2_Raw!$B$1:$BO$1,0))),0)</f>
        <v/>
      </c>
      <c r="N26" s="70">
        <f>B26+H26</f>
        <v/>
      </c>
      <c r="O26" s="70">
        <f>C26+I26</f>
        <v/>
      </c>
      <c r="P26" s="70">
        <f>D26+J26</f>
        <v/>
      </c>
      <c r="Q26" s="70">
        <f>E26+K26</f>
        <v/>
      </c>
      <c r="R26" s="70">
        <f>F26+L26</f>
        <v/>
      </c>
      <c r="S26" s="70">
        <f>G26+M26</f>
        <v/>
      </c>
    </row>
    <row r="27" ht="15" customHeight="1" s="65">
      <c r="A27" s="72" t="inlineStr">
        <is>
          <t>ECR($)</t>
        </is>
      </c>
      <c r="B27" s="70">
        <f>IFERROR(IF(Months_Ref!$A$2="",0,INDEX(Acct1_Raw!$B$3:$BO$26,MATCH(Months_Ref!$A$2,Acct1_Raw!$A$3:$A$26,0),MATCH($A27,Acct1_Raw!$B$1:$BO$1,0))),0)</f>
        <v/>
      </c>
      <c r="C27" s="70">
        <f>IFERROR(IF(Months_Ref!$A$3="",0,INDEX(Acct1_Raw!$B$3:$BO$26,MATCH(Months_Ref!$A$3,Acct1_Raw!$A$3:$A$26,0),MATCH($A27,Acct1_Raw!$B$1:$BO$1,0))),0)</f>
        <v/>
      </c>
      <c r="D27" s="70">
        <f>IFERROR(IF(Months_Ref!$A$4="",0,INDEX(Acct1_Raw!$B$3:$BO$26,MATCH(Months_Ref!$A$4,Acct1_Raw!$A$3:$A$26,0),MATCH($A27,Acct1_Raw!$B$1:$BO$1,0))),0)</f>
        <v/>
      </c>
      <c r="E27" s="70">
        <f>IFERROR(IF(Months_Ref!$A$5="",0,INDEX(Acct1_Raw!$B$3:$BO$26,MATCH(Months_Ref!$A$5,Acct1_Raw!$A$3:$A$26,0),MATCH($A27,Acct1_Raw!$B$1:$BO$1,0))),0)</f>
        <v/>
      </c>
      <c r="F27" s="70">
        <f>IFERROR(IF(Months_Ref!$A$6="",0,INDEX(Acct1_Raw!$B$3:$BO$26,MATCH(Months_Ref!$A$6,Acct1_Raw!$A$3:$A$26,0),MATCH($A27,Acct1_Raw!$B$1:$BO$1,0))),0)</f>
        <v/>
      </c>
      <c r="G27" s="70">
        <f>IFERROR(IF(Months_Ref!$A$7="",0,INDEX(Acct1_Raw!$B$3:$BO$26,MATCH(Months_Ref!$A$7,Acct1_Raw!$A$3:$A$26,0),MATCH($A27,Acct1_Raw!$B$1:$BO$1,0))),0)</f>
        <v/>
      </c>
      <c r="H27" s="70">
        <f>IFERROR(IF(Months_Ref!$A$2="",0,INDEX(Acct2_Raw!$B$3:$BO$26,MATCH(Months_Ref!$A$2,Acct2_Raw!$A$3:$A$26,0),MATCH($A27,Acct2_Raw!$B$1:$BO$1,0))),0)</f>
        <v/>
      </c>
      <c r="I27" s="70">
        <f>IFERROR(IF(Months_Ref!$A$3="",0,INDEX(Acct2_Raw!$B$3:$BO$26,MATCH(Months_Ref!$A$3,Acct2_Raw!$A$3:$A$26,0),MATCH($A27,Acct2_Raw!$B$1:$BO$1,0))),0)</f>
        <v/>
      </c>
      <c r="J27" s="70">
        <f>IFERROR(IF(Months_Ref!$A$4="",0,INDEX(Acct2_Raw!$B$3:$BO$26,MATCH(Months_Ref!$A$4,Acct2_Raw!$A$3:$A$26,0),MATCH($A27,Acct2_Raw!$B$1:$BO$1,0))),0)</f>
        <v/>
      </c>
      <c r="K27" s="70">
        <f>IFERROR(IF(Months_Ref!$A$5="",0,INDEX(Acct2_Raw!$B$3:$BO$26,MATCH(Months_Ref!$A$5,Acct2_Raw!$A$3:$A$26,0),MATCH($A27,Acct2_Raw!$B$1:$BO$1,0))),0)</f>
        <v/>
      </c>
      <c r="L27" s="70">
        <f>IFERROR(IF(Months_Ref!$A$6="",0,INDEX(Acct2_Raw!$B$3:$BO$26,MATCH(Months_Ref!$A$6,Acct2_Raw!$A$3:$A$26,0),MATCH($A27,Acct2_Raw!$B$1:$BO$1,0))),0)</f>
        <v/>
      </c>
      <c r="M27" s="70">
        <f>IFERROR(IF(Months_Ref!$A$7="",0,INDEX(Acct2_Raw!$B$3:$BO$26,MATCH(Months_Ref!$A$7,Acct2_Raw!$A$3:$A$26,0),MATCH($A27,Acct2_Raw!$B$1:$BO$1,0))),0)</f>
        <v/>
      </c>
      <c r="N27" s="70">
        <f>B27+H27</f>
        <v/>
      </c>
      <c r="O27" s="70">
        <f>C27+I27</f>
        <v/>
      </c>
      <c r="P27" s="70">
        <f>D27+J27</f>
        <v/>
      </c>
      <c r="Q27" s="70">
        <f>E27+K27</f>
        <v/>
      </c>
      <c r="R27" s="70">
        <f>F27+L27</f>
        <v/>
      </c>
      <c r="S27" s="70">
        <f>G27+M27</f>
        <v/>
      </c>
    </row>
    <row r="28" ht="15" customHeight="1" s="65">
      <c r="A28" s="72" t="inlineStr">
        <is>
          <t>ECS($)</t>
        </is>
      </c>
      <c r="B28" s="70">
        <f>IFERROR(IF(Months_Ref!$A$2="",0,INDEX(Acct1_Raw!$B$3:$BO$26,MATCH(Months_Ref!$A$2,Acct1_Raw!$A$3:$A$26,0),MATCH($A28,Acct1_Raw!$B$1:$BO$1,0))),0)</f>
        <v/>
      </c>
      <c r="C28" s="70">
        <f>IFERROR(IF(Months_Ref!$A$3="",0,INDEX(Acct1_Raw!$B$3:$BO$26,MATCH(Months_Ref!$A$3,Acct1_Raw!$A$3:$A$26,0),MATCH($A28,Acct1_Raw!$B$1:$BO$1,0))),0)</f>
        <v/>
      </c>
      <c r="D28" s="70">
        <f>IFERROR(IF(Months_Ref!$A$4="",0,INDEX(Acct1_Raw!$B$3:$BO$26,MATCH(Months_Ref!$A$4,Acct1_Raw!$A$3:$A$26,0),MATCH($A28,Acct1_Raw!$B$1:$BO$1,0))),0)</f>
        <v/>
      </c>
      <c r="E28" s="70">
        <f>IFERROR(IF(Months_Ref!$A$5="",0,INDEX(Acct1_Raw!$B$3:$BO$26,MATCH(Months_Ref!$A$5,Acct1_Raw!$A$3:$A$26,0),MATCH($A28,Acct1_Raw!$B$1:$BO$1,0))),0)</f>
        <v/>
      </c>
      <c r="F28" s="70">
        <f>IFERROR(IF(Months_Ref!$A$6="",0,INDEX(Acct1_Raw!$B$3:$BO$26,MATCH(Months_Ref!$A$6,Acct1_Raw!$A$3:$A$26,0),MATCH($A28,Acct1_Raw!$B$1:$BO$1,0))),0)</f>
        <v/>
      </c>
      <c r="G28" s="70">
        <f>IFERROR(IF(Months_Ref!$A$7="",0,INDEX(Acct1_Raw!$B$3:$BO$26,MATCH(Months_Ref!$A$7,Acct1_Raw!$A$3:$A$26,0),MATCH($A28,Acct1_Raw!$B$1:$BO$1,0))),0)</f>
        <v/>
      </c>
      <c r="H28" s="70">
        <f>IFERROR(IF(Months_Ref!$A$2="",0,INDEX(Acct2_Raw!$B$3:$BO$26,MATCH(Months_Ref!$A$2,Acct2_Raw!$A$3:$A$26,0),MATCH($A28,Acct2_Raw!$B$1:$BO$1,0))),0)</f>
        <v/>
      </c>
      <c r="I28" s="70">
        <f>IFERROR(IF(Months_Ref!$A$3="",0,INDEX(Acct2_Raw!$B$3:$BO$26,MATCH(Months_Ref!$A$3,Acct2_Raw!$A$3:$A$26,0),MATCH($A28,Acct2_Raw!$B$1:$BO$1,0))),0)</f>
        <v/>
      </c>
      <c r="J28" s="70">
        <f>IFERROR(IF(Months_Ref!$A$4="",0,INDEX(Acct2_Raw!$B$3:$BO$26,MATCH(Months_Ref!$A$4,Acct2_Raw!$A$3:$A$26,0),MATCH($A28,Acct2_Raw!$B$1:$BO$1,0))),0)</f>
        <v/>
      </c>
      <c r="K28" s="70">
        <f>IFERROR(IF(Months_Ref!$A$5="",0,INDEX(Acct2_Raw!$B$3:$BO$26,MATCH(Months_Ref!$A$5,Acct2_Raw!$A$3:$A$26,0),MATCH($A28,Acct2_Raw!$B$1:$BO$1,0))),0)</f>
        <v/>
      </c>
      <c r="L28" s="70">
        <f>IFERROR(IF(Months_Ref!$A$6="",0,INDEX(Acct2_Raw!$B$3:$BO$26,MATCH(Months_Ref!$A$6,Acct2_Raw!$A$3:$A$26,0),MATCH($A28,Acct2_Raw!$B$1:$BO$1,0))),0)</f>
        <v/>
      </c>
      <c r="M28" s="70">
        <f>IFERROR(IF(Months_Ref!$A$7="",0,INDEX(Acct2_Raw!$B$3:$BO$26,MATCH(Months_Ref!$A$7,Acct2_Raw!$A$3:$A$26,0),MATCH($A28,Acct2_Raw!$B$1:$BO$1,0))),0)</f>
        <v/>
      </c>
      <c r="N28" s="70">
        <f>B28+H28</f>
        <v/>
      </c>
      <c r="O28" s="70">
        <f>C28+I28</f>
        <v/>
      </c>
      <c r="P28" s="70">
        <f>D28+J28</f>
        <v/>
      </c>
      <c r="Q28" s="70">
        <f>E28+K28</f>
        <v/>
      </c>
      <c r="R28" s="70">
        <f>F28+L28</f>
        <v/>
      </c>
      <c r="S28" s="70">
        <f>G28+M28</f>
        <v/>
      </c>
    </row>
    <row r="29" ht="15" customHeight="1" s="65">
      <c r="A29" s="72" t="inlineStr">
        <is>
          <t>EKS($)</t>
        </is>
      </c>
      <c r="B29" s="70">
        <f>IFERROR(IF(Months_Ref!$A$2="",0,INDEX(Acct1_Raw!$B$3:$BO$26,MATCH(Months_Ref!$A$2,Acct1_Raw!$A$3:$A$26,0),MATCH($A29,Acct1_Raw!$B$1:$BO$1,0))),0)</f>
        <v/>
      </c>
      <c r="C29" s="70">
        <f>IFERROR(IF(Months_Ref!$A$3="",0,INDEX(Acct1_Raw!$B$3:$BO$26,MATCH(Months_Ref!$A$3,Acct1_Raw!$A$3:$A$26,0),MATCH($A29,Acct1_Raw!$B$1:$BO$1,0))),0)</f>
        <v/>
      </c>
      <c r="D29" s="70">
        <f>IFERROR(IF(Months_Ref!$A$4="",0,INDEX(Acct1_Raw!$B$3:$BO$26,MATCH(Months_Ref!$A$4,Acct1_Raw!$A$3:$A$26,0),MATCH($A29,Acct1_Raw!$B$1:$BO$1,0))),0)</f>
        <v/>
      </c>
      <c r="E29" s="70">
        <f>IFERROR(IF(Months_Ref!$A$5="",0,INDEX(Acct1_Raw!$B$3:$BO$26,MATCH(Months_Ref!$A$5,Acct1_Raw!$A$3:$A$26,0),MATCH($A29,Acct1_Raw!$B$1:$BO$1,0))),0)</f>
        <v/>
      </c>
      <c r="F29" s="70">
        <f>IFERROR(IF(Months_Ref!$A$6="",0,INDEX(Acct1_Raw!$B$3:$BO$26,MATCH(Months_Ref!$A$6,Acct1_Raw!$A$3:$A$26,0),MATCH($A29,Acct1_Raw!$B$1:$BO$1,0))),0)</f>
        <v/>
      </c>
      <c r="G29" s="70">
        <f>IFERROR(IF(Months_Ref!$A$7="",0,INDEX(Acct1_Raw!$B$3:$BO$26,MATCH(Months_Ref!$A$7,Acct1_Raw!$A$3:$A$26,0),MATCH($A29,Acct1_Raw!$B$1:$BO$1,0))),0)</f>
        <v/>
      </c>
      <c r="H29" s="70">
        <f>IFERROR(IF(Months_Ref!$A$2="",0,INDEX(Acct2_Raw!$B$3:$BO$26,MATCH(Months_Ref!$A$2,Acct2_Raw!$A$3:$A$26,0),MATCH($A29,Acct2_Raw!$B$1:$BO$1,0))),0)</f>
        <v/>
      </c>
      <c r="I29" s="70">
        <f>IFERROR(IF(Months_Ref!$A$3="",0,INDEX(Acct2_Raw!$B$3:$BO$26,MATCH(Months_Ref!$A$3,Acct2_Raw!$A$3:$A$26,0),MATCH($A29,Acct2_Raw!$B$1:$BO$1,0))),0)</f>
        <v/>
      </c>
      <c r="J29" s="70">
        <f>IFERROR(IF(Months_Ref!$A$4="",0,INDEX(Acct2_Raw!$B$3:$BO$26,MATCH(Months_Ref!$A$4,Acct2_Raw!$A$3:$A$26,0),MATCH($A29,Acct2_Raw!$B$1:$BO$1,0))),0)</f>
        <v/>
      </c>
      <c r="K29" s="70">
        <f>IFERROR(IF(Months_Ref!$A$5="",0,INDEX(Acct2_Raw!$B$3:$BO$26,MATCH(Months_Ref!$A$5,Acct2_Raw!$A$3:$A$26,0),MATCH($A29,Acct2_Raw!$B$1:$BO$1,0))),0)</f>
        <v/>
      </c>
      <c r="L29" s="70">
        <f>IFERROR(IF(Months_Ref!$A$6="",0,INDEX(Acct2_Raw!$B$3:$BO$26,MATCH(Months_Ref!$A$6,Acct2_Raw!$A$3:$A$26,0),MATCH($A29,Acct2_Raw!$B$1:$BO$1,0))),0)</f>
        <v/>
      </c>
      <c r="M29" s="70">
        <f>IFERROR(IF(Months_Ref!$A$7="",0,INDEX(Acct2_Raw!$B$3:$BO$26,MATCH(Months_Ref!$A$7,Acct2_Raw!$A$3:$A$26,0),MATCH($A29,Acct2_Raw!$B$1:$BO$1,0))),0)</f>
        <v/>
      </c>
      <c r="N29" s="70">
        <f>B29+H29</f>
        <v/>
      </c>
      <c r="O29" s="70">
        <f>C29+I29</f>
        <v/>
      </c>
      <c r="P29" s="70">
        <f>D29+J29</f>
        <v/>
      </c>
      <c r="Q29" s="70">
        <f>E29+K29</f>
        <v/>
      </c>
      <c r="R29" s="70">
        <f>F29+L29</f>
        <v/>
      </c>
      <c r="S29" s="70">
        <f>G29+M29</f>
        <v/>
      </c>
    </row>
    <row r="30" ht="15" customHeight="1" s="65">
      <c r="A30" s="72" t="inlineStr">
        <is>
          <t>EMR($)</t>
        </is>
      </c>
      <c r="B30" s="70">
        <f>IFERROR(IF(Months_Ref!$A$2="",0,INDEX(Acct1_Raw!$B$3:$BO$26,MATCH(Months_Ref!$A$2,Acct1_Raw!$A$3:$A$26,0),MATCH($A30,Acct1_Raw!$B$1:$BO$1,0))),0)</f>
        <v/>
      </c>
      <c r="C30" s="70">
        <f>IFERROR(IF(Months_Ref!$A$3="",0,INDEX(Acct1_Raw!$B$3:$BO$26,MATCH(Months_Ref!$A$3,Acct1_Raw!$A$3:$A$26,0),MATCH($A30,Acct1_Raw!$B$1:$BO$1,0))),0)</f>
        <v/>
      </c>
      <c r="D30" s="70">
        <f>IFERROR(IF(Months_Ref!$A$4="",0,INDEX(Acct1_Raw!$B$3:$BO$26,MATCH(Months_Ref!$A$4,Acct1_Raw!$A$3:$A$26,0),MATCH($A30,Acct1_Raw!$B$1:$BO$1,0))),0)</f>
        <v/>
      </c>
      <c r="E30" s="70">
        <f>IFERROR(IF(Months_Ref!$A$5="",0,INDEX(Acct1_Raw!$B$3:$BO$26,MATCH(Months_Ref!$A$5,Acct1_Raw!$A$3:$A$26,0),MATCH($A30,Acct1_Raw!$B$1:$BO$1,0))),0)</f>
        <v/>
      </c>
      <c r="F30" s="70">
        <f>IFERROR(IF(Months_Ref!$A$6="",0,INDEX(Acct1_Raw!$B$3:$BO$26,MATCH(Months_Ref!$A$6,Acct1_Raw!$A$3:$A$26,0),MATCH($A30,Acct1_Raw!$B$1:$BO$1,0))),0)</f>
        <v/>
      </c>
      <c r="G30" s="70">
        <f>IFERROR(IF(Months_Ref!$A$7="",0,INDEX(Acct1_Raw!$B$3:$BO$26,MATCH(Months_Ref!$A$7,Acct1_Raw!$A$3:$A$26,0),MATCH($A30,Acct1_Raw!$B$1:$BO$1,0))),0)</f>
        <v/>
      </c>
      <c r="H30" s="70">
        <f>IFERROR(IF(Months_Ref!$A$2="",0,INDEX(Acct2_Raw!$B$3:$BO$26,MATCH(Months_Ref!$A$2,Acct2_Raw!$A$3:$A$26,0),MATCH($A30,Acct2_Raw!$B$1:$BO$1,0))),0)</f>
        <v/>
      </c>
      <c r="I30" s="70">
        <f>IFERROR(IF(Months_Ref!$A$3="",0,INDEX(Acct2_Raw!$B$3:$BO$26,MATCH(Months_Ref!$A$3,Acct2_Raw!$A$3:$A$26,0),MATCH($A30,Acct2_Raw!$B$1:$BO$1,0))),0)</f>
        <v/>
      </c>
      <c r="J30" s="70">
        <f>IFERROR(IF(Months_Ref!$A$4="",0,INDEX(Acct2_Raw!$B$3:$BO$26,MATCH(Months_Ref!$A$4,Acct2_Raw!$A$3:$A$26,0),MATCH($A30,Acct2_Raw!$B$1:$BO$1,0))),0)</f>
        <v/>
      </c>
      <c r="K30" s="70">
        <f>IFERROR(IF(Months_Ref!$A$5="",0,INDEX(Acct2_Raw!$B$3:$BO$26,MATCH(Months_Ref!$A$5,Acct2_Raw!$A$3:$A$26,0),MATCH($A30,Acct2_Raw!$B$1:$BO$1,0))),0)</f>
        <v/>
      </c>
      <c r="L30" s="70">
        <f>IFERROR(IF(Months_Ref!$A$6="",0,INDEX(Acct2_Raw!$B$3:$BO$26,MATCH(Months_Ref!$A$6,Acct2_Raw!$A$3:$A$26,0),MATCH($A30,Acct2_Raw!$B$1:$BO$1,0))),0)</f>
        <v/>
      </c>
      <c r="M30" s="70">
        <f>IFERROR(IF(Months_Ref!$A$7="",0,INDEX(Acct2_Raw!$B$3:$BO$26,MATCH(Months_Ref!$A$7,Acct2_Raw!$A$3:$A$26,0),MATCH($A30,Acct2_Raw!$B$1:$BO$1,0))),0)</f>
        <v/>
      </c>
      <c r="N30" s="70">
        <f>B30+H30</f>
        <v/>
      </c>
      <c r="O30" s="70">
        <f>C30+I30</f>
        <v/>
      </c>
      <c r="P30" s="70">
        <f>D30+J30</f>
        <v/>
      </c>
      <c r="Q30" s="70">
        <f>E30+K30</f>
        <v/>
      </c>
      <c r="R30" s="70">
        <f>F30+L30</f>
        <v/>
      </c>
      <c r="S30" s="70">
        <f>G30+M30</f>
        <v/>
      </c>
    </row>
    <row r="31" ht="15" customHeight="1" s="65">
      <c r="A31" s="72" t="inlineStr">
        <is>
          <t>ElastiCache($)</t>
        </is>
      </c>
      <c r="B31" s="70">
        <f>IFERROR(IF(Months_Ref!$A$2="",0,INDEX(Acct1_Raw!$B$3:$BO$26,MATCH(Months_Ref!$A$2,Acct1_Raw!$A$3:$A$26,0),MATCH($A31,Acct1_Raw!$B$1:$BO$1,0))),0)</f>
        <v/>
      </c>
      <c r="C31" s="70">
        <f>IFERROR(IF(Months_Ref!$A$3="",0,INDEX(Acct1_Raw!$B$3:$BO$26,MATCH(Months_Ref!$A$3,Acct1_Raw!$A$3:$A$26,0),MATCH($A31,Acct1_Raw!$B$1:$BO$1,0))),0)</f>
        <v/>
      </c>
      <c r="D31" s="70">
        <f>IFERROR(IF(Months_Ref!$A$4="",0,INDEX(Acct1_Raw!$B$3:$BO$26,MATCH(Months_Ref!$A$4,Acct1_Raw!$A$3:$A$26,0),MATCH($A31,Acct1_Raw!$B$1:$BO$1,0))),0)</f>
        <v/>
      </c>
      <c r="E31" s="70">
        <f>IFERROR(IF(Months_Ref!$A$5="",0,INDEX(Acct1_Raw!$B$3:$BO$26,MATCH(Months_Ref!$A$5,Acct1_Raw!$A$3:$A$26,0),MATCH($A31,Acct1_Raw!$B$1:$BO$1,0))),0)</f>
        <v/>
      </c>
      <c r="F31" s="70">
        <f>IFERROR(IF(Months_Ref!$A$6="",0,INDEX(Acct1_Raw!$B$3:$BO$26,MATCH(Months_Ref!$A$6,Acct1_Raw!$A$3:$A$26,0),MATCH($A31,Acct1_Raw!$B$1:$BO$1,0))),0)</f>
        <v/>
      </c>
      <c r="G31" s="70">
        <f>IFERROR(IF(Months_Ref!$A$7="",0,INDEX(Acct1_Raw!$B$3:$BO$26,MATCH(Months_Ref!$A$7,Acct1_Raw!$A$3:$A$26,0),MATCH($A31,Acct1_Raw!$B$1:$BO$1,0))),0)</f>
        <v/>
      </c>
      <c r="H31" s="70">
        <f>IFERROR(IF(Months_Ref!$A$2="",0,INDEX(Acct2_Raw!$B$3:$BO$26,MATCH(Months_Ref!$A$2,Acct2_Raw!$A$3:$A$26,0),MATCH($A31,Acct2_Raw!$B$1:$BO$1,0))),0)</f>
        <v/>
      </c>
      <c r="I31" s="70">
        <f>IFERROR(IF(Months_Ref!$A$3="",0,INDEX(Acct2_Raw!$B$3:$BO$26,MATCH(Months_Ref!$A$3,Acct2_Raw!$A$3:$A$26,0),MATCH($A31,Acct2_Raw!$B$1:$BO$1,0))),0)</f>
        <v/>
      </c>
      <c r="J31" s="70">
        <f>IFERROR(IF(Months_Ref!$A$4="",0,INDEX(Acct2_Raw!$B$3:$BO$26,MATCH(Months_Ref!$A$4,Acct2_Raw!$A$3:$A$26,0),MATCH($A31,Acct2_Raw!$B$1:$BO$1,0))),0)</f>
        <v/>
      </c>
      <c r="K31" s="70">
        <f>IFERROR(IF(Months_Ref!$A$5="",0,INDEX(Acct2_Raw!$B$3:$BO$26,MATCH(Months_Ref!$A$5,Acct2_Raw!$A$3:$A$26,0),MATCH($A31,Acct2_Raw!$B$1:$BO$1,0))),0)</f>
        <v/>
      </c>
      <c r="L31" s="70">
        <f>IFERROR(IF(Months_Ref!$A$6="",0,INDEX(Acct2_Raw!$B$3:$BO$26,MATCH(Months_Ref!$A$6,Acct2_Raw!$A$3:$A$26,0),MATCH($A31,Acct2_Raw!$B$1:$BO$1,0))),0)</f>
        <v/>
      </c>
      <c r="M31" s="70">
        <f>IFERROR(IF(Months_Ref!$A$7="",0,INDEX(Acct2_Raw!$B$3:$BO$26,MATCH(Months_Ref!$A$7,Acct2_Raw!$A$3:$A$26,0),MATCH($A31,Acct2_Raw!$B$1:$BO$1,0))),0)</f>
        <v/>
      </c>
      <c r="N31" s="70">
        <f>B31+H31</f>
        <v/>
      </c>
      <c r="O31" s="70">
        <f>C31+I31</f>
        <v/>
      </c>
      <c r="P31" s="70">
        <f>D31+J31</f>
        <v/>
      </c>
      <c r="Q31" s="70">
        <f>E31+K31</f>
        <v/>
      </c>
      <c r="R31" s="70">
        <f>F31+L31</f>
        <v/>
      </c>
      <c r="S31" s="70">
        <f>G31+M31</f>
        <v/>
      </c>
    </row>
    <row r="32" ht="15" customHeight="1" s="65">
      <c r="A32" s="72" t="inlineStr">
        <is>
          <t>EventBridge($)</t>
        </is>
      </c>
      <c r="B32" s="70">
        <f>IFERROR(IF(Months_Ref!$A$2="",0,INDEX(Acct1_Raw!$B$3:$BO$26,MATCH(Months_Ref!$A$2,Acct1_Raw!$A$3:$A$26,0),MATCH($A32,Acct1_Raw!$B$1:$BO$1,0))),0)</f>
        <v/>
      </c>
      <c r="C32" s="70">
        <f>IFERROR(IF(Months_Ref!$A$3="",0,INDEX(Acct1_Raw!$B$3:$BO$26,MATCH(Months_Ref!$A$3,Acct1_Raw!$A$3:$A$26,0),MATCH($A32,Acct1_Raw!$B$1:$BO$1,0))),0)</f>
        <v/>
      </c>
      <c r="D32" s="70">
        <f>IFERROR(IF(Months_Ref!$A$4="",0,INDEX(Acct1_Raw!$B$3:$BO$26,MATCH(Months_Ref!$A$4,Acct1_Raw!$A$3:$A$26,0),MATCH($A32,Acct1_Raw!$B$1:$BO$1,0))),0)</f>
        <v/>
      </c>
      <c r="E32" s="70">
        <f>IFERROR(IF(Months_Ref!$A$5="",0,INDEX(Acct1_Raw!$B$3:$BO$26,MATCH(Months_Ref!$A$5,Acct1_Raw!$A$3:$A$26,0),MATCH($A32,Acct1_Raw!$B$1:$BO$1,0))),0)</f>
        <v/>
      </c>
      <c r="F32" s="70">
        <f>IFERROR(IF(Months_Ref!$A$6="",0,INDEX(Acct1_Raw!$B$3:$BO$26,MATCH(Months_Ref!$A$6,Acct1_Raw!$A$3:$A$26,0),MATCH($A32,Acct1_Raw!$B$1:$BO$1,0))),0)</f>
        <v/>
      </c>
      <c r="G32" s="70">
        <f>IFERROR(IF(Months_Ref!$A$7="",0,INDEX(Acct1_Raw!$B$3:$BO$26,MATCH(Months_Ref!$A$7,Acct1_Raw!$A$3:$A$26,0),MATCH($A32,Acct1_Raw!$B$1:$BO$1,0))),0)</f>
        <v/>
      </c>
      <c r="H32" s="70">
        <f>IFERROR(IF(Months_Ref!$A$2="",0,INDEX(Acct2_Raw!$B$3:$BO$26,MATCH(Months_Ref!$A$2,Acct2_Raw!$A$3:$A$26,0),MATCH($A32,Acct2_Raw!$B$1:$BO$1,0))),0)</f>
        <v/>
      </c>
      <c r="I32" s="70">
        <f>IFERROR(IF(Months_Ref!$A$3="",0,INDEX(Acct2_Raw!$B$3:$BO$26,MATCH(Months_Ref!$A$3,Acct2_Raw!$A$3:$A$26,0),MATCH($A32,Acct2_Raw!$B$1:$BO$1,0))),0)</f>
        <v/>
      </c>
      <c r="J32" s="70">
        <f>IFERROR(IF(Months_Ref!$A$4="",0,INDEX(Acct2_Raw!$B$3:$BO$26,MATCH(Months_Ref!$A$4,Acct2_Raw!$A$3:$A$26,0),MATCH($A32,Acct2_Raw!$B$1:$BO$1,0))),0)</f>
        <v/>
      </c>
      <c r="K32" s="70">
        <f>IFERROR(IF(Months_Ref!$A$5="",0,INDEX(Acct2_Raw!$B$3:$BO$26,MATCH(Months_Ref!$A$5,Acct2_Raw!$A$3:$A$26,0),MATCH($A32,Acct2_Raw!$B$1:$BO$1,0))),0)</f>
        <v/>
      </c>
      <c r="L32" s="70">
        <f>IFERROR(IF(Months_Ref!$A$6="",0,INDEX(Acct2_Raw!$B$3:$BO$26,MATCH(Months_Ref!$A$6,Acct2_Raw!$A$3:$A$26,0),MATCH($A32,Acct2_Raw!$B$1:$BO$1,0))),0)</f>
        <v/>
      </c>
      <c r="M32" s="70">
        <f>IFERROR(IF(Months_Ref!$A$7="",0,INDEX(Acct2_Raw!$B$3:$BO$26,MATCH(Months_Ref!$A$7,Acct2_Raw!$A$3:$A$26,0),MATCH($A32,Acct2_Raw!$B$1:$BO$1,0))),0)</f>
        <v/>
      </c>
      <c r="N32" s="70">
        <f>B32+H32</f>
        <v/>
      </c>
      <c r="O32" s="70">
        <f>C32+I32</f>
        <v/>
      </c>
      <c r="P32" s="70">
        <f>D32+J32</f>
        <v/>
      </c>
      <c r="Q32" s="70">
        <f>E32+K32</f>
        <v/>
      </c>
      <c r="R32" s="70">
        <f>F32+L32</f>
        <v/>
      </c>
      <c r="S32" s="70">
        <f>G32+M32</f>
        <v/>
      </c>
    </row>
    <row r="33" ht="15" customHeight="1" s="65">
      <c r="A33" s="72" t="inlineStr">
        <is>
          <t>Fargate($)</t>
        </is>
      </c>
      <c r="B33" s="70">
        <f>IFERROR(IF(Months_Ref!$A$2="",0,INDEX(Acct1_Raw!$B$3:$BO$26,MATCH(Months_Ref!$A$2,Acct1_Raw!$A$3:$A$26,0),MATCH($A33,Acct1_Raw!$B$1:$BO$1,0))),0)</f>
        <v/>
      </c>
      <c r="C33" s="70">
        <f>IFERROR(IF(Months_Ref!$A$3="",0,INDEX(Acct1_Raw!$B$3:$BO$26,MATCH(Months_Ref!$A$3,Acct1_Raw!$A$3:$A$26,0),MATCH($A33,Acct1_Raw!$B$1:$BO$1,0))),0)</f>
        <v/>
      </c>
      <c r="D33" s="70">
        <f>IFERROR(IF(Months_Ref!$A$4="",0,INDEX(Acct1_Raw!$B$3:$BO$26,MATCH(Months_Ref!$A$4,Acct1_Raw!$A$3:$A$26,0),MATCH($A33,Acct1_Raw!$B$1:$BO$1,0))),0)</f>
        <v/>
      </c>
      <c r="E33" s="70">
        <f>IFERROR(IF(Months_Ref!$A$5="",0,INDEX(Acct1_Raw!$B$3:$BO$26,MATCH(Months_Ref!$A$5,Acct1_Raw!$A$3:$A$26,0),MATCH($A33,Acct1_Raw!$B$1:$BO$1,0))),0)</f>
        <v/>
      </c>
      <c r="F33" s="70">
        <f>IFERROR(IF(Months_Ref!$A$6="",0,INDEX(Acct1_Raw!$B$3:$BO$26,MATCH(Months_Ref!$A$6,Acct1_Raw!$A$3:$A$26,0),MATCH($A33,Acct1_Raw!$B$1:$BO$1,0))),0)</f>
        <v/>
      </c>
      <c r="G33" s="70">
        <f>IFERROR(IF(Months_Ref!$A$7="",0,INDEX(Acct1_Raw!$B$3:$BO$26,MATCH(Months_Ref!$A$7,Acct1_Raw!$A$3:$A$26,0),MATCH($A33,Acct1_Raw!$B$1:$BO$1,0))),0)</f>
        <v/>
      </c>
      <c r="H33" s="70">
        <f>IFERROR(IF(Months_Ref!$A$2="",0,INDEX(Acct2_Raw!$B$3:$BO$26,MATCH(Months_Ref!$A$2,Acct2_Raw!$A$3:$A$26,0),MATCH($A33,Acct2_Raw!$B$1:$BO$1,0))),0)</f>
        <v/>
      </c>
      <c r="I33" s="70">
        <f>IFERROR(IF(Months_Ref!$A$3="",0,INDEX(Acct2_Raw!$B$3:$BO$26,MATCH(Months_Ref!$A$3,Acct2_Raw!$A$3:$A$26,0),MATCH($A33,Acct2_Raw!$B$1:$BO$1,0))),0)</f>
        <v/>
      </c>
      <c r="J33" s="70">
        <f>IFERROR(IF(Months_Ref!$A$4="",0,INDEX(Acct2_Raw!$B$3:$BO$26,MATCH(Months_Ref!$A$4,Acct2_Raw!$A$3:$A$26,0),MATCH($A33,Acct2_Raw!$B$1:$BO$1,0))),0)</f>
        <v/>
      </c>
      <c r="K33" s="70">
        <f>IFERROR(IF(Months_Ref!$A$5="",0,INDEX(Acct2_Raw!$B$3:$BO$26,MATCH(Months_Ref!$A$5,Acct2_Raw!$A$3:$A$26,0),MATCH($A33,Acct2_Raw!$B$1:$BO$1,0))),0)</f>
        <v/>
      </c>
      <c r="L33" s="70">
        <f>IFERROR(IF(Months_Ref!$A$6="",0,INDEX(Acct2_Raw!$B$3:$BO$26,MATCH(Months_Ref!$A$6,Acct2_Raw!$A$3:$A$26,0),MATCH($A33,Acct2_Raw!$B$1:$BO$1,0))),0)</f>
        <v/>
      </c>
      <c r="M33" s="70">
        <f>IFERROR(IF(Months_Ref!$A$7="",0,INDEX(Acct2_Raw!$B$3:$BO$26,MATCH(Months_Ref!$A$7,Acct2_Raw!$A$3:$A$26,0),MATCH($A33,Acct2_Raw!$B$1:$BO$1,0))),0)</f>
        <v/>
      </c>
      <c r="N33" s="70">
        <f>B33+H33</f>
        <v/>
      </c>
      <c r="O33" s="70">
        <f>C33+I33</f>
        <v/>
      </c>
      <c r="P33" s="70">
        <f>D33+J33</f>
        <v/>
      </c>
      <c r="Q33" s="70">
        <f>E33+K33</f>
        <v/>
      </c>
      <c r="R33" s="70">
        <f>F33+L33</f>
        <v/>
      </c>
      <c r="S33" s="70">
        <f>G33+M33</f>
        <v/>
      </c>
    </row>
    <row r="34" ht="15" customHeight="1" s="65">
      <c r="A34" s="72" t="inlineStr">
        <is>
          <t>Firehose($)</t>
        </is>
      </c>
      <c r="B34" s="70">
        <f>IFERROR(IF(Months_Ref!$A$2="",0,INDEX(Acct1_Raw!$B$3:$BO$26,MATCH(Months_Ref!$A$2,Acct1_Raw!$A$3:$A$26,0),MATCH($A34,Acct1_Raw!$B$1:$BO$1,0))),0)</f>
        <v/>
      </c>
      <c r="C34" s="70">
        <f>IFERROR(IF(Months_Ref!$A$3="",0,INDEX(Acct1_Raw!$B$3:$BO$26,MATCH(Months_Ref!$A$3,Acct1_Raw!$A$3:$A$26,0),MATCH($A34,Acct1_Raw!$B$1:$BO$1,0))),0)</f>
        <v/>
      </c>
      <c r="D34" s="70">
        <f>IFERROR(IF(Months_Ref!$A$4="",0,INDEX(Acct1_Raw!$B$3:$BO$26,MATCH(Months_Ref!$A$4,Acct1_Raw!$A$3:$A$26,0),MATCH($A34,Acct1_Raw!$B$1:$BO$1,0))),0)</f>
        <v/>
      </c>
      <c r="E34" s="70">
        <f>IFERROR(IF(Months_Ref!$A$5="",0,INDEX(Acct1_Raw!$B$3:$BO$26,MATCH(Months_Ref!$A$5,Acct1_Raw!$A$3:$A$26,0),MATCH($A34,Acct1_Raw!$B$1:$BO$1,0))),0)</f>
        <v/>
      </c>
      <c r="F34" s="70">
        <f>IFERROR(IF(Months_Ref!$A$6="",0,INDEX(Acct1_Raw!$B$3:$BO$26,MATCH(Months_Ref!$A$6,Acct1_Raw!$A$3:$A$26,0),MATCH($A34,Acct1_Raw!$B$1:$BO$1,0))),0)</f>
        <v/>
      </c>
      <c r="G34" s="70">
        <f>IFERROR(IF(Months_Ref!$A$7="",0,INDEX(Acct1_Raw!$B$3:$BO$26,MATCH(Months_Ref!$A$7,Acct1_Raw!$A$3:$A$26,0),MATCH($A34,Acct1_Raw!$B$1:$BO$1,0))),0)</f>
        <v/>
      </c>
      <c r="H34" s="70">
        <f>IFERROR(IF(Months_Ref!$A$2="",0,INDEX(Acct2_Raw!$B$3:$BO$26,MATCH(Months_Ref!$A$2,Acct2_Raw!$A$3:$A$26,0),MATCH($A34,Acct2_Raw!$B$1:$BO$1,0))),0)</f>
        <v/>
      </c>
      <c r="I34" s="70">
        <f>IFERROR(IF(Months_Ref!$A$3="",0,INDEX(Acct2_Raw!$B$3:$BO$26,MATCH(Months_Ref!$A$3,Acct2_Raw!$A$3:$A$26,0),MATCH($A34,Acct2_Raw!$B$1:$BO$1,0))),0)</f>
        <v/>
      </c>
      <c r="J34" s="70">
        <f>IFERROR(IF(Months_Ref!$A$4="",0,INDEX(Acct2_Raw!$B$3:$BO$26,MATCH(Months_Ref!$A$4,Acct2_Raw!$A$3:$A$26,0),MATCH($A34,Acct2_Raw!$B$1:$BO$1,0))),0)</f>
        <v/>
      </c>
      <c r="K34" s="70">
        <f>IFERROR(IF(Months_Ref!$A$5="",0,INDEX(Acct2_Raw!$B$3:$BO$26,MATCH(Months_Ref!$A$5,Acct2_Raw!$A$3:$A$26,0),MATCH($A34,Acct2_Raw!$B$1:$BO$1,0))),0)</f>
        <v/>
      </c>
      <c r="L34" s="70">
        <f>IFERROR(IF(Months_Ref!$A$6="",0,INDEX(Acct2_Raw!$B$3:$BO$26,MATCH(Months_Ref!$A$6,Acct2_Raw!$A$3:$A$26,0),MATCH($A34,Acct2_Raw!$B$1:$BO$1,0))),0)</f>
        <v/>
      </c>
      <c r="M34" s="70">
        <f>IFERROR(IF(Months_Ref!$A$7="",0,INDEX(Acct2_Raw!$B$3:$BO$26,MATCH(Months_Ref!$A$7,Acct2_Raw!$A$3:$A$26,0),MATCH($A34,Acct2_Raw!$B$1:$BO$1,0))),0)</f>
        <v/>
      </c>
      <c r="N34" s="70">
        <f>B34+H34</f>
        <v/>
      </c>
      <c r="O34" s="70">
        <f>C34+I34</f>
        <v/>
      </c>
      <c r="P34" s="70">
        <f>D34+J34</f>
        <v/>
      </c>
      <c r="Q34" s="70">
        <f>E34+K34</f>
        <v/>
      </c>
      <c r="R34" s="70">
        <f>F34+L34</f>
        <v/>
      </c>
      <c r="S34" s="70">
        <f>G34+M34</f>
        <v/>
      </c>
    </row>
    <row r="35" ht="15" customHeight="1" s="65">
      <c r="A35" s="72" t="inlineStr">
        <is>
          <t>Glue($)</t>
        </is>
      </c>
      <c r="B35" s="70">
        <f>IFERROR(IF(Months_Ref!$A$2="",0,INDEX(Acct1_Raw!$B$3:$BO$26,MATCH(Months_Ref!$A$2,Acct1_Raw!$A$3:$A$26,0),MATCH($A35,Acct1_Raw!$B$1:$BO$1,0))),0)</f>
        <v/>
      </c>
      <c r="C35" s="70">
        <f>IFERROR(IF(Months_Ref!$A$3="",0,INDEX(Acct1_Raw!$B$3:$BO$26,MATCH(Months_Ref!$A$3,Acct1_Raw!$A$3:$A$26,0),MATCH($A35,Acct1_Raw!$B$1:$BO$1,0))),0)</f>
        <v/>
      </c>
      <c r="D35" s="70">
        <f>IFERROR(IF(Months_Ref!$A$4="",0,INDEX(Acct1_Raw!$B$3:$BO$26,MATCH(Months_Ref!$A$4,Acct1_Raw!$A$3:$A$26,0),MATCH($A35,Acct1_Raw!$B$1:$BO$1,0))),0)</f>
        <v/>
      </c>
      <c r="E35" s="70">
        <f>IFERROR(IF(Months_Ref!$A$5="",0,INDEX(Acct1_Raw!$B$3:$BO$26,MATCH(Months_Ref!$A$5,Acct1_Raw!$A$3:$A$26,0),MATCH($A35,Acct1_Raw!$B$1:$BO$1,0))),0)</f>
        <v/>
      </c>
      <c r="F35" s="70">
        <f>IFERROR(IF(Months_Ref!$A$6="",0,INDEX(Acct1_Raw!$B$3:$BO$26,MATCH(Months_Ref!$A$6,Acct1_Raw!$A$3:$A$26,0),MATCH($A35,Acct1_Raw!$B$1:$BO$1,0))),0)</f>
        <v/>
      </c>
      <c r="G35" s="70">
        <f>IFERROR(IF(Months_Ref!$A$7="",0,INDEX(Acct1_Raw!$B$3:$BO$26,MATCH(Months_Ref!$A$7,Acct1_Raw!$A$3:$A$26,0),MATCH($A35,Acct1_Raw!$B$1:$BO$1,0))),0)</f>
        <v/>
      </c>
      <c r="H35" s="70">
        <f>IFERROR(IF(Months_Ref!$A$2="",0,INDEX(Acct2_Raw!$B$3:$BO$26,MATCH(Months_Ref!$A$2,Acct2_Raw!$A$3:$A$26,0),MATCH($A35,Acct2_Raw!$B$1:$BO$1,0))),0)</f>
        <v/>
      </c>
      <c r="I35" s="70">
        <f>IFERROR(IF(Months_Ref!$A$3="",0,INDEX(Acct2_Raw!$B$3:$BO$26,MATCH(Months_Ref!$A$3,Acct2_Raw!$A$3:$A$26,0),MATCH($A35,Acct2_Raw!$B$1:$BO$1,0))),0)</f>
        <v/>
      </c>
      <c r="J35" s="70">
        <f>IFERROR(IF(Months_Ref!$A$4="",0,INDEX(Acct2_Raw!$B$3:$BO$26,MATCH(Months_Ref!$A$4,Acct2_Raw!$A$3:$A$26,0),MATCH($A35,Acct2_Raw!$B$1:$BO$1,0))),0)</f>
        <v/>
      </c>
      <c r="K35" s="70">
        <f>IFERROR(IF(Months_Ref!$A$5="",0,INDEX(Acct2_Raw!$B$3:$BO$26,MATCH(Months_Ref!$A$5,Acct2_Raw!$A$3:$A$26,0),MATCH($A35,Acct2_Raw!$B$1:$BO$1,0))),0)</f>
        <v/>
      </c>
      <c r="L35" s="70">
        <f>IFERROR(IF(Months_Ref!$A$6="",0,INDEX(Acct2_Raw!$B$3:$BO$26,MATCH(Months_Ref!$A$6,Acct2_Raw!$A$3:$A$26,0),MATCH($A35,Acct2_Raw!$B$1:$BO$1,0))),0)</f>
        <v/>
      </c>
      <c r="M35" s="70">
        <f>IFERROR(IF(Months_Ref!$A$7="",0,INDEX(Acct2_Raw!$B$3:$BO$26,MATCH(Months_Ref!$A$7,Acct2_Raw!$A$3:$A$26,0),MATCH($A35,Acct2_Raw!$B$1:$BO$1,0))),0)</f>
        <v/>
      </c>
      <c r="N35" s="70">
        <f>B35+H35</f>
        <v/>
      </c>
      <c r="O35" s="70">
        <f>C35+I35</f>
        <v/>
      </c>
      <c r="P35" s="70">
        <f>D35+J35</f>
        <v/>
      </c>
      <c r="Q35" s="70">
        <f>E35+K35</f>
        <v/>
      </c>
      <c r="R35" s="70">
        <f>F35+L35</f>
        <v/>
      </c>
      <c r="S35" s="70">
        <f>G35+M35</f>
        <v/>
      </c>
    </row>
    <row r="36" ht="15" customHeight="1" s="65">
      <c r="A36" s="72" t="inlineStr">
        <is>
          <t>GuardDuty($)</t>
        </is>
      </c>
      <c r="B36" s="70">
        <f>IFERROR(IF(Months_Ref!$A$2="",0,INDEX(Acct1_Raw!$B$3:$BO$26,MATCH(Months_Ref!$A$2,Acct1_Raw!$A$3:$A$26,0),MATCH($A36,Acct1_Raw!$B$1:$BO$1,0))),0)</f>
        <v/>
      </c>
      <c r="C36" s="70">
        <f>IFERROR(IF(Months_Ref!$A$3="",0,INDEX(Acct1_Raw!$B$3:$BO$26,MATCH(Months_Ref!$A$3,Acct1_Raw!$A$3:$A$26,0),MATCH($A36,Acct1_Raw!$B$1:$BO$1,0))),0)</f>
        <v/>
      </c>
      <c r="D36" s="70">
        <f>IFERROR(IF(Months_Ref!$A$4="",0,INDEX(Acct1_Raw!$B$3:$BO$26,MATCH(Months_Ref!$A$4,Acct1_Raw!$A$3:$A$26,0),MATCH($A36,Acct1_Raw!$B$1:$BO$1,0))),0)</f>
        <v/>
      </c>
      <c r="E36" s="70">
        <f>IFERROR(IF(Months_Ref!$A$5="",0,INDEX(Acct1_Raw!$B$3:$BO$26,MATCH(Months_Ref!$A$5,Acct1_Raw!$A$3:$A$26,0),MATCH($A36,Acct1_Raw!$B$1:$BO$1,0))),0)</f>
        <v/>
      </c>
      <c r="F36" s="70">
        <f>IFERROR(IF(Months_Ref!$A$6="",0,INDEX(Acct1_Raw!$B$3:$BO$26,MATCH(Months_Ref!$A$6,Acct1_Raw!$A$3:$A$26,0),MATCH($A36,Acct1_Raw!$B$1:$BO$1,0))),0)</f>
        <v/>
      </c>
      <c r="G36" s="70">
        <f>IFERROR(IF(Months_Ref!$A$7="",0,INDEX(Acct1_Raw!$B$3:$BO$26,MATCH(Months_Ref!$A$7,Acct1_Raw!$A$3:$A$26,0),MATCH($A36,Acct1_Raw!$B$1:$BO$1,0))),0)</f>
        <v/>
      </c>
      <c r="H36" s="70">
        <f>IFERROR(IF(Months_Ref!$A$2="",0,INDEX(Acct2_Raw!$B$3:$BO$26,MATCH(Months_Ref!$A$2,Acct2_Raw!$A$3:$A$26,0),MATCH($A36,Acct2_Raw!$B$1:$BO$1,0))),0)</f>
        <v/>
      </c>
      <c r="I36" s="70">
        <f>IFERROR(IF(Months_Ref!$A$3="",0,INDEX(Acct2_Raw!$B$3:$BO$26,MATCH(Months_Ref!$A$3,Acct2_Raw!$A$3:$A$26,0),MATCH($A36,Acct2_Raw!$B$1:$BO$1,0))),0)</f>
        <v/>
      </c>
      <c r="J36" s="70">
        <f>IFERROR(IF(Months_Ref!$A$4="",0,INDEX(Acct2_Raw!$B$3:$BO$26,MATCH(Months_Ref!$A$4,Acct2_Raw!$A$3:$A$26,0),MATCH($A36,Acct2_Raw!$B$1:$BO$1,0))),0)</f>
        <v/>
      </c>
      <c r="K36" s="70">
        <f>IFERROR(IF(Months_Ref!$A$5="",0,INDEX(Acct2_Raw!$B$3:$BO$26,MATCH(Months_Ref!$A$5,Acct2_Raw!$A$3:$A$26,0),MATCH($A36,Acct2_Raw!$B$1:$BO$1,0))),0)</f>
        <v/>
      </c>
      <c r="L36" s="70">
        <f>IFERROR(IF(Months_Ref!$A$6="",0,INDEX(Acct2_Raw!$B$3:$BO$26,MATCH(Months_Ref!$A$6,Acct2_Raw!$A$3:$A$26,0),MATCH($A36,Acct2_Raw!$B$1:$BO$1,0))),0)</f>
        <v/>
      </c>
      <c r="M36" s="70">
        <f>IFERROR(IF(Months_Ref!$A$7="",0,INDEX(Acct2_Raw!$B$3:$BO$26,MATCH(Months_Ref!$A$7,Acct2_Raw!$A$3:$A$26,0),MATCH($A36,Acct2_Raw!$B$1:$BO$1,0))),0)</f>
        <v/>
      </c>
      <c r="N36" s="70">
        <f>B36+H36</f>
        <v/>
      </c>
      <c r="O36" s="70">
        <f>C36+I36</f>
        <v/>
      </c>
      <c r="P36" s="70">
        <f>D36+J36</f>
        <v/>
      </c>
      <c r="Q36" s="70">
        <f>E36+K36</f>
        <v/>
      </c>
      <c r="R36" s="70">
        <f>F36+L36</f>
        <v/>
      </c>
      <c r="S36" s="70">
        <f>G36+M36</f>
        <v/>
      </c>
    </row>
    <row r="37" ht="15" customHeight="1" s="65">
      <c r="A37" s="72" t="inlineStr">
        <is>
          <t>IAM($)</t>
        </is>
      </c>
      <c r="B37" s="70">
        <f>IFERROR(IF(Months_Ref!$A$2="",0,INDEX(Acct1_Raw!$B$3:$BO$26,MATCH(Months_Ref!$A$2,Acct1_Raw!$A$3:$A$26,0),MATCH($A37,Acct1_Raw!$B$1:$BO$1,0))),0)</f>
        <v/>
      </c>
      <c r="C37" s="70">
        <f>IFERROR(IF(Months_Ref!$A$3="",0,INDEX(Acct1_Raw!$B$3:$BO$26,MATCH(Months_Ref!$A$3,Acct1_Raw!$A$3:$A$26,0),MATCH($A37,Acct1_Raw!$B$1:$BO$1,0))),0)</f>
        <v/>
      </c>
      <c r="D37" s="70">
        <f>IFERROR(IF(Months_Ref!$A$4="",0,INDEX(Acct1_Raw!$B$3:$BO$26,MATCH(Months_Ref!$A$4,Acct1_Raw!$A$3:$A$26,0),MATCH($A37,Acct1_Raw!$B$1:$BO$1,0))),0)</f>
        <v/>
      </c>
      <c r="E37" s="70">
        <f>IFERROR(IF(Months_Ref!$A$5="",0,INDEX(Acct1_Raw!$B$3:$BO$26,MATCH(Months_Ref!$A$5,Acct1_Raw!$A$3:$A$26,0),MATCH($A37,Acct1_Raw!$B$1:$BO$1,0))),0)</f>
        <v/>
      </c>
      <c r="F37" s="70">
        <f>IFERROR(IF(Months_Ref!$A$6="",0,INDEX(Acct1_Raw!$B$3:$BO$26,MATCH(Months_Ref!$A$6,Acct1_Raw!$A$3:$A$26,0),MATCH($A37,Acct1_Raw!$B$1:$BO$1,0))),0)</f>
        <v/>
      </c>
      <c r="G37" s="70">
        <f>IFERROR(IF(Months_Ref!$A$7="",0,INDEX(Acct1_Raw!$B$3:$BO$26,MATCH(Months_Ref!$A$7,Acct1_Raw!$A$3:$A$26,0),MATCH($A37,Acct1_Raw!$B$1:$BO$1,0))),0)</f>
        <v/>
      </c>
      <c r="H37" s="70">
        <f>IFERROR(IF(Months_Ref!$A$2="",0,INDEX(Acct2_Raw!$B$3:$BO$26,MATCH(Months_Ref!$A$2,Acct2_Raw!$A$3:$A$26,0),MATCH($A37,Acct2_Raw!$B$1:$BO$1,0))),0)</f>
        <v/>
      </c>
      <c r="I37" s="70">
        <f>IFERROR(IF(Months_Ref!$A$3="",0,INDEX(Acct2_Raw!$B$3:$BO$26,MATCH(Months_Ref!$A$3,Acct2_Raw!$A$3:$A$26,0),MATCH($A37,Acct2_Raw!$B$1:$BO$1,0))),0)</f>
        <v/>
      </c>
      <c r="J37" s="70">
        <f>IFERROR(IF(Months_Ref!$A$4="",0,INDEX(Acct2_Raw!$B$3:$BO$26,MATCH(Months_Ref!$A$4,Acct2_Raw!$A$3:$A$26,0),MATCH($A37,Acct2_Raw!$B$1:$BO$1,0))),0)</f>
        <v/>
      </c>
      <c r="K37" s="70">
        <f>IFERROR(IF(Months_Ref!$A$5="",0,INDEX(Acct2_Raw!$B$3:$BO$26,MATCH(Months_Ref!$A$5,Acct2_Raw!$A$3:$A$26,0),MATCH($A37,Acct2_Raw!$B$1:$BO$1,0))),0)</f>
        <v/>
      </c>
      <c r="L37" s="70">
        <f>IFERROR(IF(Months_Ref!$A$6="",0,INDEX(Acct2_Raw!$B$3:$BO$26,MATCH(Months_Ref!$A$6,Acct2_Raw!$A$3:$A$26,0),MATCH($A37,Acct2_Raw!$B$1:$BO$1,0))),0)</f>
        <v/>
      </c>
      <c r="M37" s="70">
        <f>IFERROR(IF(Months_Ref!$A$7="",0,INDEX(Acct2_Raw!$B$3:$BO$26,MATCH(Months_Ref!$A$7,Acct2_Raw!$A$3:$A$26,0),MATCH($A37,Acct2_Raw!$B$1:$BO$1,0))),0)</f>
        <v/>
      </c>
      <c r="N37" s="70">
        <f>B37+H37</f>
        <v/>
      </c>
      <c r="O37" s="70">
        <f>C37+I37</f>
        <v/>
      </c>
      <c r="P37" s="70">
        <f>D37+J37</f>
        <v/>
      </c>
      <c r="Q37" s="70">
        <f>E37+K37</f>
        <v/>
      </c>
      <c r="R37" s="70">
        <f>F37+L37</f>
        <v/>
      </c>
      <c r="S37" s="70">
        <f>G37+M37</f>
        <v/>
      </c>
    </row>
    <row r="38" ht="15" customHeight="1" s="65">
      <c r="A38" s="72" t="inlineStr">
        <is>
          <t>Inspector($)</t>
        </is>
      </c>
      <c r="B38" s="70">
        <f>IFERROR(IF(Months_Ref!$A$2="",0,INDEX(Acct1_Raw!$B$3:$BO$26,MATCH(Months_Ref!$A$2,Acct1_Raw!$A$3:$A$26,0),MATCH($A38,Acct1_Raw!$B$1:$BO$1,0))),0)</f>
        <v/>
      </c>
      <c r="C38" s="70">
        <f>IFERROR(IF(Months_Ref!$A$3="",0,INDEX(Acct1_Raw!$B$3:$BO$26,MATCH(Months_Ref!$A$3,Acct1_Raw!$A$3:$A$26,0),MATCH($A38,Acct1_Raw!$B$1:$BO$1,0))),0)</f>
        <v/>
      </c>
      <c r="D38" s="70">
        <f>IFERROR(IF(Months_Ref!$A$4="",0,INDEX(Acct1_Raw!$B$3:$BO$26,MATCH(Months_Ref!$A$4,Acct1_Raw!$A$3:$A$26,0),MATCH($A38,Acct1_Raw!$B$1:$BO$1,0))),0)</f>
        <v/>
      </c>
      <c r="E38" s="70">
        <f>IFERROR(IF(Months_Ref!$A$5="",0,INDEX(Acct1_Raw!$B$3:$BO$26,MATCH(Months_Ref!$A$5,Acct1_Raw!$A$3:$A$26,0),MATCH($A38,Acct1_Raw!$B$1:$BO$1,0))),0)</f>
        <v/>
      </c>
      <c r="F38" s="70">
        <f>IFERROR(IF(Months_Ref!$A$6="",0,INDEX(Acct1_Raw!$B$3:$BO$26,MATCH(Months_Ref!$A$6,Acct1_Raw!$A$3:$A$26,0),MATCH($A38,Acct1_Raw!$B$1:$BO$1,0))),0)</f>
        <v/>
      </c>
      <c r="G38" s="70">
        <f>IFERROR(IF(Months_Ref!$A$7="",0,INDEX(Acct1_Raw!$B$3:$BO$26,MATCH(Months_Ref!$A$7,Acct1_Raw!$A$3:$A$26,0),MATCH($A38,Acct1_Raw!$B$1:$BO$1,0))),0)</f>
        <v/>
      </c>
      <c r="H38" s="70">
        <f>IFERROR(IF(Months_Ref!$A$2="",0,INDEX(Acct2_Raw!$B$3:$BO$26,MATCH(Months_Ref!$A$2,Acct2_Raw!$A$3:$A$26,0),MATCH($A38,Acct2_Raw!$B$1:$BO$1,0))),0)</f>
        <v/>
      </c>
      <c r="I38" s="70">
        <f>IFERROR(IF(Months_Ref!$A$3="",0,INDEX(Acct2_Raw!$B$3:$BO$26,MATCH(Months_Ref!$A$3,Acct2_Raw!$A$3:$A$26,0),MATCH($A38,Acct2_Raw!$B$1:$BO$1,0))),0)</f>
        <v/>
      </c>
      <c r="J38" s="70">
        <f>IFERROR(IF(Months_Ref!$A$4="",0,INDEX(Acct2_Raw!$B$3:$BO$26,MATCH(Months_Ref!$A$4,Acct2_Raw!$A$3:$A$26,0),MATCH($A38,Acct2_Raw!$B$1:$BO$1,0))),0)</f>
        <v/>
      </c>
      <c r="K38" s="70">
        <f>IFERROR(IF(Months_Ref!$A$5="",0,INDEX(Acct2_Raw!$B$3:$BO$26,MATCH(Months_Ref!$A$5,Acct2_Raw!$A$3:$A$26,0),MATCH($A38,Acct2_Raw!$B$1:$BO$1,0))),0)</f>
        <v/>
      </c>
      <c r="L38" s="70">
        <f>IFERROR(IF(Months_Ref!$A$6="",0,INDEX(Acct2_Raw!$B$3:$BO$26,MATCH(Months_Ref!$A$6,Acct2_Raw!$A$3:$A$26,0),MATCH($A38,Acct2_Raw!$B$1:$BO$1,0))),0)</f>
        <v/>
      </c>
      <c r="M38" s="70">
        <f>IFERROR(IF(Months_Ref!$A$7="",0,INDEX(Acct2_Raw!$B$3:$BO$26,MATCH(Months_Ref!$A$7,Acct2_Raw!$A$3:$A$26,0),MATCH($A38,Acct2_Raw!$B$1:$BO$1,0))),0)</f>
        <v/>
      </c>
      <c r="N38" s="70">
        <f>B38+H38</f>
        <v/>
      </c>
      <c r="O38" s="70">
        <f>C38+I38</f>
        <v/>
      </c>
      <c r="P38" s="70">
        <f>D38+J38</f>
        <v/>
      </c>
      <c r="Q38" s="70">
        <f>E38+K38</f>
        <v/>
      </c>
      <c r="R38" s="70">
        <f>F38+L38</f>
        <v/>
      </c>
      <c r="S38" s="70">
        <f>G38+M38</f>
        <v/>
      </c>
    </row>
    <row r="39" ht="15" customHeight="1" s="65">
      <c r="A39" s="72" t="inlineStr">
        <is>
          <t>KMS($)</t>
        </is>
      </c>
      <c r="B39" s="70">
        <f>IFERROR(IF(Months_Ref!$A$2="",0,INDEX(Acct1_Raw!$B$3:$BO$26,MATCH(Months_Ref!$A$2,Acct1_Raw!$A$3:$A$26,0),MATCH($A39,Acct1_Raw!$B$1:$BO$1,0))),0)</f>
        <v/>
      </c>
      <c r="C39" s="70">
        <f>IFERROR(IF(Months_Ref!$A$3="",0,INDEX(Acct1_Raw!$B$3:$BO$26,MATCH(Months_Ref!$A$3,Acct1_Raw!$A$3:$A$26,0),MATCH($A39,Acct1_Raw!$B$1:$BO$1,0))),0)</f>
        <v/>
      </c>
      <c r="D39" s="70">
        <f>IFERROR(IF(Months_Ref!$A$4="",0,INDEX(Acct1_Raw!$B$3:$BO$26,MATCH(Months_Ref!$A$4,Acct1_Raw!$A$3:$A$26,0),MATCH($A39,Acct1_Raw!$B$1:$BO$1,0))),0)</f>
        <v/>
      </c>
      <c r="E39" s="70">
        <f>IFERROR(IF(Months_Ref!$A$5="",0,INDEX(Acct1_Raw!$B$3:$BO$26,MATCH(Months_Ref!$A$5,Acct1_Raw!$A$3:$A$26,0),MATCH($A39,Acct1_Raw!$B$1:$BO$1,0))),0)</f>
        <v/>
      </c>
      <c r="F39" s="70">
        <f>IFERROR(IF(Months_Ref!$A$6="",0,INDEX(Acct1_Raw!$B$3:$BO$26,MATCH(Months_Ref!$A$6,Acct1_Raw!$A$3:$A$26,0),MATCH($A39,Acct1_Raw!$B$1:$BO$1,0))),0)</f>
        <v/>
      </c>
      <c r="G39" s="70">
        <f>IFERROR(IF(Months_Ref!$A$7="",0,INDEX(Acct1_Raw!$B$3:$BO$26,MATCH(Months_Ref!$A$7,Acct1_Raw!$A$3:$A$26,0),MATCH($A39,Acct1_Raw!$B$1:$BO$1,0))),0)</f>
        <v/>
      </c>
      <c r="H39" s="70">
        <f>IFERROR(IF(Months_Ref!$A$2="",0,INDEX(Acct2_Raw!$B$3:$BO$26,MATCH(Months_Ref!$A$2,Acct2_Raw!$A$3:$A$26,0),MATCH($A39,Acct2_Raw!$B$1:$BO$1,0))),0)</f>
        <v/>
      </c>
      <c r="I39" s="70">
        <f>IFERROR(IF(Months_Ref!$A$3="",0,INDEX(Acct2_Raw!$B$3:$BO$26,MATCH(Months_Ref!$A$3,Acct2_Raw!$A$3:$A$26,0),MATCH($A39,Acct2_Raw!$B$1:$BO$1,0))),0)</f>
        <v/>
      </c>
      <c r="J39" s="70">
        <f>IFERROR(IF(Months_Ref!$A$4="",0,INDEX(Acct2_Raw!$B$3:$BO$26,MATCH(Months_Ref!$A$4,Acct2_Raw!$A$3:$A$26,0),MATCH($A39,Acct2_Raw!$B$1:$BO$1,0))),0)</f>
        <v/>
      </c>
      <c r="K39" s="70">
        <f>IFERROR(IF(Months_Ref!$A$5="",0,INDEX(Acct2_Raw!$B$3:$BO$26,MATCH(Months_Ref!$A$5,Acct2_Raw!$A$3:$A$26,0),MATCH($A39,Acct2_Raw!$B$1:$BO$1,0))),0)</f>
        <v/>
      </c>
      <c r="L39" s="70">
        <f>IFERROR(IF(Months_Ref!$A$6="",0,INDEX(Acct2_Raw!$B$3:$BO$26,MATCH(Months_Ref!$A$6,Acct2_Raw!$A$3:$A$26,0),MATCH($A39,Acct2_Raw!$B$1:$BO$1,0))),0)</f>
        <v/>
      </c>
      <c r="M39" s="70">
        <f>IFERROR(IF(Months_Ref!$A$7="",0,INDEX(Acct2_Raw!$B$3:$BO$26,MATCH(Months_Ref!$A$7,Acct2_Raw!$A$3:$A$26,0),MATCH($A39,Acct2_Raw!$B$1:$BO$1,0))),0)</f>
        <v/>
      </c>
      <c r="N39" s="70">
        <f>B39+H39</f>
        <v/>
      </c>
      <c r="O39" s="70">
        <f>C39+I39</f>
        <v/>
      </c>
      <c r="P39" s="70">
        <f>D39+J39</f>
        <v/>
      </c>
      <c r="Q39" s="70">
        <f>E39+K39</f>
        <v/>
      </c>
      <c r="R39" s="70">
        <f>F39+L39</f>
        <v/>
      </c>
      <c r="S39" s="70">
        <f>G39+M39</f>
        <v/>
      </c>
    </row>
    <row r="40" ht="15" customHeight="1" s="65">
      <c r="A40" s="72" t="inlineStr">
        <is>
          <t>Kinesis($)</t>
        </is>
      </c>
      <c r="B40" s="70">
        <f>IFERROR(IF(Months_Ref!$A$2="",0,INDEX(Acct1_Raw!$B$3:$BO$26,MATCH(Months_Ref!$A$2,Acct1_Raw!$A$3:$A$26,0),MATCH($A40,Acct1_Raw!$B$1:$BO$1,0))),0)</f>
        <v/>
      </c>
      <c r="C40" s="70">
        <f>IFERROR(IF(Months_Ref!$A$3="",0,INDEX(Acct1_Raw!$B$3:$BO$26,MATCH(Months_Ref!$A$3,Acct1_Raw!$A$3:$A$26,0),MATCH($A40,Acct1_Raw!$B$1:$BO$1,0))),0)</f>
        <v/>
      </c>
      <c r="D40" s="70">
        <f>IFERROR(IF(Months_Ref!$A$4="",0,INDEX(Acct1_Raw!$B$3:$BO$26,MATCH(Months_Ref!$A$4,Acct1_Raw!$A$3:$A$26,0),MATCH($A40,Acct1_Raw!$B$1:$BO$1,0))),0)</f>
        <v/>
      </c>
      <c r="E40" s="70">
        <f>IFERROR(IF(Months_Ref!$A$5="",0,INDEX(Acct1_Raw!$B$3:$BO$26,MATCH(Months_Ref!$A$5,Acct1_Raw!$A$3:$A$26,0),MATCH($A40,Acct1_Raw!$B$1:$BO$1,0))),0)</f>
        <v/>
      </c>
      <c r="F40" s="70">
        <f>IFERROR(IF(Months_Ref!$A$6="",0,INDEX(Acct1_Raw!$B$3:$BO$26,MATCH(Months_Ref!$A$6,Acct1_Raw!$A$3:$A$26,0),MATCH($A40,Acct1_Raw!$B$1:$BO$1,0))),0)</f>
        <v/>
      </c>
      <c r="G40" s="70">
        <f>IFERROR(IF(Months_Ref!$A$7="",0,INDEX(Acct1_Raw!$B$3:$BO$26,MATCH(Months_Ref!$A$7,Acct1_Raw!$A$3:$A$26,0),MATCH($A40,Acct1_Raw!$B$1:$BO$1,0))),0)</f>
        <v/>
      </c>
      <c r="H40" s="70">
        <f>IFERROR(IF(Months_Ref!$A$2="",0,INDEX(Acct2_Raw!$B$3:$BO$26,MATCH(Months_Ref!$A$2,Acct2_Raw!$A$3:$A$26,0),MATCH($A40,Acct2_Raw!$B$1:$BO$1,0))),0)</f>
        <v/>
      </c>
      <c r="I40" s="70">
        <f>IFERROR(IF(Months_Ref!$A$3="",0,INDEX(Acct2_Raw!$B$3:$BO$26,MATCH(Months_Ref!$A$3,Acct2_Raw!$A$3:$A$26,0),MATCH($A40,Acct2_Raw!$B$1:$BO$1,0))),0)</f>
        <v/>
      </c>
      <c r="J40" s="70">
        <f>IFERROR(IF(Months_Ref!$A$4="",0,INDEX(Acct2_Raw!$B$3:$BO$26,MATCH(Months_Ref!$A$4,Acct2_Raw!$A$3:$A$26,0),MATCH($A40,Acct2_Raw!$B$1:$BO$1,0))),0)</f>
        <v/>
      </c>
      <c r="K40" s="70">
        <f>IFERROR(IF(Months_Ref!$A$5="",0,INDEX(Acct2_Raw!$B$3:$BO$26,MATCH(Months_Ref!$A$5,Acct2_Raw!$A$3:$A$26,0),MATCH($A40,Acct2_Raw!$B$1:$BO$1,0))),0)</f>
        <v/>
      </c>
      <c r="L40" s="70">
        <f>IFERROR(IF(Months_Ref!$A$6="",0,INDEX(Acct2_Raw!$B$3:$BO$26,MATCH(Months_Ref!$A$6,Acct2_Raw!$A$3:$A$26,0),MATCH($A40,Acct2_Raw!$B$1:$BO$1,0))),0)</f>
        <v/>
      </c>
      <c r="M40" s="70">
        <f>IFERROR(IF(Months_Ref!$A$7="",0,INDEX(Acct2_Raw!$B$3:$BO$26,MATCH(Months_Ref!$A$7,Acct2_Raw!$A$3:$A$26,0),MATCH($A40,Acct2_Raw!$B$1:$BO$1,0))),0)</f>
        <v/>
      </c>
      <c r="N40" s="70">
        <f>B40+H40</f>
        <v/>
      </c>
      <c r="O40" s="70">
        <f>C40+I40</f>
        <v/>
      </c>
      <c r="P40" s="70">
        <f>D40+J40</f>
        <v/>
      </c>
      <c r="Q40" s="70">
        <f>E40+K40</f>
        <v/>
      </c>
      <c r="R40" s="70">
        <f>F40+L40</f>
        <v/>
      </c>
      <c r="S40" s="70">
        <f>G40+M40</f>
        <v/>
      </c>
    </row>
    <row r="41" ht="15" customHeight="1" s="65">
      <c r="A41" s="72" t="inlineStr">
        <is>
          <t>Lambda($)</t>
        </is>
      </c>
      <c r="B41" s="70">
        <f>IFERROR(IF(Months_Ref!$A$2="",0,INDEX(Acct1_Raw!$B$3:$BO$26,MATCH(Months_Ref!$A$2,Acct1_Raw!$A$3:$A$26,0),MATCH($A41,Acct1_Raw!$B$1:$BO$1,0))),0)</f>
        <v/>
      </c>
      <c r="C41" s="70">
        <f>IFERROR(IF(Months_Ref!$A$3="",0,INDEX(Acct1_Raw!$B$3:$BO$26,MATCH(Months_Ref!$A$3,Acct1_Raw!$A$3:$A$26,0),MATCH($A41,Acct1_Raw!$B$1:$BO$1,0))),0)</f>
        <v/>
      </c>
      <c r="D41" s="70">
        <f>IFERROR(IF(Months_Ref!$A$4="",0,INDEX(Acct1_Raw!$B$3:$BO$26,MATCH(Months_Ref!$A$4,Acct1_Raw!$A$3:$A$26,0),MATCH($A41,Acct1_Raw!$B$1:$BO$1,0))),0)</f>
        <v/>
      </c>
      <c r="E41" s="70">
        <f>IFERROR(IF(Months_Ref!$A$5="",0,INDEX(Acct1_Raw!$B$3:$BO$26,MATCH(Months_Ref!$A$5,Acct1_Raw!$A$3:$A$26,0),MATCH($A41,Acct1_Raw!$B$1:$BO$1,0))),0)</f>
        <v/>
      </c>
      <c r="F41" s="70">
        <f>IFERROR(IF(Months_Ref!$A$6="",0,INDEX(Acct1_Raw!$B$3:$BO$26,MATCH(Months_Ref!$A$6,Acct1_Raw!$A$3:$A$26,0),MATCH($A41,Acct1_Raw!$B$1:$BO$1,0))),0)</f>
        <v/>
      </c>
      <c r="G41" s="70">
        <f>IFERROR(IF(Months_Ref!$A$7="",0,INDEX(Acct1_Raw!$B$3:$BO$26,MATCH(Months_Ref!$A$7,Acct1_Raw!$A$3:$A$26,0),MATCH($A41,Acct1_Raw!$B$1:$BO$1,0))),0)</f>
        <v/>
      </c>
      <c r="H41" s="70">
        <f>IFERROR(IF(Months_Ref!$A$2="",0,INDEX(Acct2_Raw!$B$3:$BO$26,MATCH(Months_Ref!$A$2,Acct2_Raw!$A$3:$A$26,0),MATCH($A41,Acct2_Raw!$B$1:$BO$1,0))),0)</f>
        <v/>
      </c>
      <c r="I41" s="70">
        <f>IFERROR(IF(Months_Ref!$A$3="",0,INDEX(Acct2_Raw!$B$3:$BO$26,MATCH(Months_Ref!$A$3,Acct2_Raw!$A$3:$A$26,0),MATCH($A41,Acct2_Raw!$B$1:$BO$1,0))),0)</f>
        <v/>
      </c>
      <c r="J41" s="70">
        <f>IFERROR(IF(Months_Ref!$A$4="",0,INDEX(Acct2_Raw!$B$3:$BO$26,MATCH(Months_Ref!$A$4,Acct2_Raw!$A$3:$A$26,0),MATCH($A41,Acct2_Raw!$B$1:$BO$1,0))),0)</f>
        <v/>
      </c>
      <c r="K41" s="70">
        <f>IFERROR(IF(Months_Ref!$A$5="",0,INDEX(Acct2_Raw!$B$3:$BO$26,MATCH(Months_Ref!$A$5,Acct2_Raw!$A$3:$A$26,0),MATCH($A41,Acct2_Raw!$B$1:$BO$1,0))),0)</f>
        <v/>
      </c>
      <c r="L41" s="70">
        <f>IFERROR(IF(Months_Ref!$A$6="",0,INDEX(Acct2_Raw!$B$3:$BO$26,MATCH(Months_Ref!$A$6,Acct2_Raw!$A$3:$A$26,0),MATCH($A41,Acct2_Raw!$B$1:$BO$1,0))),0)</f>
        <v/>
      </c>
      <c r="M41" s="70">
        <f>IFERROR(IF(Months_Ref!$A$7="",0,INDEX(Acct2_Raw!$B$3:$BO$26,MATCH(Months_Ref!$A$7,Acct2_Raw!$A$3:$A$26,0),MATCH($A41,Acct2_Raw!$B$1:$BO$1,0))),0)</f>
        <v/>
      </c>
      <c r="N41" s="70">
        <f>B41+H41</f>
        <v/>
      </c>
      <c r="O41" s="70">
        <f>C41+I41</f>
        <v/>
      </c>
      <c r="P41" s="70">
        <f>D41+J41</f>
        <v/>
      </c>
      <c r="Q41" s="70">
        <f>E41+K41</f>
        <v/>
      </c>
      <c r="R41" s="70">
        <f>F41+L41</f>
        <v/>
      </c>
      <c r="S41" s="70">
        <f>G41+M41</f>
        <v/>
      </c>
    </row>
    <row r="42" ht="15" customHeight="1" s="65">
      <c r="A42" s="72" t="inlineStr">
        <is>
          <t>Lex($)</t>
        </is>
      </c>
      <c r="B42" s="70">
        <f>IFERROR(IF(Months_Ref!$A$2="",0,INDEX(Acct1_Raw!$B$3:$BO$26,MATCH(Months_Ref!$A$2,Acct1_Raw!$A$3:$A$26,0),MATCH($A42,Acct1_Raw!$B$1:$BO$1,0))),0)</f>
        <v/>
      </c>
      <c r="C42" s="70">
        <f>IFERROR(IF(Months_Ref!$A$3="",0,INDEX(Acct1_Raw!$B$3:$BO$26,MATCH(Months_Ref!$A$3,Acct1_Raw!$A$3:$A$26,0),MATCH($A42,Acct1_Raw!$B$1:$BO$1,0))),0)</f>
        <v/>
      </c>
      <c r="D42" s="70">
        <f>IFERROR(IF(Months_Ref!$A$4="",0,INDEX(Acct1_Raw!$B$3:$BO$26,MATCH(Months_Ref!$A$4,Acct1_Raw!$A$3:$A$26,0),MATCH($A42,Acct1_Raw!$B$1:$BO$1,0))),0)</f>
        <v/>
      </c>
      <c r="E42" s="70">
        <f>IFERROR(IF(Months_Ref!$A$5="",0,INDEX(Acct1_Raw!$B$3:$BO$26,MATCH(Months_Ref!$A$5,Acct1_Raw!$A$3:$A$26,0),MATCH($A42,Acct1_Raw!$B$1:$BO$1,0))),0)</f>
        <v/>
      </c>
      <c r="F42" s="70">
        <f>IFERROR(IF(Months_Ref!$A$6="",0,INDEX(Acct1_Raw!$B$3:$BO$26,MATCH(Months_Ref!$A$6,Acct1_Raw!$A$3:$A$26,0),MATCH($A42,Acct1_Raw!$B$1:$BO$1,0))),0)</f>
        <v/>
      </c>
      <c r="G42" s="70">
        <f>IFERROR(IF(Months_Ref!$A$7="",0,INDEX(Acct1_Raw!$B$3:$BO$26,MATCH(Months_Ref!$A$7,Acct1_Raw!$A$3:$A$26,0),MATCH($A42,Acct1_Raw!$B$1:$BO$1,0))),0)</f>
        <v/>
      </c>
      <c r="H42" s="70">
        <f>IFERROR(IF(Months_Ref!$A$2="",0,INDEX(Acct2_Raw!$B$3:$BO$26,MATCH(Months_Ref!$A$2,Acct2_Raw!$A$3:$A$26,0),MATCH($A42,Acct2_Raw!$B$1:$BO$1,0))),0)</f>
        <v/>
      </c>
      <c r="I42" s="70">
        <f>IFERROR(IF(Months_Ref!$A$3="",0,INDEX(Acct2_Raw!$B$3:$BO$26,MATCH(Months_Ref!$A$3,Acct2_Raw!$A$3:$A$26,0),MATCH($A42,Acct2_Raw!$B$1:$BO$1,0))),0)</f>
        <v/>
      </c>
      <c r="J42" s="70">
        <f>IFERROR(IF(Months_Ref!$A$4="",0,INDEX(Acct2_Raw!$B$3:$BO$26,MATCH(Months_Ref!$A$4,Acct2_Raw!$A$3:$A$26,0),MATCH($A42,Acct2_Raw!$B$1:$BO$1,0))),0)</f>
        <v/>
      </c>
      <c r="K42" s="70">
        <f>IFERROR(IF(Months_Ref!$A$5="",0,INDEX(Acct2_Raw!$B$3:$BO$26,MATCH(Months_Ref!$A$5,Acct2_Raw!$A$3:$A$26,0),MATCH($A42,Acct2_Raw!$B$1:$BO$1,0))),0)</f>
        <v/>
      </c>
      <c r="L42" s="70">
        <f>IFERROR(IF(Months_Ref!$A$6="",0,INDEX(Acct2_Raw!$B$3:$BO$26,MATCH(Months_Ref!$A$6,Acct2_Raw!$A$3:$A$26,0),MATCH($A42,Acct2_Raw!$B$1:$BO$1,0))),0)</f>
        <v/>
      </c>
      <c r="M42" s="70">
        <f>IFERROR(IF(Months_Ref!$A$7="",0,INDEX(Acct2_Raw!$B$3:$BO$26,MATCH(Months_Ref!$A$7,Acct2_Raw!$A$3:$A$26,0),MATCH($A42,Acct2_Raw!$B$1:$BO$1,0))),0)</f>
        <v/>
      </c>
      <c r="N42" s="70">
        <f>B42+H42</f>
        <v/>
      </c>
      <c r="O42" s="70">
        <f>C42+I42</f>
        <v/>
      </c>
      <c r="P42" s="70">
        <f>D42+J42</f>
        <v/>
      </c>
      <c r="Q42" s="70">
        <f>E42+K42</f>
        <v/>
      </c>
      <c r="R42" s="70">
        <f>F42+L42</f>
        <v/>
      </c>
      <c r="S42" s="70">
        <f>G42+M42</f>
        <v/>
      </c>
    </row>
    <row r="43" ht="15" customHeight="1" s="65">
      <c r="A43" s="72" t="inlineStr">
        <is>
          <t>Lightsail($)</t>
        </is>
      </c>
      <c r="B43" s="70">
        <f>IFERROR(IF(Months_Ref!$A$2="",0,INDEX(Acct1_Raw!$B$3:$BO$26,MATCH(Months_Ref!$A$2,Acct1_Raw!$A$3:$A$26,0),MATCH($A43,Acct1_Raw!$B$1:$BO$1,0))),0)</f>
        <v/>
      </c>
      <c r="C43" s="70">
        <f>IFERROR(IF(Months_Ref!$A$3="",0,INDEX(Acct1_Raw!$B$3:$BO$26,MATCH(Months_Ref!$A$3,Acct1_Raw!$A$3:$A$26,0),MATCH($A43,Acct1_Raw!$B$1:$BO$1,0))),0)</f>
        <v/>
      </c>
      <c r="D43" s="70">
        <f>IFERROR(IF(Months_Ref!$A$4="",0,INDEX(Acct1_Raw!$B$3:$BO$26,MATCH(Months_Ref!$A$4,Acct1_Raw!$A$3:$A$26,0),MATCH($A43,Acct1_Raw!$B$1:$BO$1,0))),0)</f>
        <v/>
      </c>
      <c r="E43" s="70">
        <f>IFERROR(IF(Months_Ref!$A$5="",0,INDEX(Acct1_Raw!$B$3:$BO$26,MATCH(Months_Ref!$A$5,Acct1_Raw!$A$3:$A$26,0),MATCH($A43,Acct1_Raw!$B$1:$BO$1,0))),0)</f>
        <v/>
      </c>
      <c r="F43" s="70">
        <f>IFERROR(IF(Months_Ref!$A$6="",0,INDEX(Acct1_Raw!$B$3:$BO$26,MATCH(Months_Ref!$A$6,Acct1_Raw!$A$3:$A$26,0),MATCH($A43,Acct1_Raw!$B$1:$BO$1,0))),0)</f>
        <v/>
      </c>
      <c r="G43" s="70">
        <f>IFERROR(IF(Months_Ref!$A$7="",0,INDEX(Acct1_Raw!$B$3:$BO$26,MATCH(Months_Ref!$A$7,Acct1_Raw!$A$3:$A$26,0),MATCH($A43,Acct1_Raw!$B$1:$BO$1,0))),0)</f>
        <v/>
      </c>
      <c r="H43" s="70">
        <f>IFERROR(IF(Months_Ref!$A$2="",0,INDEX(Acct2_Raw!$B$3:$BO$26,MATCH(Months_Ref!$A$2,Acct2_Raw!$A$3:$A$26,0),MATCH($A43,Acct2_Raw!$B$1:$BO$1,0))),0)</f>
        <v/>
      </c>
      <c r="I43" s="70">
        <f>IFERROR(IF(Months_Ref!$A$3="",0,INDEX(Acct2_Raw!$B$3:$BO$26,MATCH(Months_Ref!$A$3,Acct2_Raw!$A$3:$A$26,0),MATCH($A43,Acct2_Raw!$B$1:$BO$1,0))),0)</f>
        <v/>
      </c>
      <c r="J43" s="70">
        <f>IFERROR(IF(Months_Ref!$A$4="",0,INDEX(Acct2_Raw!$B$3:$BO$26,MATCH(Months_Ref!$A$4,Acct2_Raw!$A$3:$A$26,0),MATCH($A43,Acct2_Raw!$B$1:$BO$1,0))),0)</f>
        <v/>
      </c>
      <c r="K43" s="70">
        <f>IFERROR(IF(Months_Ref!$A$5="",0,INDEX(Acct2_Raw!$B$3:$BO$26,MATCH(Months_Ref!$A$5,Acct2_Raw!$A$3:$A$26,0),MATCH($A43,Acct2_Raw!$B$1:$BO$1,0))),0)</f>
        <v/>
      </c>
      <c r="L43" s="70">
        <f>IFERROR(IF(Months_Ref!$A$6="",0,INDEX(Acct2_Raw!$B$3:$BO$26,MATCH(Months_Ref!$A$6,Acct2_Raw!$A$3:$A$26,0),MATCH($A43,Acct2_Raw!$B$1:$BO$1,0))),0)</f>
        <v/>
      </c>
      <c r="M43" s="70">
        <f>IFERROR(IF(Months_Ref!$A$7="",0,INDEX(Acct2_Raw!$B$3:$BO$26,MATCH(Months_Ref!$A$7,Acct2_Raw!$A$3:$A$26,0),MATCH($A43,Acct2_Raw!$B$1:$BO$1,0))),0)</f>
        <v/>
      </c>
      <c r="N43" s="70">
        <f>B43+H43</f>
        <v/>
      </c>
      <c r="O43" s="70">
        <f>C43+I43</f>
        <v/>
      </c>
      <c r="P43" s="70">
        <f>D43+J43</f>
        <v/>
      </c>
      <c r="Q43" s="70">
        <f>E43+K43</f>
        <v/>
      </c>
      <c r="R43" s="70">
        <f>F43+L43</f>
        <v/>
      </c>
      <c r="S43" s="70">
        <f>G43+M43</f>
        <v/>
      </c>
    </row>
    <row r="44" ht="15" customHeight="1" s="65">
      <c r="A44" s="72" t="inlineStr">
        <is>
          <t>Macie($)</t>
        </is>
      </c>
      <c r="B44" s="70">
        <f>IFERROR(IF(Months_Ref!$A$2="",0,INDEX(Acct1_Raw!$B$3:$BO$26,MATCH(Months_Ref!$A$2,Acct1_Raw!$A$3:$A$26,0),MATCH($A44,Acct1_Raw!$B$1:$BO$1,0))),0)</f>
        <v/>
      </c>
      <c r="C44" s="70">
        <f>IFERROR(IF(Months_Ref!$A$3="",0,INDEX(Acct1_Raw!$B$3:$BO$26,MATCH(Months_Ref!$A$3,Acct1_Raw!$A$3:$A$26,0),MATCH($A44,Acct1_Raw!$B$1:$BO$1,0))),0)</f>
        <v/>
      </c>
      <c r="D44" s="70">
        <f>IFERROR(IF(Months_Ref!$A$4="",0,INDEX(Acct1_Raw!$B$3:$BO$26,MATCH(Months_Ref!$A$4,Acct1_Raw!$A$3:$A$26,0),MATCH($A44,Acct1_Raw!$B$1:$BO$1,0))),0)</f>
        <v/>
      </c>
      <c r="E44" s="70">
        <f>IFERROR(IF(Months_Ref!$A$5="",0,INDEX(Acct1_Raw!$B$3:$BO$26,MATCH(Months_Ref!$A$5,Acct1_Raw!$A$3:$A$26,0),MATCH($A44,Acct1_Raw!$B$1:$BO$1,0))),0)</f>
        <v/>
      </c>
      <c r="F44" s="70">
        <f>IFERROR(IF(Months_Ref!$A$6="",0,INDEX(Acct1_Raw!$B$3:$BO$26,MATCH(Months_Ref!$A$6,Acct1_Raw!$A$3:$A$26,0),MATCH($A44,Acct1_Raw!$B$1:$BO$1,0))),0)</f>
        <v/>
      </c>
      <c r="G44" s="70">
        <f>IFERROR(IF(Months_Ref!$A$7="",0,INDEX(Acct1_Raw!$B$3:$BO$26,MATCH(Months_Ref!$A$7,Acct1_Raw!$A$3:$A$26,0),MATCH($A44,Acct1_Raw!$B$1:$BO$1,0))),0)</f>
        <v/>
      </c>
      <c r="H44" s="70">
        <f>IFERROR(IF(Months_Ref!$A$2="",0,INDEX(Acct2_Raw!$B$3:$BO$26,MATCH(Months_Ref!$A$2,Acct2_Raw!$A$3:$A$26,0),MATCH($A44,Acct2_Raw!$B$1:$BO$1,0))),0)</f>
        <v/>
      </c>
      <c r="I44" s="70">
        <f>IFERROR(IF(Months_Ref!$A$3="",0,INDEX(Acct2_Raw!$B$3:$BO$26,MATCH(Months_Ref!$A$3,Acct2_Raw!$A$3:$A$26,0),MATCH($A44,Acct2_Raw!$B$1:$BO$1,0))),0)</f>
        <v/>
      </c>
      <c r="J44" s="70">
        <f>IFERROR(IF(Months_Ref!$A$4="",0,INDEX(Acct2_Raw!$B$3:$BO$26,MATCH(Months_Ref!$A$4,Acct2_Raw!$A$3:$A$26,0),MATCH($A44,Acct2_Raw!$B$1:$BO$1,0))),0)</f>
        <v/>
      </c>
      <c r="K44" s="70">
        <f>IFERROR(IF(Months_Ref!$A$5="",0,INDEX(Acct2_Raw!$B$3:$BO$26,MATCH(Months_Ref!$A$5,Acct2_Raw!$A$3:$A$26,0),MATCH($A44,Acct2_Raw!$B$1:$BO$1,0))),0)</f>
        <v/>
      </c>
      <c r="L44" s="70">
        <f>IFERROR(IF(Months_Ref!$A$6="",0,INDEX(Acct2_Raw!$B$3:$BO$26,MATCH(Months_Ref!$A$6,Acct2_Raw!$A$3:$A$26,0),MATCH($A44,Acct2_Raw!$B$1:$BO$1,0))),0)</f>
        <v/>
      </c>
      <c r="M44" s="70">
        <f>IFERROR(IF(Months_Ref!$A$7="",0,INDEX(Acct2_Raw!$B$3:$BO$26,MATCH(Months_Ref!$A$7,Acct2_Raw!$A$3:$A$26,0),MATCH($A44,Acct2_Raw!$B$1:$BO$1,0))),0)</f>
        <v/>
      </c>
      <c r="N44" s="70">
        <f>B44+H44</f>
        <v/>
      </c>
      <c r="O44" s="70">
        <f>C44+I44</f>
        <v/>
      </c>
      <c r="P44" s="70">
        <f>D44+J44</f>
        <v/>
      </c>
      <c r="Q44" s="70">
        <f>E44+K44</f>
        <v/>
      </c>
      <c r="R44" s="70">
        <f>F44+L44</f>
        <v/>
      </c>
      <c r="S44" s="70">
        <f>G44+M44</f>
        <v/>
      </c>
    </row>
    <row r="45" ht="15" customHeight="1" s="65">
      <c r="A45" s="72" t="inlineStr">
        <is>
          <t>Organizations($)</t>
        </is>
      </c>
      <c r="B45" s="70">
        <f>IFERROR(IF(Months_Ref!$A$2="",0,INDEX(Acct1_Raw!$B$3:$BO$26,MATCH(Months_Ref!$A$2,Acct1_Raw!$A$3:$A$26,0),MATCH($A45,Acct1_Raw!$B$1:$BO$1,0))),0)</f>
        <v/>
      </c>
      <c r="C45" s="70">
        <f>IFERROR(IF(Months_Ref!$A$3="",0,INDEX(Acct1_Raw!$B$3:$BO$26,MATCH(Months_Ref!$A$3,Acct1_Raw!$A$3:$A$26,0),MATCH($A45,Acct1_Raw!$B$1:$BO$1,0))),0)</f>
        <v/>
      </c>
      <c r="D45" s="70">
        <f>IFERROR(IF(Months_Ref!$A$4="",0,INDEX(Acct1_Raw!$B$3:$BO$26,MATCH(Months_Ref!$A$4,Acct1_Raw!$A$3:$A$26,0),MATCH($A45,Acct1_Raw!$B$1:$BO$1,0))),0)</f>
        <v/>
      </c>
      <c r="E45" s="70">
        <f>IFERROR(IF(Months_Ref!$A$5="",0,INDEX(Acct1_Raw!$B$3:$BO$26,MATCH(Months_Ref!$A$5,Acct1_Raw!$A$3:$A$26,0),MATCH($A45,Acct1_Raw!$B$1:$BO$1,0))),0)</f>
        <v/>
      </c>
      <c r="F45" s="70">
        <f>IFERROR(IF(Months_Ref!$A$6="",0,INDEX(Acct1_Raw!$B$3:$BO$26,MATCH(Months_Ref!$A$6,Acct1_Raw!$A$3:$A$26,0),MATCH($A45,Acct1_Raw!$B$1:$BO$1,0))),0)</f>
        <v/>
      </c>
      <c r="G45" s="70">
        <f>IFERROR(IF(Months_Ref!$A$7="",0,INDEX(Acct1_Raw!$B$3:$BO$26,MATCH(Months_Ref!$A$7,Acct1_Raw!$A$3:$A$26,0),MATCH($A45,Acct1_Raw!$B$1:$BO$1,0))),0)</f>
        <v/>
      </c>
      <c r="H45" s="70">
        <f>IFERROR(IF(Months_Ref!$A$2="",0,INDEX(Acct2_Raw!$B$3:$BO$26,MATCH(Months_Ref!$A$2,Acct2_Raw!$A$3:$A$26,0),MATCH($A45,Acct2_Raw!$B$1:$BO$1,0))),0)</f>
        <v/>
      </c>
      <c r="I45" s="70">
        <f>IFERROR(IF(Months_Ref!$A$3="",0,INDEX(Acct2_Raw!$B$3:$BO$26,MATCH(Months_Ref!$A$3,Acct2_Raw!$A$3:$A$26,0),MATCH($A45,Acct2_Raw!$B$1:$BO$1,0))),0)</f>
        <v/>
      </c>
      <c r="J45" s="70">
        <f>IFERROR(IF(Months_Ref!$A$4="",0,INDEX(Acct2_Raw!$B$3:$BO$26,MATCH(Months_Ref!$A$4,Acct2_Raw!$A$3:$A$26,0),MATCH($A45,Acct2_Raw!$B$1:$BO$1,0))),0)</f>
        <v/>
      </c>
      <c r="K45" s="70">
        <f>IFERROR(IF(Months_Ref!$A$5="",0,INDEX(Acct2_Raw!$B$3:$BO$26,MATCH(Months_Ref!$A$5,Acct2_Raw!$A$3:$A$26,0),MATCH($A45,Acct2_Raw!$B$1:$BO$1,0))),0)</f>
        <v/>
      </c>
      <c r="L45" s="70">
        <f>IFERROR(IF(Months_Ref!$A$6="",0,INDEX(Acct2_Raw!$B$3:$BO$26,MATCH(Months_Ref!$A$6,Acct2_Raw!$A$3:$A$26,0),MATCH($A45,Acct2_Raw!$B$1:$BO$1,0))),0)</f>
        <v/>
      </c>
      <c r="M45" s="70">
        <f>IFERROR(IF(Months_Ref!$A$7="",0,INDEX(Acct2_Raw!$B$3:$BO$26,MATCH(Months_Ref!$A$7,Acct2_Raw!$A$3:$A$26,0),MATCH($A45,Acct2_Raw!$B$1:$BO$1,0))),0)</f>
        <v/>
      </c>
      <c r="N45" s="70">
        <f>B45+H45</f>
        <v/>
      </c>
      <c r="O45" s="70">
        <f>C45+I45</f>
        <v/>
      </c>
      <c r="P45" s="70">
        <f>D45+J45</f>
        <v/>
      </c>
      <c r="Q45" s="70">
        <f>E45+K45</f>
        <v/>
      </c>
      <c r="R45" s="70">
        <f>F45+L45</f>
        <v/>
      </c>
      <c r="S45" s="70">
        <f>G45+M45</f>
        <v/>
      </c>
    </row>
    <row r="46" ht="15" customHeight="1" s="65">
      <c r="A46" s="72" t="inlineStr">
        <is>
          <t>Polly($)</t>
        </is>
      </c>
      <c r="B46" s="70">
        <f>IFERROR(IF(Months_Ref!$A$2="",0,INDEX(Acct1_Raw!$B$3:$BO$26,MATCH(Months_Ref!$A$2,Acct1_Raw!$A$3:$A$26,0),MATCH($A46,Acct1_Raw!$B$1:$BO$1,0))),0)</f>
        <v/>
      </c>
      <c r="C46" s="70">
        <f>IFERROR(IF(Months_Ref!$A$3="",0,INDEX(Acct1_Raw!$B$3:$BO$26,MATCH(Months_Ref!$A$3,Acct1_Raw!$A$3:$A$26,0),MATCH($A46,Acct1_Raw!$B$1:$BO$1,0))),0)</f>
        <v/>
      </c>
      <c r="D46" s="70">
        <f>IFERROR(IF(Months_Ref!$A$4="",0,INDEX(Acct1_Raw!$B$3:$BO$26,MATCH(Months_Ref!$A$4,Acct1_Raw!$A$3:$A$26,0),MATCH($A46,Acct1_Raw!$B$1:$BO$1,0))),0)</f>
        <v/>
      </c>
      <c r="E46" s="70">
        <f>IFERROR(IF(Months_Ref!$A$5="",0,INDEX(Acct1_Raw!$B$3:$BO$26,MATCH(Months_Ref!$A$5,Acct1_Raw!$A$3:$A$26,0),MATCH($A46,Acct1_Raw!$B$1:$BO$1,0))),0)</f>
        <v/>
      </c>
      <c r="F46" s="70">
        <f>IFERROR(IF(Months_Ref!$A$6="",0,INDEX(Acct1_Raw!$B$3:$BO$26,MATCH(Months_Ref!$A$6,Acct1_Raw!$A$3:$A$26,0),MATCH($A46,Acct1_Raw!$B$1:$BO$1,0))),0)</f>
        <v/>
      </c>
      <c r="G46" s="70">
        <f>IFERROR(IF(Months_Ref!$A$7="",0,INDEX(Acct1_Raw!$B$3:$BO$26,MATCH(Months_Ref!$A$7,Acct1_Raw!$A$3:$A$26,0),MATCH($A46,Acct1_Raw!$B$1:$BO$1,0))),0)</f>
        <v/>
      </c>
      <c r="H46" s="70">
        <f>IFERROR(IF(Months_Ref!$A$2="",0,INDEX(Acct2_Raw!$B$3:$BO$26,MATCH(Months_Ref!$A$2,Acct2_Raw!$A$3:$A$26,0),MATCH($A46,Acct2_Raw!$B$1:$BO$1,0))),0)</f>
        <v/>
      </c>
      <c r="I46" s="70">
        <f>IFERROR(IF(Months_Ref!$A$3="",0,INDEX(Acct2_Raw!$B$3:$BO$26,MATCH(Months_Ref!$A$3,Acct2_Raw!$A$3:$A$26,0),MATCH($A46,Acct2_Raw!$B$1:$BO$1,0))),0)</f>
        <v/>
      </c>
      <c r="J46" s="70">
        <f>IFERROR(IF(Months_Ref!$A$4="",0,INDEX(Acct2_Raw!$B$3:$BO$26,MATCH(Months_Ref!$A$4,Acct2_Raw!$A$3:$A$26,0),MATCH($A46,Acct2_Raw!$B$1:$BO$1,0))),0)</f>
        <v/>
      </c>
      <c r="K46" s="70">
        <f>IFERROR(IF(Months_Ref!$A$5="",0,INDEX(Acct2_Raw!$B$3:$BO$26,MATCH(Months_Ref!$A$5,Acct2_Raw!$A$3:$A$26,0),MATCH($A46,Acct2_Raw!$B$1:$BO$1,0))),0)</f>
        <v/>
      </c>
      <c r="L46" s="70">
        <f>IFERROR(IF(Months_Ref!$A$6="",0,INDEX(Acct2_Raw!$B$3:$BO$26,MATCH(Months_Ref!$A$6,Acct2_Raw!$A$3:$A$26,0),MATCH($A46,Acct2_Raw!$B$1:$BO$1,0))),0)</f>
        <v/>
      </c>
      <c r="M46" s="70">
        <f>IFERROR(IF(Months_Ref!$A$7="",0,INDEX(Acct2_Raw!$B$3:$BO$26,MATCH(Months_Ref!$A$7,Acct2_Raw!$A$3:$A$26,0),MATCH($A46,Acct2_Raw!$B$1:$BO$1,0))),0)</f>
        <v/>
      </c>
      <c r="N46" s="70">
        <f>B46+H46</f>
        <v/>
      </c>
      <c r="O46" s="70">
        <f>C46+I46</f>
        <v/>
      </c>
      <c r="P46" s="70">
        <f>D46+J46</f>
        <v/>
      </c>
      <c r="Q46" s="70">
        <f>E46+K46</f>
        <v/>
      </c>
      <c r="R46" s="70">
        <f>F46+L46</f>
        <v/>
      </c>
      <c r="S46" s="70">
        <f>G46+M46</f>
        <v/>
      </c>
    </row>
    <row r="47" ht="15" customHeight="1" s="65">
      <c r="A47" s="72" t="inlineStr">
        <is>
          <t>Redshift($)</t>
        </is>
      </c>
      <c r="B47" s="70">
        <f>IFERROR(IF(Months_Ref!$A$2="",0,INDEX(Acct1_Raw!$B$3:$BO$26,MATCH(Months_Ref!$A$2,Acct1_Raw!$A$3:$A$26,0),MATCH($A47,Acct1_Raw!$B$1:$BO$1,0))),0)</f>
        <v/>
      </c>
      <c r="C47" s="70">
        <f>IFERROR(IF(Months_Ref!$A$3="",0,INDEX(Acct1_Raw!$B$3:$BO$26,MATCH(Months_Ref!$A$3,Acct1_Raw!$A$3:$A$26,0),MATCH($A47,Acct1_Raw!$B$1:$BO$1,0))),0)</f>
        <v/>
      </c>
      <c r="D47" s="70">
        <f>IFERROR(IF(Months_Ref!$A$4="",0,INDEX(Acct1_Raw!$B$3:$BO$26,MATCH(Months_Ref!$A$4,Acct1_Raw!$A$3:$A$26,0),MATCH($A47,Acct1_Raw!$B$1:$BO$1,0))),0)</f>
        <v/>
      </c>
      <c r="E47" s="70">
        <f>IFERROR(IF(Months_Ref!$A$5="",0,INDEX(Acct1_Raw!$B$3:$BO$26,MATCH(Months_Ref!$A$5,Acct1_Raw!$A$3:$A$26,0),MATCH($A47,Acct1_Raw!$B$1:$BO$1,0))),0)</f>
        <v/>
      </c>
      <c r="F47" s="70">
        <f>IFERROR(IF(Months_Ref!$A$6="",0,INDEX(Acct1_Raw!$B$3:$BO$26,MATCH(Months_Ref!$A$6,Acct1_Raw!$A$3:$A$26,0),MATCH($A47,Acct1_Raw!$B$1:$BO$1,0))),0)</f>
        <v/>
      </c>
      <c r="G47" s="70">
        <f>IFERROR(IF(Months_Ref!$A$7="",0,INDEX(Acct1_Raw!$B$3:$BO$26,MATCH(Months_Ref!$A$7,Acct1_Raw!$A$3:$A$26,0),MATCH($A47,Acct1_Raw!$B$1:$BO$1,0))),0)</f>
        <v/>
      </c>
      <c r="H47" s="70">
        <f>IFERROR(IF(Months_Ref!$A$2="",0,INDEX(Acct2_Raw!$B$3:$BO$26,MATCH(Months_Ref!$A$2,Acct2_Raw!$A$3:$A$26,0),MATCH($A47,Acct2_Raw!$B$1:$BO$1,0))),0)</f>
        <v/>
      </c>
      <c r="I47" s="70">
        <f>IFERROR(IF(Months_Ref!$A$3="",0,INDEX(Acct2_Raw!$B$3:$BO$26,MATCH(Months_Ref!$A$3,Acct2_Raw!$A$3:$A$26,0),MATCH($A47,Acct2_Raw!$B$1:$BO$1,0))),0)</f>
        <v/>
      </c>
      <c r="J47" s="70">
        <f>IFERROR(IF(Months_Ref!$A$4="",0,INDEX(Acct2_Raw!$B$3:$BO$26,MATCH(Months_Ref!$A$4,Acct2_Raw!$A$3:$A$26,0),MATCH($A47,Acct2_Raw!$B$1:$BO$1,0))),0)</f>
        <v/>
      </c>
      <c r="K47" s="70">
        <f>IFERROR(IF(Months_Ref!$A$5="",0,INDEX(Acct2_Raw!$B$3:$BO$26,MATCH(Months_Ref!$A$5,Acct2_Raw!$A$3:$A$26,0),MATCH($A47,Acct2_Raw!$B$1:$BO$1,0))),0)</f>
        <v/>
      </c>
      <c r="L47" s="70">
        <f>IFERROR(IF(Months_Ref!$A$6="",0,INDEX(Acct2_Raw!$B$3:$BO$26,MATCH(Months_Ref!$A$6,Acct2_Raw!$A$3:$A$26,0),MATCH($A47,Acct2_Raw!$B$1:$BO$1,0))),0)</f>
        <v/>
      </c>
      <c r="M47" s="70">
        <f>IFERROR(IF(Months_Ref!$A$7="",0,INDEX(Acct2_Raw!$B$3:$BO$26,MATCH(Months_Ref!$A$7,Acct2_Raw!$A$3:$A$26,0),MATCH($A47,Acct2_Raw!$B$1:$BO$1,0))),0)</f>
        <v/>
      </c>
      <c r="N47" s="70">
        <f>B47+H47</f>
        <v/>
      </c>
      <c r="O47" s="70">
        <f>C47+I47</f>
        <v/>
      </c>
      <c r="P47" s="70">
        <f>D47+J47</f>
        <v/>
      </c>
      <c r="Q47" s="70">
        <f>E47+K47</f>
        <v/>
      </c>
      <c r="R47" s="70">
        <f>F47+L47</f>
        <v/>
      </c>
      <c r="S47" s="70">
        <f>G47+M47</f>
        <v/>
      </c>
    </row>
    <row r="48" ht="15" customHeight="1" s="65">
      <c r="A48" s="72" t="inlineStr">
        <is>
          <t>Rekognition($)</t>
        </is>
      </c>
      <c r="B48" s="70">
        <f>IFERROR(IF(Months_Ref!$A$2="",0,INDEX(Acct1_Raw!$B$3:$BO$26,MATCH(Months_Ref!$A$2,Acct1_Raw!$A$3:$A$26,0),MATCH($A48,Acct1_Raw!$B$1:$BO$1,0))),0)</f>
        <v/>
      </c>
      <c r="C48" s="70">
        <f>IFERROR(IF(Months_Ref!$A$3="",0,INDEX(Acct1_Raw!$B$3:$BO$26,MATCH(Months_Ref!$A$3,Acct1_Raw!$A$3:$A$26,0),MATCH($A48,Acct1_Raw!$B$1:$BO$1,0))),0)</f>
        <v/>
      </c>
      <c r="D48" s="70">
        <f>IFERROR(IF(Months_Ref!$A$4="",0,INDEX(Acct1_Raw!$B$3:$BO$26,MATCH(Months_Ref!$A$4,Acct1_Raw!$A$3:$A$26,0),MATCH($A48,Acct1_Raw!$B$1:$BO$1,0))),0)</f>
        <v/>
      </c>
      <c r="E48" s="70">
        <f>IFERROR(IF(Months_Ref!$A$5="",0,INDEX(Acct1_Raw!$B$3:$BO$26,MATCH(Months_Ref!$A$5,Acct1_Raw!$A$3:$A$26,0),MATCH($A48,Acct1_Raw!$B$1:$BO$1,0))),0)</f>
        <v/>
      </c>
      <c r="F48" s="70">
        <f>IFERROR(IF(Months_Ref!$A$6="",0,INDEX(Acct1_Raw!$B$3:$BO$26,MATCH(Months_Ref!$A$6,Acct1_Raw!$A$3:$A$26,0),MATCH($A48,Acct1_Raw!$B$1:$BO$1,0))),0)</f>
        <v/>
      </c>
      <c r="G48" s="70">
        <f>IFERROR(IF(Months_Ref!$A$7="",0,INDEX(Acct1_Raw!$B$3:$BO$26,MATCH(Months_Ref!$A$7,Acct1_Raw!$A$3:$A$26,0),MATCH($A48,Acct1_Raw!$B$1:$BO$1,0))),0)</f>
        <v/>
      </c>
      <c r="H48" s="70">
        <f>IFERROR(IF(Months_Ref!$A$2="",0,INDEX(Acct2_Raw!$B$3:$BO$26,MATCH(Months_Ref!$A$2,Acct2_Raw!$A$3:$A$26,0),MATCH($A48,Acct2_Raw!$B$1:$BO$1,0))),0)</f>
        <v/>
      </c>
      <c r="I48" s="70">
        <f>IFERROR(IF(Months_Ref!$A$3="",0,INDEX(Acct2_Raw!$B$3:$BO$26,MATCH(Months_Ref!$A$3,Acct2_Raw!$A$3:$A$26,0),MATCH($A48,Acct2_Raw!$B$1:$BO$1,0))),0)</f>
        <v/>
      </c>
      <c r="J48" s="70">
        <f>IFERROR(IF(Months_Ref!$A$4="",0,INDEX(Acct2_Raw!$B$3:$BO$26,MATCH(Months_Ref!$A$4,Acct2_Raw!$A$3:$A$26,0),MATCH($A48,Acct2_Raw!$B$1:$BO$1,0))),0)</f>
        <v/>
      </c>
      <c r="K48" s="70">
        <f>IFERROR(IF(Months_Ref!$A$5="",0,INDEX(Acct2_Raw!$B$3:$BO$26,MATCH(Months_Ref!$A$5,Acct2_Raw!$A$3:$A$26,0),MATCH($A48,Acct2_Raw!$B$1:$BO$1,0))),0)</f>
        <v/>
      </c>
      <c r="L48" s="70">
        <f>IFERROR(IF(Months_Ref!$A$6="",0,INDEX(Acct2_Raw!$B$3:$BO$26,MATCH(Months_Ref!$A$6,Acct2_Raw!$A$3:$A$26,0),MATCH($A48,Acct2_Raw!$B$1:$BO$1,0))),0)</f>
        <v/>
      </c>
      <c r="M48" s="70">
        <f>IFERROR(IF(Months_Ref!$A$7="",0,INDEX(Acct2_Raw!$B$3:$BO$26,MATCH(Months_Ref!$A$7,Acct2_Raw!$A$3:$A$26,0),MATCH($A48,Acct2_Raw!$B$1:$BO$1,0))),0)</f>
        <v/>
      </c>
      <c r="N48" s="70">
        <f>B48+H48</f>
        <v/>
      </c>
      <c r="O48" s="70">
        <f>C48+I48</f>
        <v/>
      </c>
      <c r="P48" s="70">
        <f>D48+J48</f>
        <v/>
      </c>
      <c r="Q48" s="70">
        <f>E48+K48</f>
        <v/>
      </c>
      <c r="R48" s="70">
        <f>F48+L48</f>
        <v/>
      </c>
      <c r="S48" s="70">
        <f>G48+M48</f>
        <v/>
      </c>
    </row>
    <row r="49" ht="15" customHeight="1" s="65">
      <c r="A49" s="72" t="inlineStr">
        <is>
          <t>Relational Database Service($)</t>
        </is>
      </c>
      <c r="B49" s="70">
        <f>IFERROR(IF(Months_Ref!$A$2="",0,INDEX(Acct1_Raw!$B$3:$BO$26,MATCH(Months_Ref!$A$2,Acct1_Raw!$A$3:$A$26,0),MATCH($A49,Acct1_Raw!$B$1:$BO$1,0))),0)</f>
        <v/>
      </c>
      <c r="C49" s="70">
        <f>IFERROR(IF(Months_Ref!$A$3="",0,INDEX(Acct1_Raw!$B$3:$BO$26,MATCH(Months_Ref!$A$3,Acct1_Raw!$A$3:$A$26,0),MATCH($A49,Acct1_Raw!$B$1:$BO$1,0))),0)</f>
        <v/>
      </c>
      <c r="D49" s="70">
        <f>IFERROR(IF(Months_Ref!$A$4="",0,INDEX(Acct1_Raw!$B$3:$BO$26,MATCH(Months_Ref!$A$4,Acct1_Raw!$A$3:$A$26,0),MATCH($A49,Acct1_Raw!$B$1:$BO$1,0))),0)</f>
        <v/>
      </c>
      <c r="E49" s="70">
        <f>IFERROR(IF(Months_Ref!$A$5="",0,INDEX(Acct1_Raw!$B$3:$BO$26,MATCH(Months_Ref!$A$5,Acct1_Raw!$A$3:$A$26,0),MATCH($A49,Acct1_Raw!$B$1:$BO$1,0))),0)</f>
        <v/>
      </c>
      <c r="F49" s="70">
        <f>IFERROR(IF(Months_Ref!$A$6="",0,INDEX(Acct1_Raw!$B$3:$BO$26,MATCH(Months_Ref!$A$6,Acct1_Raw!$A$3:$A$26,0),MATCH($A49,Acct1_Raw!$B$1:$BO$1,0))),0)</f>
        <v/>
      </c>
      <c r="G49" s="70">
        <f>IFERROR(IF(Months_Ref!$A$7="",0,INDEX(Acct1_Raw!$B$3:$BO$26,MATCH(Months_Ref!$A$7,Acct1_Raw!$A$3:$A$26,0),MATCH($A49,Acct1_Raw!$B$1:$BO$1,0))),0)</f>
        <v/>
      </c>
      <c r="H49" s="70">
        <f>IFERROR(IF(Months_Ref!$A$2="",0,INDEX(Acct2_Raw!$B$3:$BO$26,MATCH(Months_Ref!$A$2,Acct2_Raw!$A$3:$A$26,0),MATCH($A49,Acct2_Raw!$B$1:$BO$1,0))),0)</f>
        <v/>
      </c>
      <c r="I49" s="70">
        <f>IFERROR(IF(Months_Ref!$A$3="",0,INDEX(Acct2_Raw!$B$3:$BO$26,MATCH(Months_Ref!$A$3,Acct2_Raw!$A$3:$A$26,0),MATCH($A49,Acct2_Raw!$B$1:$BO$1,0))),0)</f>
        <v/>
      </c>
      <c r="J49" s="70">
        <f>IFERROR(IF(Months_Ref!$A$4="",0,INDEX(Acct2_Raw!$B$3:$BO$26,MATCH(Months_Ref!$A$4,Acct2_Raw!$A$3:$A$26,0),MATCH($A49,Acct2_Raw!$B$1:$BO$1,0))),0)</f>
        <v/>
      </c>
      <c r="K49" s="70">
        <f>IFERROR(IF(Months_Ref!$A$5="",0,INDEX(Acct2_Raw!$B$3:$BO$26,MATCH(Months_Ref!$A$5,Acct2_Raw!$A$3:$A$26,0),MATCH($A49,Acct2_Raw!$B$1:$BO$1,0))),0)</f>
        <v/>
      </c>
      <c r="L49" s="70">
        <f>IFERROR(IF(Months_Ref!$A$6="",0,INDEX(Acct2_Raw!$B$3:$BO$26,MATCH(Months_Ref!$A$6,Acct2_Raw!$A$3:$A$26,0),MATCH($A49,Acct2_Raw!$B$1:$BO$1,0))),0)</f>
        <v/>
      </c>
      <c r="M49" s="70">
        <f>IFERROR(IF(Months_Ref!$A$7="",0,INDEX(Acct2_Raw!$B$3:$BO$26,MATCH(Months_Ref!$A$7,Acct2_Raw!$A$3:$A$26,0),MATCH($A49,Acct2_Raw!$B$1:$BO$1,0))),0)</f>
        <v/>
      </c>
      <c r="N49" s="70">
        <f>B49+H49</f>
        <v/>
      </c>
      <c r="O49" s="70">
        <f>C49+I49</f>
        <v/>
      </c>
      <c r="P49" s="70">
        <f>D49+J49</f>
        <v/>
      </c>
      <c r="Q49" s="70">
        <f>E49+K49</f>
        <v/>
      </c>
      <c r="R49" s="70">
        <f>F49+L49</f>
        <v/>
      </c>
      <c r="S49" s="70">
        <f>G49+M49</f>
        <v/>
      </c>
    </row>
    <row r="50" ht="15" customHeight="1" s="65">
      <c r="A50" s="72" t="inlineStr">
        <is>
          <t>Route53($)</t>
        </is>
      </c>
      <c r="B50" s="70">
        <f>IFERROR(IF(Months_Ref!$A$2="",0,INDEX(Acct1_Raw!$B$3:$BO$26,MATCH(Months_Ref!$A$2,Acct1_Raw!$A$3:$A$26,0),MATCH($A50,Acct1_Raw!$B$1:$BO$1,0))),0)</f>
        <v/>
      </c>
      <c r="C50" s="70">
        <f>IFERROR(IF(Months_Ref!$A$3="",0,INDEX(Acct1_Raw!$B$3:$BO$26,MATCH(Months_Ref!$A$3,Acct1_Raw!$A$3:$A$26,0),MATCH($A50,Acct1_Raw!$B$1:$BO$1,0))),0)</f>
        <v/>
      </c>
      <c r="D50" s="70">
        <f>IFERROR(IF(Months_Ref!$A$4="",0,INDEX(Acct1_Raw!$B$3:$BO$26,MATCH(Months_Ref!$A$4,Acct1_Raw!$A$3:$A$26,0),MATCH($A50,Acct1_Raw!$B$1:$BO$1,0))),0)</f>
        <v/>
      </c>
      <c r="E50" s="70">
        <f>IFERROR(IF(Months_Ref!$A$5="",0,INDEX(Acct1_Raw!$B$3:$BO$26,MATCH(Months_Ref!$A$5,Acct1_Raw!$A$3:$A$26,0),MATCH($A50,Acct1_Raw!$B$1:$BO$1,0))),0)</f>
        <v/>
      </c>
      <c r="F50" s="70">
        <f>IFERROR(IF(Months_Ref!$A$6="",0,INDEX(Acct1_Raw!$B$3:$BO$26,MATCH(Months_Ref!$A$6,Acct1_Raw!$A$3:$A$26,0),MATCH($A50,Acct1_Raw!$B$1:$BO$1,0))),0)</f>
        <v/>
      </c>
      <c r="G50" s="70">
        <f>IFERROR(IF(Months_Ref!$A$7="",0,INDEX(Acct1_Raw!$B$3:$BO$26,MATCH(Months_Ref!$A$7,Acct1_Raw!$A$3:$A$26,0),MATCH($A50,Acct1_Raw!$B$1:$BO$1,0))),0)</f>
        <v/>
      </c>
      <c r="H50" s="70">
        <f>IFERROR(IF(Months_Ref!$A$2="",0,INDEX(Acct2_Raw!$B$3:$BO$26,MATCH(Months_Ref!$A$2,Acct2_Raw!$A$3:$A$26,0),MATCH($A50,Acct2_Raw!$B$1:$BO$1,0))),0)</f>
        <v/>
      </c>
      <c r="I50" s="70">
        <f>IFERROR(IF(Months_Ref!$A$3="",0,INDEX(Acct2_Raw!$B$3:$BO$26,MATCH(Months_Ref!$A$3,Acct2_Raw!$A$3:$A$26,0),MATCH($A50,Acct2_Raw!$B$1:$BO$1,0))),0)</f>
        <v/>
      </c>
      <c r="J50" s="70">
        <f>IFERROR(IF(Months_Ref!$A$4="",0,INDEX(Acct2_Raw!$B$3:$BO$26,MATCH(Months_Ref!$A$4,Acct2_Raw!$A$3:$A$26,0),MATCH($A50,Acct2_Raw!$B$1:$BO$1,0))),0)</f>
        <v/>
      </c>
      <c r="K50" s="70">
        <f>IFERROR(IF(Months_Ref!$A$5="",0,INDEX(Acct2_Raw!$B$3:$BO$26,MATCH(Months_Ref!$A$5,Acct2_Raw!$A$3:$A$26,0),MATCH($A50,Acct2_Raw!$B$1:$BO$1,0))),0)</f>
        <v/>
      </c>
      <c r="L50" s="70">
        <f>IFERROR(IF(Months_Ref!$A$6="",0,INDEX(Acct2_Raw!$B$3:$BO$26,MATCH(Months_Ref!$A$6,Acct2_Raw!$A$3:$A$26,0),MATCH($A50,Acct2_Raw!$B$1:$BO$1,0))),0)</f>
        <v/>
      </c>
      <c r="M50" s="70">
        <f>IFERROR(IF(Months_Ref!$A$7="",0,INDEX(Acct2_Raw!$B$3:$BO$26,MATCH(Months_Ref!$A$7,Acct2_Raw!$A$3:$A$26,0),MATCH($A50,Acct2_Raw!$B$1:$BO$1,0))),0)</f>
        <v/>
      </c>
      <c r="N50" s="70">
        <f>B50+H50</f>
        <v/>
      </c>
      <c r="O50" s="70">
        <f>C50+I50</f>
        <v/>
      </c>
      <c r="P50" s="70">
        <f>D50+J50</f>
        <v/>
      </c>
      <c r="Q50" s="70">
        <f>E50+K50</f>
        <v/>
      </c>
      <c r="R50" s="70">
        <f>F50+L50</f>
        <v/>
      </c>
      <c r="S50" s="70">
        <f>G50+M50</f>
        <v/>
      </c>
    </row>
    <row r="51" ht="15" customHeight="1" s="65">
      <c r="A51" s="72" t="inlineStr">
        <is>
          <t>S3($)</t>
        </is>
      </c>
      <c r="B51" s="70">
        <f>IFERROR(IF(Months_Ref!$A$2="",0,INDEX(Acct1_Raw!$B$3:$BO$26,MATCH(Months_Ref!$A$2,Acct1_Raw!$A$3:$A$26,0),MATCH($A51,Acct1_Raw!$B$1:$BO$1,0))),0)</f>
        <v/>
      </c>
      <c r="C51" s="70">
        <f>IFERROR(IF(Months_Ref!$A$3="",0,INDEX(Acct1_Raw!$B$3:$BO$26,MATCH(Months_Ref!$A$3,Acct1_Raw!$A$3:$A$26,0),MATCH($A51,Acct1_Raw!$B$1:$BO$1,0))),0)</f>
        <v/>
      </c>
      <c r="D51" s="70">
        <f>IFERROR(IF(Months_Ref!$A$4="",0,INDEX(Acct1_Raw!$B$3:$BO$26,MATCH(Months_Ref!$A$4,Acct1_Raw!$A$3:$A$26,0),MATCH($A51,Acct1_Raw!$B$1:$BO$1,0))),0)</f>
        <v/>
      </c>
      <c r="E51" s="70">
        <f>IFERROR(IF(Months_Ref!$A$5="",0,INDEX(Acct1_Raw!$B$3:$BO$26,MATCH(Months_Ref!$A$5,Acct1_Raw!$A$3:$A$26,0),MATCH($A51,Acct1_Raw!$B$1:$BO$1,0))),0)</f>
        <v/>
      </c>
      <c r="F51" s="70">
        <f>IFERROR(IF(Months_Ref!$A$6="",0,INDEX(Acct1_Raw!$B$3:$BO$26,MATCH(Months_Ref!$A$6,Acct1_Raw!$A$3:$A$26,0),MATCH($A51,Acct1_Raw!$B$1:$BO$1,0))),0)</f>
        <v/>
      </c>
      <c r="G51" s="70">
        <f>IFERROR(IF(Months_Ref!$A$7="",0,INDEX(Acct1_Raw!$B$3:$BO$26,MATCH(Months_Ref!$A$7,Acct1_Raw!$A$3:$A$26,0),MATCH($A51,Acct1_Raw!$B$1:$BO$1,0))),0)</f>
        <v/>
      </c>
      <c r="H51" s="70">
        <f>IFERROR(IF(Months_Ref!$A$2="",0,INDEX(Acct2_Raw!$B$3:$BO$26,MATCH(Months_Ref!$A$2,Acct2_Raw!$A$3:$A$26,0),MATCH($A51,Acct2_Raw!$B$1:$BO$1,0))),0)</f>
        <v/>
      </c>
      <c r="I51" s="70">
        <f>IFERROR(IF(Months_Ref!$A$3="",0,INDEX(Acct2_Raw!$B$3:$BO$26,MATCH(Months_Ref!$A$3,Acct2_Raw!$A$3:$A$26,0),MATCH($A51,Acct2_Raw!$B$1:$BO$1,0))),0)</f>
        <v/>
      </c>
      <c r="J51" s="70">
        <f>IFERROR(IF(Months_Ref!$A$4="",0,INDEX(Acct2_Raw!$B$3:$BO$26,MATCH(Months_Ref!$A$4,Acct2_Raw!$A$3:$A$26,0),MATCH($A51,Acct2_Raw!$B$1:$BO$1,0))),0)</f>
        <v/>
      </c>
      <c r="K51" s="70">
        <f>IFERROR(IF(Months_Ref!$A$5="",0,INDEX(Acct2_Raw!$B$3:$BO$26,MATCH(Months_Ref!$A$5,Acct2_Raw!$A$3:$A$26,0),MATCH($A51,Acct2_Raw!$B$1:$BO$1,0))),0)</f>
        <v/>
      </c>
      <c r="L51" s="70">
        <f>IFERROR(IF(Months_Ref!$A$6="",0,INDEX(Acct2_Raw!$B$3:$BO$26,MATCH(Months_Ref!$A$6,Acct2_Raw!$A$3:$A$26,0),MATCH($A51,Acct2_Raw!$B$1:$BO$1,0))),0)</f>
        <v/>
      </c>
      <c r="M51" s="70">
        <f>IFERROR(IF(Months_Ref!$A$7="",0,INDEX(Acct2_Raw!$B$3:$BO$26,MATCH(Months_Ref!$A$7,Acct2_Raw!$A$3:$A$26,0),MATCH($A51,Acct2_Raw!$B$1:$BO$1,0))),0)</f>
        <v/>
      </c>
      <c r="N51" s="70">
        <f>B51+H51</f>
        <v/>
      </c>
      <c r="O51" s="70">
        <f>C51+I51</f>
        <v/>
      </c>
      <c r="P51" s="70">
        <f>D51+J51</f>
        <v/>
      </c>
      <c r="Q51" s="70">
        <f>E51+K51</f>
        <v/>
      </c>
      <c r="R51" s="70">
        <f>F51+L51</f>
        <v/>
      </c>
      <c r="S51" s="70">
        <f>G51+M51</f>
        <v/>
      </c>
    </row>
    <row r="52" ht="15" customHeight="1" s="65">
      <c r="A52" s="72" t="inlineStr">
        <is>
          <t>SNS($)</t>
        </is>
      </c>
      <c r="B52" s="70">
        <f>IFERROR(IF(Months_Ref!$A$2="",0,INDEX(Acct1_Raw!$B$3:$BO$26,MATCH(Months_Ref!$A$2,Acct1_Raw!$A$3:$A$26,0),MATCH($A52,Acct1_Raw!$B$1:$BO$1,0))),0)</f>
        <v/>
      </c>
      <c r="C52" s="70">
        <f>IFERROR(IF(Months_Ref!$A$3="",0,INDEX(Acct1_Raw!$B$3:$BO$26,MATCH(Months_Ref!$A$3,Acct1_Raw!$A$3:$A$26,0),MATCH($A52,Acct1_Raw!$B$1:$BO$1,0))),0)</f>
        <v/>
      </c>
      <c r="D52" s="70">
        <f>IFERROR(IF(Months_Ref!$A$4="",0,INDEX(Acct1_Raw!$B$3:$BO$26,MATCH(Months_Ref!$A$4,Acct1_Raw!$A$3:$A$26,0),MATCH($A52,Acct1_Raw!$B$1:$BO$1,0))),0)</f>
        <v/>
      </c>
      <c r="E52" s="70">
        <f>IFERROR(IF(Months_Ref!$A$5="",0,INDEX(Acct1_Raw!$B$3:$BO$26,MATCH(Months_Ref!$A$5,Acct1_Raw!$A$3:$A$26,0),MATCH($A52,Acct1_Raw!$B$1:$BO$1,0))),0)</f>
        <v/>
      </c>
      <c r="F52" s="70">
        <f>IFERROR(IF(Months_Ref!$A$6="",0,INDEX(Acct1_Raw!$B$3:$BO$26,MATCH(Months_Ref!$A$6,Acct1_Raw!$A$3:$A$26,0),MATCH($A52,Acct1_Raw!$B$1:$BO$1,0))),0)</f>
        <v/>
      </c>
      <c r="G52" s="70">
        <f>IFERROR(IF(Months_Ref!$A$7="",0,INDEX(Acct1_Raw!$B$3:$BO$26,MATCH(Months_Ref!$A$7,Acct1_Raw!$A$3:$A$26,0),MATCH($A52,Acct1_Raw!$B$1:$BO$1,0))),0)</f>
        <v/>
      </c>
      <c r="H52" s="70">
        <f>IFERROR(IF(Months_Ref!$A$2="",0,INDEX(Acct2_Raw!$B$3:$BO$26,MATCH(Months_Ref!$A$2,Acct2_Raw!$A$3:$A$26,0),MATCH($A52,Acct2_Raw!$B$1:$BO$1,0))),0)</f>
        <v/>
      </c>
      <c r="I52" s="70">
        <f>IFERROR(IF(Months_Ref!$A$3="",0,INDEX(Acct2_Raw!$B$3:$BO$26,MATCH(Months_Ref!$A$3,Acct2_Raw!$A$3:$A$26,0),MATCH($A52,Acct2_Raw!$B$1:$BO$1,0))),0)</f>
        <v/>
      </c>
      <c r="J52" s="70">
        <f>IFERROR(IF(Months_Ref!$A$4="",0,INDEX(Acct2_Raw!$B$3:$BO$26,MATCH(Months_Ref!$A$4,Acct2_Raw!$A$3:$A$26,0),MATCH($A52,Acct2_Raw!$B$1:$BO$1,0))),0)</f>
        <v/>
      </c>
      <c r="K52" s="70">
        <f>IFERROR(IF(Months_Ref!$A$5="",0,INDEX(Acct2_Raw!$B$3:$BO$26,MATCH(Months_Ref!$A$5,Acct2_Raw!$A$3:$A$26,0),MATCH($A52,Acct2_Raw!$B$1:$BO$1,0))),0)</f>
        <v/>
      </c>
      <c r="L52" s="70">
        <f>IFERROR(IF(Months_Ref!$A$6="",0,INDEX(Acct2_Raw!$B$3:$BO$26,MATCH(Months_Ref!$A$6,Acct2_Raw!$A$3:$A$26,0),MATCH($A52,Acct2_Raw!$B$1:$BO$1,0))),0)</f>
        <v/>
      </c>
      <c r="M52" s="70">
        <f>IFERROR(IF(Months_Ref!$A$7="",0,INDEX(Acct2_Raw!$B$3:$BO$26,MATCH(Months_Ref!$A$7,Acct2_Raw!$A$3:$A$26,0),MATCH($A52,Acct2_Raw!$B$1:$BO$1,0))),0)</f>
        <v/>
      </c>
      <c r="N52" s="70">
        <f>B52+H52</f>
        <v/>
      </c>
      <c r="O52" s="70">
        <f>C52+I52</f>
        <v/>
      </c>
      <c r="P52" s="70">
        <f>D52+J52</f>
        <v/>
      </c>
      <c r="Q52" s="70">
        <f>E52+K52</f>
        <v/>
      </c>
      <c r="R52" s="70">
        <f>F52+L52</f>
        <v/>
      </c>
      <c r="S52" s="70">
        <f>G52+M52</f>
        <v/>
      </c>
    </row>
    <row r="53" ht="15" customHeight="1" s="65">
      <c r="A53" s="72" t="inlineStr">
        <is>
          <t>SQS($)</t>
        </is>
      </c>
      <c r="B53" s="70">
        <f>IFERROR(IF(Months_Ref!$A$2="",0,INDEX(Acct1_Raw!$B$3:$BO$26,MATCH(Months_Ref!$A$2,Acct1_Raw!$A$3:$A$26,0),MATCH($A53,Acct1_Raw!$B$1:$BO$1,0))),0)</f>
        <v/>
      </c>
      <c r="C53" s="70">
        <f>IFERROR(IF(Months_Ref!$A$3="",0,INDEX(Acct1_Raw!$B$3:$BO$26,MATCH(Months_Ref!$A$3,Acct1_Raw!$A$3:$A$26,0),MATCH($A53,Acct1_Raw!$B$1:$BO$1,0))),0)</f>
        <v/>
      </c>
      <c r="D53" s="70">
        <f>IFERROR(IF(Months_Ref!$A$4="",0,INDEX(Acct1_Raw!$B$3:$BO$26,MATCH(Months_Ref!$A$4,Acct1_Raw!$A$3:$A$26,0),MATCH($A53,Acct1_Raw!$B$1:$BO$1,0))),0)</f>
        <v/>
      </c>
      <c r="E53" s="70">
        <f>IFERROR(IF(Months_Ref!$A$5="",0,INDEX(Acct1_Raw!$B$3:$BO$26,MATCH(Months_Ref!$A$5,Acct1_Raw!$A$3:$A$26,0),MATCH($A53,Acct1_Raw!$B$1:$BO$1,0))),0)</f>
        <v/>
      </c>
      <c r="F53" s="70">
        <f>IFERROR(IF(Months_Ref!$A$6="",0,INDEX(Acct1_Raw!$B$3:$BO$26,MATCH(Months_Ref!$A$6,Acct1_Raw!$A$3:$A$26,0),MATCH($A53,Acct1_Raw!$B$1:$BO$1,0))),0)</f>
        <v/>
      </c>
      <c r="G53" s="70">
        <f>IFERROR(IF(Months_Ref!$A$7="",0,INDEX(Acct1_Raw!$B$3:$BO$26,MATCH(Months_Ref!$A$7,Acct1_Raw!$A$3:$A$26,0),MATCH($A53,Acct1_Raw!$B$1:$BO$1,0))),0)</f>
        <v/>
      </c>
      <c r="H53" s="70">
        <f>IFERROR(IF(Months_Ref!$A$2="",0,INDEX(Acct2_Raw!$B$3:$BO$26,MATCH(Months_Ref!$A$2,Acct2_Raw!$A$3:$A$26,0),MATCH($A53,Acct2_Raw!$B$1:$BO$1,0))),0)</f>
        <v/>
      </c>
      <c r="I53" s="70">
        <f>IFERROR(IF(Months_Ref!$A$3="",0,INDEX(Acct2_Raw!$B$3:$BO$26,MATCH(Months_Ref!$A$3,Acct2_Raw!$A$3:$A$26,0),MATCH($A53,Acct2_Raw!$B$1:$BO$1,0))),0)</f>
        <v/>
      </c>
      <c r="J53" s="70">
        <f>IFERROR(IF(Months_Ref!$A$4="",0,INDEX(Acct2_Raw!$B$3:$BO$26,MATCH(Months_Ref!$A$4,Acct2_Raw!$A$3:$A$26,0),MATCH($A53,Acct2_Raw!$B$1:$BO$1,0))),0)</f>
        <v/>
      </c>
      <c r="K53" s="70">
        <f>IFERROR(IF(Months_Ref!$A$5="",0,INDEX(Acct2_Raw!$B$3:$BO$26,MATCH(Months_Ref!$A$5,Acct2_Raw!$A$3:$A$26,0),MATCH($A53,Acct2_Raw!$B$1:$BO$1,0))),0)</f>
        <v/>
      </c>
      <c r="L53" s="70">
        <f>IFERROR(IF(Months_Ref!$A$6="",0,INDEX(Acct2_Raw!$B$3:$BO$26,MATCH(Months_Ref!$A$6,Acct2_Raw!$A$3:$A$26,0),MATCH($A53,Acct2_Raw!$B$1:$BO$1,0))),0)</f>
        <v/>
      </c>
      <c r="M53" s="70">
        <f>IFERROR(IF(Months_Ref!$A$7="",0,INDEX(Acct2_Raw!$B$3:$BO$26,MATCH(Months_Ref!$A$7,Acct2_Raw!$A$3:$A$26,0),MATCH($A53,Acct2_Raw!$B$1:$BO$1,0))),0)</f>
        <v/>
      </c>
      <c r="N53" s="70">
        <f>B53+H53</f>
        <v/>
      </c>
      <c r="O53" s="70">
        <f>C53+I53</f>
        <v/>
      </c>
      <c r="P53" s="70">
        <f>D53+J53</f>
        <v/>
      </c>
      <c r="Q53" s="70">
        <f>E53+K53</f>
        <v/>
      </c>
      <c r="R53" s="70">
        <f>F53+L53</f>
        <v/>
      </c>
      <c r="S53" s="70">
        <f>G53+M53</f>
        <v/>
      </c>
    </row>
    <row r="54" ht="15" customHeight="1" s="65">
      <c r="A54" s="72" t="inlineStr">
        <is>
          <t>SageMaker($)</t>
        </is>
      </c>
      <c r="B54" s="70">
        <f>IFERROR(IF(Months_Ref!$A$2="",0,INDEX(Acct1_Raw!$B$3:$BO$26,MATCH(Months_Ref!$A$2,Acct1_Raw!$A$3:$A$26,0),MATCH($A54,Acct1_Raw!$B$1:$BO$1,0))),0)</f>
        <v/>
      </c>
      <c r="C54" s="70">
        <f>IFERROR(IF(Months_Ref!$A$3="",0,INDEX(Acct1_Raw!$B$3:$BO$26,MATCH(Months_Ref!$A$3,Acct1_Raw!$A$3:$A$26,0),MATCH($A54,Acct1_Raw!$B$1:$BO$1,0))),0)</f>
        <v/>
      </c>
      <c r="D54" s="70">
        <f>IFERROR(IF(Months_Ref!$A$4="",0,INDEX(Acct1_Raw!$B$3:$BO$26,MATCH(Months_Ref!$A$4,Acct1_Raw!$A$3:$A$26,0),MATCH($A54,Acct1_Raw!$B$1:$BO$1,0))),0)</f>
        <v/>
      </c>
      <c r="E54" s="70">
        <f>IFERROR(IF(Months_Ref!$A$5="",0,INDEX(Acct1_Raw!$B$3:$BO$26,MATCH(Months_Ref!$A$5,Acct1_Raw!$A$3:$A$26,0),MATCH($A54,Acct1_Raw!$B$1:$BO$1,0))),0)</f>
        <v/>
      </c>
      <c r="F54" s="70">
        <f>IFERROR(IF(Months_Ref!$A$6="",0,INDEX(Acct1_Raw!$B$3:$BO$26,MATCH(Months_Ref!$A$6,Acct1_Raw!$A$3:$A$26,0),MATCH($A54,Acct1_Raw!$B$1:$BO$1,0))),0)</f>
        <v/>
      </c>
      <c r="G54" s="70">
        <f>IFERROR(IF(Months_Ref!$A$7="",0,INDEX(Acct1_Raw!$B$3:$BO$26,MATCH(Months_Ref!$A$7,Acct1_Raw!$A$3:$A$26,0),MATCH($A54,Acct1_Raw!$B$1:$BO$1,0))),0)</f>
        <v/>
      </c>
      <c r="H54" s="70">
        <f>IFERROR(IF(Months_Ref!$A$2="",0,INDEX(Acct2_Raw!$B$3:$BO$26,MATCH(Months_Ref!$A$2,Acct2_Raw!$A$3:$A$26,0),MATCH($A54,Acct2_Raw!$B$1:$BO$1,0))),0)</f>
        <v/>
      </c>
      <c r="I54" s="70">
        <f>IFERROR(IF(Months_Ref!$A$3="",0,INDEX(Acct2_Raw!$B$3:$BO$26,MATCH(Months_Ref!$A$3,Acct2_Raw!$A$3:$A$26,0),MATCH($A54,Acct2_Raw!$B$1:$BO$1,0))),0)</f>
        <v/>
      </c>
      <c r="J54" s="70">
        <f>IFERROR(IF(Months_Ref!$A$4="",0,INDEX(Acct2_Raw!$B$3:$BO$26,MATCH(Months_Ref!$A$4,Acct2_Raw!$A$3:$A$26,0),MATCH($A54,Acct2_Raw!$B$1:$BO$1,0))),0)</f>
        <v/>
      </c>
      <c r="K54" s="70">
        <f>IFERROR(IF(Months_Ref!$A$5="",0,INDEX(Acct2_Raw!$B$3:$BO$26,MATCH(Months_Ref!$A$5,Acct2_Raw!$A$3:$A$26,0),MATCH($A54,Acct2_Raw!$B$1:$BO$1,0))),0)</f>
        <v/>
      </c>
      <c r="L54" s="70">
        <f>IFERROR(IF(Months_Ref!$A$6="",0,INDEX(Acct2_Raw!$B$3:$BO$26,MATCH(Months_Ref!$A$6,Acct2_Raw!$A$3:$A$26,0),MATCH($A54,Acct2_Raw!$B$1:$BO$1,0))),0)</f>
        <v/>
      </c>
      <c r="M54" s="70">
        <f>IFERROR(IF(Months_Ref!$A$7="",0,INDEX(Acct2_Raw!$B$3:$BO$26,MATCH(Months_Ref!$A$7,Acct2_Raw!$A$3:$A$26,0),MATCH($A54,Acct2_Raw!$B$1:$BO$1,0))),0)</f>
        <v/>
      </c>
      <c r="N54" s="70">
        <f>B54+H54</f>
        <v/>
      </c>
      <c r="O54" s="70">
        <f>C54+I54</f>
        <v/>
      </c>
      <c r="P54" s="70">
        <f>D54+J54</f>
        <v/>
      </c>
      <c r="Q54" s="70">
        <f>E54+K54</f>
        <v/>
      </c>
      <c r="R54" s="70">
        <f>F54+L54</f>
        <v/>
      </c>
      <c r="S54" s="70">
        <f>G54+M54</f>
        <v/>
      </c>
    </row>
    <row r="55" ht="15" customHeight="1" s="65">
      <c r="A55" s="72" t="inlineStr">
        <is>
          <t>Secrets Manager($)</t>
        </is>
      </c>
      <c r="B55" s="70">
        <f>IFERROR(IF(Months_Ref!$A$2="",0,INDEX(Acct1_Raw!$B$3:$BO$26,MATCH(Months_Ref!$A$2,Acct1_Raw!$A$3:$A$26,0),MATCH($A55,Acct1_Raw!$B$1:$BO$1,0))),0)</f>
        <v/>
      </c>
      <c r="C55" s="70">
        <f>IFERROR(IF(Months_Ref!$A$3="",0,INDEX(Acct1_Raw!$B$3:$BO$26,MATCH(Months_Ref!$A$3,Acct1_Raw!$A$3:$A$26,0),MATCH($A55,Acct1_Raw!$B$1:$BO$1,0))),0)</f>
        <v/>
      </c>
      <c r="D55" s="70">
        <f>IFERROR(IF(Months_Ref!$A$4="",0,INDEX(Acct1_Raw!$B$3:$BO$26,MATCH(Months_Ref!$A$4,Acct1_Raw!$A$3:$A$26,0),MATCH($A55,Acct1_Raw!$B$1:$BO$1,0))),0)</f>
        <v/>
      </c>
      <c r="E55" s="70">
        <f>IFERROR(IF(Months_Ref!$A$5="",0,INDEX(Acct1_Raw!$B$3:$BO$26,MATCH(Months_Ref!$A$5,Acct1_Raw!$A$3:$A$26,0),MATCH($A55,Acct1_Raw!$B$1:$BO$1,0))),0)</f>
        <v/>
      </c>
      <c r="F55" s="70">
        <f>IFERROR(IF(Months_Ref!$A$6="",0,INDEX(Acct1_Raw!$B$3:$BO$26,MATCH(Months_Ref!$A$6,Acct1_Raw!$A$3:$A$26,0),MATCH($A55,Acct1_Raw!$B$1:$BO$1,0))),0)</f>
        <v/>
      </c>
      <c r="G55" s="70">
        <f>IFERROR(IF(Months_Ref!$A$7="",0,INDEX(Acct1_Raw!$B$3:$BO$26,MATCH(Months_Ref!$A$7,Acct1_Raw!$A$3:$A$26,0),MATCH($A55,Acct1_Raw!$B$1:$BO$1,0))),0)</f>
        <v/>
      </c>
      <c r="H55" s="70">
        <f>IFERROR(IF(Months_Ref!$A$2="",0,INDEX(Acct2_Raw!$B$3:$BO$26,MATCH(Months_Ref!$A$2,Acct2_Raw!$A$3:$A$26,0),MATCH($A55,Acct2_Raw!$B$1:$BO$1,0))),0)</f>
        <v/>
      </c>
      <c r="I55" s="70">
        <f>IFERROR(IF(Months_Ref!$A$3="",0,INDEX(Acct2_Raw!$B$3:$BO$26,MATCH(Months_Ref!$A$3,Acct2_Raw!$A$3:$A$26,0),MATCH($A55,Acct2_Raw!$B$1:$BO$1,0))),0)</f>
        <v/>
      </c>
      <c r="J55" s="70">
        <f>IFERROR(IF(Months_Ref!$A$4="",0,INDEX(Acct2_Raw!$B$3:$BO$26,MATCH(Months_Ref!$A$4,Acct2_Raw!$A$3:$A$26,0),MATCH($A55,Acct2_Raw!$B$1:$BO$1,0))),0)</f>
        <v/>
      </c>
      <c r="K55" s="70">
        <f>IFERROR(IF(Months_Ref!$A$5="",0,INDEX(Acct2_Raw!$B$3:$BO$26,MATCH(Months_Ref!$A$5,Acct2_Raw!$A$3:$A$26,0),MATCH($A55,Acct2_Raw!$B$1:$BO$1,0))),0)</f>
        <v/>
      </c>
      <c r="L55" s="70">
        <f>IFERROR(IF(Months_Ref!$A$6="",0,INDEX(Acct2_Raw!$B$3:$BO$26,MATCH(Months_Ref!$A$6,Acct2_Raw!$A$3:$A$26,0),MATCH($A55,Acct2_Raw!$B$1:$BO$1,0))),0)</f>
        <v/>
      </c>
      <c r="M55" s="70">
        <f>IFERROR(IF(Months_Ref!$A$7="",0,INDEX(Acct2_Raw!$B$3:$BO$26,MATCH(Months_Ref!$A$7,Acct2_Raw!$A$3:$A$26,0),MATCH($A55,Acct2_Raw!$B$1:$BO$1,0))),0)</f>
        <v/>
      </c>
      <c r="N55" s="70">
        <f>B55+H55</f>
        <v/>
      </c>
      <c r="O55" s="70">
        <f>C55+I55</f>
        <v/>
      </c>
      <c r="P55" s="70">
        <f>D55+J55</f>
        <v/>
      </c>
      <c r="Q55" s="70">
        <f>E55+K55</f>
        <v/>
      </c>
      <c r="R55" s="70">
        <f>F55+L55</f>
        <v/>
      </c>
      <c r="S55" s="70">
        <f>G55+M55</f>
        <v/>
      </c>
    </row>
    <row r="56" ht="15" customHeight="1" s="65">
      <c r="A56" s="72" t="inlineStr">
        <is>
          <t>Security Hub($)</t>
        </is>
      </c>
      <c r="B56" s="70">
        <f>IFERROR(IF(Months_Ref!$A$2="",0,INDEX(Acct1_Raw!$B$3:$BO$26,MATCH(Months_Ref!$A$2,Acct1_Raw!$A$3:$A$26,0),MATCH($A56,Acct1_Raw!$B$1:$BO$1,0))),0)</f>
        <v/>
      </c>
      <c r="C56" s="70">
        <f>IFERROR(IF(Months_Ref!$A$3="",0,INDEX(Acct1_Raw!$B$3:$BO$26,MATCH(Months_Ref!$A$3,Acct1_Raw!$A$3:$A$26,0),MATCH($A56,Acct1_Raw!$B$1:$BO$1,0))),0)</f>
        <v/>
      </c>
      <c r="D56" s="70">
        <f>IFERROR(IF(Months_Ref!$A$4="",0,INDEX(Acct1_Raw!$B$3:$BO$26,MATCH(Months_Ref!$A$4,Acct1_Raw!$A$3:$A$26,0),MATCH($A56,Acct1_Raw!$B$1:$BO$1,0))),0)</f>
        <v/>
      </c>
      <c r="E56" s="70">
        <f>IFERROR(IF(Months_Ref!$A$5="",0,INDEX(Acct1_Raw!$B$3:$BO$26,MATCH(Months_Ref!$A$5,Acct1_Raw!$A$3:$A$26,0),MATCH($A56,Acct1_Raw!$B$1:$BO$1,0))),0)</f>
        <v/>
      </c>
      <c r="F56" s="70">
        <f>IFERROR(IF(Months_Ref!$A$6="",0,INDEX(Acct1_Raw!$B$3:$BO$26,MATCH(Months_Ref!$A$6,Acct1_Raw!$A$3:$A$26,0),MATCH($A56,Acct1_Raw!$B$1:$BO$1,0))),0)</f>
        <v/>
      </c>
      <c r="G56" s="70">
        <f>IFERROR(IF(Months_Ref!$A$7="",0,INDEX(Acct1_Raw!$B$3:$BO$26,MATCH(Months_Ref!$A$7,Acct1_Raw!$A$3:$A$26,0),MATCH($A56,Acct1_Raw!$B$1:$BO$1,0))),0)</f>
        <v/>
      </c>
      <c r="H56" s="70">
        <f>IFERROR(IF(Months_Ref!$A$2="",0,INDEX(Acct2_Raw!$B$3:$BO$26,MATCH(Months_Ref!$A$2,Acct2_Raw!$A$3:$A$26,0),MATCH($A56,Acct2_Raw!$B$1:$BO$1,0))),0)</f>
        <v/>
      </c>
      <c r="I56" s="70">
        <f>IFERROR(IF(Months_Ref!$A$3="",0,INDEX(Acct2_Raw!$B$3:$BO$26,MATCH(Months_Ref!$A$3,Acct2_Raw!$A$3:$A$26,0),MATCH($A56,Acct2_Raw!$B$1:$BO$1,0))),0)</f>
        <v/>
      </c>
      <c r="J56" s="70">
        <f>IFERROR(IF(Months_Ref!$A$4="",0,INDEX(Acct2_Raw!$B$3:$BO$26,MATCH(Months_Ref!$A$4,Acct2_Raw!$A$3:$A$26,0),MATCH($A56,Acct2_Raw!$B$1:$BO$1,0))),0)</f>
        <v/>
      </c>
      <c r="K56" s="70">
        <f>IFERROR(IF(Months_Ref!$A$5="",0,INDEX(Acct2_Raw!$B$3:$BO$26,MATCH(Months_Ref!$A$5,Acct2_Raw!$A$3:$A$26,0),MATCH($A56,Acct2_Raw!$B$1:$BO$1,0))),0)</f>
        <v/>
      </c>
      <c r="L56" s="70">
        <f>IFERROR(IF(Months_Ref!$A$6="",0,INDEX(Acct2_Raw!$B$3:$BO$26,MATCH(Months_Ref!$A$6,Acct2_Raw!$A$3:$A$26,0),MATCH($A56,Acct2_Raw!$B$1:$BO$1,0))),0)</f>
        <v/>
      </c>
      <c r="M56" s="70">
        <f>IFERROR(IF(Months_Ref!$A$7="",0,INDEX(Acct2_Raw!$B$3:$BO$26,MATCH(Months_Ref!$A$7,Acct2_Raw!$A$3:$A$26,0),MATCH($A56,Acct2_Raw!$B$1:$BO$1,0))),0)</f>
        <v/>
      </c>
      <c r="N56" s="70">
        <f>B56+H56</f>
        <v/>
      </c>
      <c r="O56" s="70">
        <f>C56+I56</f>
        <v/>
      </c>
      <c r="P56" s="70">
        <f>D56+J56</f>
        <v/>
      </c>
      <c r="Q56" s="70">
        <f>E56+K56</f>
        <v/>
      </c>
      <c r="R56" s="70">
        <f>F56+L56</f>
        <v/>
      </c>
      <c r="S56" s="70">
        <f>G56+M56</f>
        <v/>
      </c>
    </row>
    <row r="57" ht="15" customHeight="1" s="65">
      <c r="A57" s="72" t="inlineStr">
        <is>
          <t>Service Catalog($)</t>
        </is>
      </c>
      <c r="B57" s="70">
        <f>IFERROR(IF(Months_Ref!$A$2="",0,INDEX(Acct1_Raw!$B$3:$BO$26,MATCH(Months_Ref!$A$2,Acct1_Raw!$A$3:$A$26,0),MATCH($A57,Acct1_Raw!$B$1:$BO$1,0))),0)</f>
        <v/>
      </c>
      <c r="C57" s="70">
        <f>IFERROR(IF(Months_Ref!$A$3="",0,INDEX(Acct1_Raw!$B$3:$BO$26,MATCH(Months_Ref!$A$3,Acct1_Raw!$A$3:$A$26,0),MATCH($A57,Acct1_Raw!$B$1:$BO$1,0))),0)</f>
        <v/>
      </c>
      <c r="D57" s="70">
        <f>IFERROR(IF(Months_Ref!$A$4="",0,INDEX(Acct1_Raw!$B$3:$BO$26,MATCH(Months_Ref!$A$4,Acct1_Raw!$A$3:$A$26,0),MATCH($A57,Acct1_Raw!$B$1:$BO$1,0))),0)</f>
        <v/>
      </c>
      <c r="E57" s="70">
        <f>IFERROR(IF(Months_Ref!$A$5="",0,INDEX(Acct1_Raw!$B$3:$BO$26,MATCH(Months_Ref!$A$5,Acct1_Raw!$A$3:$A$26,0),MATCH($A57,Acct1_Raw!$B$1:$BO$1,0))),0)</f>
        <v/>
      </c>
      <c r="F57" s="70">
        <f>IFERROR(IF(Months_Ref!$A$6="",0,INDEX(Acct1_Raw!$B$3:$BO$26,MATCH(Months_Ref!$A$6,Acct1_Raw!$A$3:$A$26,0),MATCH($A57,Acct1_Raw!$B$1:$BO$1,0))),0)</f>
        <v/>
      </c>
      <c r="G57" s="70">
        <f>IFERROR(IF(Months_Ref!$A$7="",0,INDEX(Acct1_Raw!$B$3:$BO$26,MATCH(Months_Ref!$A$7,Acct1_Raw!$A$3:$A$26,0),MATCH($A57,Acct1_Raw!$B$1:$BO$1,0))),0)</f>
        <v/>
      </c>
      <c r="H57" s="70">
        <f>IFERROR(IF(Months_Ref!$A$2="",0,INDEX(Acct2_Raw!$B$3:$BO$26,MATCH(Months_Ref!$A$2,Acct2_Raw!$A$3:$A$26,0),MATCH($A57,Acct2_Raw!$B$1:$BO$1,0))),0)</f>
        <v/>
      </c>
      <c r="I57" s="70">
        <f>IFERROR(IF(Months_Ref!$A$3="",0,INDEX(Acct2_Raw!$B$3:$BO$26,MATCH(Months_Ref!$A$3,Acct2_Raw!$A$3:$A$26,0),MATCH($A57,Acct2_Raw!$B$1:$BO$1,0))),0)</f>
        <v/>
      </c>
      <c r="J57" s="70">
        <f>IFERROR(IF(Months_Ref!$A$4="",0,INDEX(Acct2_Raw!$B$3:$BO$26,MATCH(Months_Ref!$A$4,Acct2_Raw!$A$3:$A$26,0),MATCH($A57,Acct2_Raw!$B$1:$BO$1,0))),0)</f>
        <v/>
      </c>
      <c r="K57" s="70">
        <f>IFERROR(IF(Months_Ref!$A$5="",0,INDEX(Acct2_Raw!$B$3:$BO$26,MATCH(Months_Ref!$A$5,Acct2_Raw!$A$3:$A$26,0),MATCH($A57,Acct2_Raw!$B$1:$BO$1,0))),0)</f>
        <v/>
      </c>
      <c r="L57" s="70">
        <f>IFERROR(IF(Months_Ref!$A$6="",0,INDEX(Acct2_Raw!$B$3:$BO$26,MATCH(Months_Ref!$A$6,Acct2_Raw!$A$3:$A$26,0),MATCH($A57,Acct2_Raw!$B$1:$BO$1,0))),0)</f>
        <v/>
      </c>
      <c r="M57" s="70">
        <f>IFERROR(IF(Months_Ref!$A$7="",0,INDEX(Acct2_Raw!$B$3:$BO$26,MATCH(Months_Ref!$A$7,Acct2_Raw!$A$3:$A$26,0),MATCH($A57,Acct2_Raw!$B$1:$BO$1,0))),0)</f>
        <v/>
      </c>
      <c r="N57" s="70">
        <f>B57+H57</f>
        <v/>
      </c>
      <c r="O57" s="70">
        <f>C57+I57</f>
        <v/>
      </c>
      <c r="P57" s="70">
        <f>D57+J57</f>
        <v/>
      </c>
      <c r="Q57" s="70">
        <f>E57+K57</f>
        <v/>
      </c>
      <c r="R57" s="70">
        <f>F57+L57</f>
        <v/>
      </c>
      <c r="S57" s="70">
        <f>G57+M57</f>
        <v/>
      </c>
    </row>
    <row r="58" ht="15" customHeight="1" s="65">
      <c r="A58" s="72" t="inlineStr">
        <is>
          <t>Shield($)</t>
        </is>
      </c>
      <c r="B58" s="70">
        <f>IFERROR(IF(Months_Ref!$A$2="",0,INDEX(Acct1_Raw!$B$3:$BO$26,MATCH(Months_Ref!$A$2,Acct1_Raw!$A$3:$A$26,0),MATCH($A58,Acct1_Raw!$B$1:$BO$1,0))),0)</f>
        <v/>
      </c>
      <c r="C58" s="70">
        <f>IFERROR(IF(Months_Ref!$A$3="",0,INDEX(Acct1_Raw!$B$3:$BO$26,MATCH(Months_Ref!$A$3,Acct1_Raw!$A$3:$A$26,0),MATCH($A58,Acct1_Raw!$B$1:$BO$1,0))),0)</f>
        <v/>
      </c>
      <c r="D58" s="70">
        <f>IFERROR(IF(Months_Ref!$A$4="",0,INDEX(Acct1_Raw!$B$3:$BO$26,MATCH(Months_Ref!$A$4,Acct1_Raw!$A$3:$A$26,0),MATCH($A58,Acct1_Raw!$B$1:$BO$1,0))),0)</f>
        <v/>
      </c>
      <c r="E58" s="70">
        <f>IFERROR(IF(Months_Ref!$A$5="",0,INDEX(Acct1_Raw!$B$3:$BO$26,MATCH(Months_Ref!$A$5,Acct1_Raw!$A$3:$A$26,0),MATCH($A58,Acct1_Raw!$B$1:$BO$1,0))),0)</f>
        <v/>
      </c>
      <c r="F58" s="70">
        <f>IFERROR(IF(Months_Ref!$A$6="",0,INDEX(Acct1_Raw!$B$3:$BO$26,MATCH(Months_Ref!$A$6,Acct1_Raw!$A$3:$A$26,0),MATCH($A58,Acct1_Raw!$B$1:$BO$1,0))),0)</f>
        <v/>
      </c>
      <c r="G58" s="70">
        <f>IFERROR(IF(Months_Ref!$A$7="",0,INDEX(Acct1_Raw!$B$3:$BO$26,MATCH(Months_Ref!$A$7,Acct1_Raw!$A$3:$A$26,0),MATCH($A58,Acct1_Raw!$B$1:$BO$1,0))),0)</f>
        <v/>
      </c>
      <c r="H58" s="70">
        <f>IFERROR(IF(Months_Ref!$A$2="",0,INDEX(Acct2_Raw!$B$3:$BO$26,MATCH(Months_Ref!$A$2,Acct2_Raw!$A$3:$A$26,0),MATCH($A58,Acct2_Raw!$B$1:$BO$1,0))),0)</f>
        <v/>
      </c>
      <c r="I58" s="70">
        <f>IFERROR(IF(Months_Ref!$A$3="",0,INDEX(Acct2_Raw!$B$3:$BO$26,MATCH(Months_Ref!$A$3,Acct2_Raw!$A$3:$A$26,0),MATCH($A58,Acct2_Raw!$B$1:$BO$1,0))),0)</f>
        <v/>
      </c>
      <c r="J58" s="70">
        <f>IFERROR(IF(Months_Ref!$A$4="",0,INDEX(Acct2_Raw!$B$3:$BO$26,MATCH(Months_Ref!$A$4,Acct2_Raw!$A$3:$A$26,0),MATCH($A58,Acct2_Raw!$B$1:$BO$1,0))),0)</f>
        <v/>
      </c>
      <c r="K58" s="70">
        <f>IFERROR(IF(Months_Ref!$A$5="",0,INDEX(Acct2_Raw!$B$3:$BO$26,MATCH(Months_Ref!$A$5,Acct2_Raw!$A$3:$A$26,0),MATCH($A58,Acct2_Raw!$B$1:$BO$1,0))),0)</f>
        <v/>
      </c>
      <c r="L58" s="70">
        <f>IFERROR(IF(Months_Ref!$A$6="",0,INDEX(Acct2_Raw!$B$3:$BO$26,MATCH(Months_Ref!$A$6,Acct2_Raw!$A$3:$A$26,0),MATCH($A58,Acct2_Raw!$B$1:$BO$1,0))),0)</f>
        <v/>
      </c>
      <c r="M58" s="70">
        <f>IFERROR(IF(Months_Ref!$A$7="",0,INDEX(Acct2_Raw!$B$3:$BO$26,MATCH(Months_Ref!$A$7,Acct2_Raw!$A$3:$A$26,0),MATCH($A58,Acct2_Raw!$B$1:$BO$1,0))),0)</f>
        <v/>
      </c>
      <c r="N58" s="70">
        <f>B58+H58</f>
        <v/>
      </c>
      <c r="O58" s="70">
        <f>C58+I58</f>
        <v/>
      </c>
      <c r="P58" s="70">
        <f>D58+J58</f>
        <v/>
      </c>
      <c r="Q58" s="70">
        <f>E58+K58</f>
        <v/>
      </c>
      <c r="R58" s="70">
        <f>F58+L58</f>
        <v/>
      </c>
      <c r="S58" s="70">
        <f>G58+M58</f>
        <v/>
      </c>
    </row>
    <row r="59" ht="15" customHeight="1" s="65">
      <c r="A59" s="72" t="inlineStr">
        <is>
          <t>Step Functions($)</t>
        </is>
      </c>
      <c r="B59" s="70">
        <f>IFERROR(IF(Months_Ref!$A$2="",0,INDEX(Acct1_Raw!$B$3:$BO$26,MATCH(Months_Ref!$A$2,Acct1_Raw!$A$3:$A$26,0),MATCH($A59,Acct1_Raw!$B$1:$BO$1,0))),0)</f>
        <v/>
      </c>
      <c r="C59" s="70">
        <f>IFERROR(IF(Months_Ref!$A$3="",0,INDEX(Acct1_Raw!$B$3:$BO$26,MATCH(Months_Ref!$A$3,Acct1_Raw!$A$3:$A$26,0),MATCH($A59,Acct1_Raw!$B$1:$BO$1,0))),0)</f>
        <v/>
      </c>
      <c r="D59" s="70">
        <f>IFERROR(IF(Months_Ref!$A$4="",0,INDEX(Acct1_Raw!$B$3:$BO$26,MATCH(Months_Ref!$A$4,Acct1_Raw!$A$3:$A$26,0),MATCH($A59,Acct1_Raw!$B$1:$BO$1,0))),0)</f>
        <v/>
      </c>
      <c r="E59" s="70">
        <f>IFERROR(IF(Months_Ref!$A$5="",0,INDEX(Acct1_Raw!$B$3:$BO$26,MATCH(Months_Ref!$A$5,Acct1_Raw!$A$3:$A$26,0),MATCH($A59,Acct1_Raw!$B$1:$BO$1,0))),0)</f>
        <v/>
      </c>
      <c r="F59" s="70">
        <f>IFERROR(IF(Months_Ref!$A$6="",0,INDEX(Acct1_Raw!$B$3:$BO$26,MATCH(Months_Ref!$A$6,Acct1_Raw!$A$3:$A$26,0),MATCH($A59,Acct1_Raw!$B$1:$BO$1,0))),0)</f>
        <v/>
      </c>
      <c r="G59" s="70">
        <f>IFERROR(IF(Months_Ref!$A$7="",0,INDEX(Acct1_Raw!$B$3:$BO$26,MATCH(Months_Ref!$A$7,Acct1_Raw!$A$3:$A$26,0),MATCH($A59,Acct1_Raw!$B$1:$BO$1,0))),0)</f>
        <v/>
      </c>
      <c r="H59" s="70">
        <f>IFERROR(IF(Months_Ref!$A$2="",0,INDEX(Acct2_Raw!$B$3:$BO$26,MATCH(Months_Ref!$A$2,Acct2_Raw!$A$3:$A$26,0),MATCH($A59,Acct2_Raw!$B$1:$BO$1,0))),0)</f>
        <v/>
      </c>
      <c r="I59" s="70">
        <f>IFERROR(IF(Months_Ref!$A$3="",0,INDEX(Acct2_Raw!$B$3:$BO$26,MATCH(Months_Ref!$A$3,Acct2_Raw!$A$3:$A$26,0),MATCH($A59,Acct2_Raw!$B$1:$BO$1,0))),0)</f>
        <v/>
      </c>
      <c r="J59" s="70">
        <f>IFERROR(IF(Months_Ref!$A$4="",0,INDEX(Acct2_Raw!$B$3:$BO$26,MATCH(Months_Ref!$A$4,Acct2_Raw!$A$3:$A$26,0),MATCH($A59,Acct2_Raw!$B$1:$BO$1,0))),0)</f>
        <v/>
      </c>
      <c r="K59" s="70">
        <f>IFERROR(IF(Months_Ref!$A$5="",0,INDEX(Acct2_Raw!$B$3:$BO$26,MATCH(Months_Ref!$A$5,Acct2_Raw!$A$3:$A$26,0),MATCH($A59,Acct2_Raw!$B$1:$BO$1,0))),0)</f>
        <v/>
      </c>
      <c r="L59" s="70">
        <f>IFERROR(IF(Months_Ref!$A$6="",0,INDEX(Acct2_Raw!$B$3:$BO$26,MATCH(Months_Ref!$A$6,Acct2_Raw!$A$3:$A$26,0),MATCH($A59,Acct2_Raw!$B$1:$BO$1,0))),0)</f>
        <v/>
      </c>
      <c r="M59" s="70">
        <f>IFERROR(IF(Months_Ref!$A$7="",0,INDEX(Acct2_Raw!$B$3:$BO$26,MATCH(Months_Ref!$A$7,Acct2_Raw!$A$3:$A$26,0),MATCH($A59,Acct2_Raw!$B$1:$BO$1,0))),0)</f>
        <v/>
      </c>
      <c r="N59" s="70">
        <f>B59+H59</f>
        <v/>
      </c>
      <c r="O59" s="70">
        <f>C59+I59</f>
        <v/>
      </c>
      <c r="P59" s="70">
        <f>D59+J59</f>
        <v/>
      </c>
      <c r="Q59" s="70">
        <f>E59+K59</f>
        <v/>
      </c>
      <c r="R59" s="70">
        <f>F59+L59</f>
        <v/>
      </c>
      <c r="S59" s="70">
        <f>G59+M59</f>
        <v/>
      </c>
    </row>
    <row r="60" ht="15" customHeight="1" s="65">
      <c r="A60" s="72" t="inlineStr">
        <is>
          <t>Systems Manager($)</t>
        </is>
      </c>
      <c r="B60" s="70">
        <f>IFERROR(IF(Months_Ref!$A$2="",0,INDEX(Acct1_Raw!$B$3:$BO$26,MATCH(Months_Ref!$A$2,Acct1_Raw!$A$3:$A$26,0),MATCH($A60,Acct1_Raw!$B$1:$BO$1,0))),0)</f>
        <v/>
      </c>
      <c r="C60" s="70">
        <f>IFERROR(IF(Months_Ref!$A$3="",0,INDEX(Acct1_Raw!$B$3:$BO$26,MATCH(Months_Ref!$A$3,Acct1_Raw!$A$3:$A$26,0),MATCH($A60,Acct1_Raw!$B$1:$BO$1,0))),0)</f>
        <v/>
      </c>
      <c r="D60" s="70">
        <f>IFERROR(IF(Months_Ref!$A$4="",0,INDEX(Acct1_Raw!$B$3:$BO$26,MATCH(Months_Ref!$A$4,Acct1_Raw!$A$3:$A$26,0),MATCH($A60,Acct1_Raw!$B$1:$BO$1,0))),0)</f>
        <v/>
      </c>
      <c r="E60" s="70">
        <f>IFERROR(IF(Months_Ref!$A$5="",0,INDEX(Acct1_Raw!$B$3:$BO$26,MATCH(Months_Ref!$A$5,Acct1_Raw!$A$3:$A$26,0),MATCH($A60,Acct1_Raw!$B$1:$BO$1,0))),0)</f>
        <v/>
      </c>
      <c r="F60" s="70">
        <f>IFERROR(IF(Months_Ref!$A$6="",0,INDEX(Acct1_Raw!$B$3:$BO$26,MATCH(Months_Ref!$A$6,Acct1_Raw!$A$3:$A$26,0),MATCH($A60,Acct1_Raw!$B$1:$BO$1,0))),0)</f>
        <v/>
      </c>
      <c r="G60" s="70">
        <f>IFERROR(IF(Months_Ref!$A$7="",0,INDEX(Acct1_Raw!$B$3:$BO$26,MATCH(Months_Ref!$A$7,Acct1_Raw!$A$3:$A$26,0),MATCH($A60,Acct1_Raw!$B$1:$BO$1,0))),0)</f>
        <v/>
      </c>
      <c r="H60" s="70">
        <f>IFERROR(IF(Months_Ref!$A$2="",0,INDEX(Acct2_Raw!$B$3:$BO$26,MATCH(Months_Ref!$A$2,Acct2_Raw!$A$3:$A$26,0),MATCH($A60,Acct2_Raw!$B$1:$BO$1,0))),0)</f>
        <v/>
      </c>
      <c r="I60" s="70">
        <f>IFERROR(IF(Months_Ref!$A$3="",0,INDEX(Acct2_Raw!$B$3:$BO$26,MATCH(Months_Ref!$A$3,Acct2_Raw!$A$3:$A$26,0),MATCH($A60,Acct2_Raw!$B$1:$BO$1,0))),0)</f>
        <v/>
      </c>
      <c r="J60" s="70">
        <f>IFERROR(IF(Months_Ref!$A$4="",0,INDEX(Acct2_Raw!$B$3:$BO$26,MATCH(Months_Ref!$A$4,Acct2_Raw!$A$3:$A$26,0),MATCH($A60,Acct2_Raw!$B$1:$BO$1,0))),0)</f>
        <v/>
      </c>
      <c r="K60" s="70">
        <f>IFERROR(IF(Months_Ref!$A$5="",0,INDEX(Acct2_Raw!$B$3:$BO$26,MATCH(Months_Ref!$A$5,Acct2_Raw!$A$3:$A$26,0),MATCH($A60,Acct2_Raw!$B$1:$BO$1,0))),0)</f>
        <v/>
      </c>
      <c r="L60" s="70">
        <f>IFERROR(IF(Months_Ref!$A$6="",0,INDEX(Acct2_Raw!$B$3:$BO$26,MATCH(Months_Ref!$A$6,Acct2_Raw!$A$3:$A$26,0),MATCH($A60,Acct2_Raw!$B$1:$BO$1,0))),0)</f>
        <v/>
      </c>
      <c r="M60" s="70">
        <f>IFERROR(IF(Months_Ref!$A$7="",0,INDEX(Acct2_Raw!$B$3:$BO$26,MATCH(Months_Ref!$A$7,Acct2_Raw!$A$3:$A$26,0),MATCH($A60,Acct2_Raw!$B$1:$BO$1,0))),0)</f>
        <v/>
      </c>
      <c r="N60" s="70">
        <f>B60+H60</f>
        <v/>
      </c>
      <c r="O60" s="70">
        <f>C60+I60</f>
        <v/>
      </c>
      <c r="P60" s="70">
        <f>D60+J60</f>
        <v/>
      </c>
      <c r="Q60" s="70">
        <f>E60+K60</f>
        <v/>
      </c>
      <c r="R60" s="70">
        <f>F60+L60</f>
        <v/>
      </c>
      <c r="S60" s="70">
        <f>G60+M60</f>
        <v/>
      </c>
    </row>
    <row r="61" ht="15" customHeight="1" s="65">
      <c r="A61" s="72" t="inlineStr">
        <is>
          <t>Textract($)</t>
        </is>
      </c>
      <c r="B61" s="70">
        <f>IFERROR(IF(Months_Ref!$A$2="",0,INDEX(Acct1_Raw!$B$3:$BO$26,MATCH(Months_Ref!$A$2,Acct1_Raw!$A$3:$A$26,0),MATCH($A61,Acct1_Raw!$B$1:$BO$1,0))),0)</f>
        <v/>
      </c>
      <c r="C61" s="70">
        <f>IFERROR(IF(Months_Ref!$A$3="",0,INDEX(Acct1_Raw!$B$3:$BO$26,MATCH(Months_Ref!$A$3,Acct1_Raw!$A$3:$A$26,0),MATCH($A61,Acct1_Raw!$B$1:$BO$1,0))),0)</f>
        <v/>
      </c>
      <c r="D61" s="70">
        <f>IFERROR(IF(Months_Ref!$A$4="",0,INDEX(Acct1_Raw!$B$3:$BO$26,MATCH(Months_Ref!$A$4,Acct1_Raw!$A$3:$A$26,0),MATCH($A61,Acct1_Raw!$B$1:$BO$1,0))),0)</f>
        <v/>
      </c>
      <c r="E61" s="70">
        <f>IFERROR(IF(Months_Ref!$A$5="",0,INDEX(Acct1_Raw!$B$3:$BO$26,MATCH(Months_Ref!$A$5,Acct1_Raw!$A$3:$A$26,0),MATCH($A61,Acct1_Raw!$B$1:$BO$1,0))),0)</f>
        <v/>
      </c>
      <c r="F61" s="70">
        <f>IFERROR(IF(Months_Ref!$A$6="",0,INDEX(Acct1_Raw!$B$3:$BO$26,MATCH(Months_Ref!$A$6,Acct1_Raw!$A$3:$A$26,0),MATCH($A61,Acct1_Raw!$B$1:$BO$1,0))),0)</f>
        <v/>
      </c>
      <c r="G61" s="70">
        <f>IFERROR(IF(Months_Ref!$A$7="",0,INDEX(Acct1_Raw!$B$3:$BO$26,MATCH(Months_Ref!$A$7,Acct1_Raw!$A$3:$A$26,0),MATCH($A61,Acct1_Raw!$B$1:$BO$1,0))),0)</f>
        <v/>
      </c>
      <c r="H61" s="70">
        <f>IFERROR(IF(Months_Ref!$A$2="",0,INDEX(Acct2_Raw!$B$3:$BO$26,MATCH(Months_Ref!$A$2,Acct2_Raw!$A$3:$A$26,0),MATCH($A61,Acct2_Raw!$B$1:$BO$1,0))),0)</f>
        <v/>
      </c>
      <c r="I61" s="70">
        <f>IFERROR(IF(Months_Ref!$A$3="",0,INDEX(Acct2_Raw!$B$3:$BO$26,MATCH(Months_Ref!$A$3,Acct2_Raw!$A$3:$A$26,0),MATCH($A61,Acct2_Raw!$B$1:$BO$1,0))),0)</f>
        <v/>
      </c>
      <c r="J61" s="70">
        <f>IFERROR(IF(Months_Ref!$A$4="",0,INDEX(Acct2_Raw!$B$3:$BO$26,MATCH(Months_Ref!$A$4,Acct2_Raw!$A$3:$A$26,0),MATCH($A61,Acct2_Raw!$B$1:$BO$1,0))),0)</f>
        <v/>
      </c>
      <c r="K61" s="70">
        <f>IFERROR(IF(Months_Ref!$A$5="",0,INDEX(Acct2_Raw!$B$3:$BO$26,MATCH(Months_Ref!$A$5,Acct2_Raw!$A$3:$A$26,0),MATCH($A61,Acct2_Raw!$B$1:$BO$1,0))),0)</f>
        <v/>
      </c>
      <c r="L61" s="70">
        <f>IFERROR(IF(Months_Ref!$A$6="",0,INDEX(Acct2_Raw!$B$3:$BO$26,MATCH(Months_Ref!$A$6,Acct2_Raw!$A$3:$A$26,0),MATCH($A61,Acct2_Raw!$B$1:$BO$1,0))),0)</f>
        <v/>
      </c>
      <c r="M61" s="70">
        <f>IFERROR(IF(Months_Ref!$A$7="",0,INDEX(Acct2_Raw!$B$3:$BO$26,MATCH(Months_Ref!$A$7,Acct2_Raw!$A$3:$A$26,0),MATCH($A61,Acct2_Raw!$B$1:$BO$1,0))),0)</f>
        <v/>
      </c>
      <c r="N61" s="70">
        <f>B61+H61</f>
        <v/>
      </c>
      <c r="O61" s="70">
        <f>C61+I61</f>
        <v/>
      </c>
      <c r="P61" s="70">
        <f>D61+J61</f>
        <v/>
      </c>
      <c r="Q61" s="70">
        <f>E61+K61</f>
        <v/>
      </c>
      <c r="R61" s="70">
        <f>F61+L61</f>
        <v/>
      </c>
      <c r="S61" s="70">
        <f>G61+M61</f>
        <v/>
      </c>
    </row>
    <row r="62" ht="15" customHeight="1" s="65">
      <c r="A62" s="72" t="inlineStr">
        <is>
          <t>Transcribe($)</t>
        </is>
      </c>
      <c r="B62" s="70">
        <f>IFERROR(IF(Months_Ref!$A$2="",0,INDEX(Acct1_Raw!$B$3:$BO$26,MATCH(Months_Ref!$A$2,Acct1_Raw!$A$3:$A$26,0),MATCH($A62,Acct1_Raw!$B$1:$BO$1,0))),0)</f>
        <v/>
      </c>
      <c r="C62" s="70">
        <f>IFERROR(IF(Months_Ref!$A$3="",0,INDEX(Acct1_Raw!$B$3:$BO$26,MATCH(Months_Ref!$A$3,Acct1_Raw!$A$3:$A$26,0),MATCH($A62,Acct1_Raw!$B$1:$BO$1,0))),0)</f>
        <v/>
      </c>
      <c r="D62" s="70">
        <f>IFERROR(IF(Months_Ref!$A$4="",0,INDEX(Acct1_Raw!$B$3:$BO$26,MATCH(Months_Ref!$A$4,Acct1_Raw!$A$3:$A$26,0),MATCH($A62,Acct1_Raw!$B$1:$BO$1,0))),0)</f>
        <v/>
      </c>
      <c r="E62" s="70">
        <f>IFERROR(IF(Months_Ref!$A$5="",0,INDEX(Acct1_Raw!$B$3:$BO$26,MATCH(Months_Ref!$A$5,Acct1_Raw!$A$3:$A$26,0),MATCH($A62,Acct1_Raw!$B$1:$BO$1,0))),0)</f>
        <v/>
      </c>
      <c r="F62" s="70">
        <f>IFERROR(IF(Months_Ref!$A$6="",0,INDEX(Acct1_Raw!$B$3:$BO$26,MATCH(Months_Ref!$A$6,Acct1_Raw!$A$3:$A$26,0),MATCH($A62,Acct1_Raw!$B$1:$BO$1,0))),0)</f>
        <v/>
      </c>
      <c r="G62" s="70">
        <f>IFERROR(IF(Months_Ref!$A$7="",0,INDEX(Acct1_Raw!$B$3:$BO$26,MATCH(Months_Ref!$A$7,Acct1_Raw!$A$3:$A$26,0),MATCH($A62,Acct1_Raw!$B$1:$BO$1,0))),0)</f>
        <v/>
      </c>
      <c r="H62" s="70">
        <f>IFERROR(IF(Months_Ref!$A$2="",0,INDEX(Acct2_Raw!$B$3:$BO$26,MATCH(Months_Ref!$A$2,Acct2_Raw!$A$3:$A$26,0),MATCH($A62,Acct2_Raw!$B$1:$BO$1,0))),0)</f>
        <v/>
      </c>
      <c r="I62" s="70">
        <f>IFERROR(IF(Months_Ref!$A$3="",0,INDEX(Acct2_Raw!$B$3:$BO$26,MATCH(Months_Ref!$A$3,Acct2_Raw!$A$3:$A$26,0),MATCH($A62,Acct2_Raw!$B$1:$BO$1,0))),0)</f>
        <v/>
      </c>
      <c r="J62" s="70">
        <f>IFERROR(IF(Months_Ref!$A$4="",0,INDEX(Acct2_Raw!$B$3:$BO$26,MATCH(Months_Ref!$A$4,Acct2_Raw!$A$3:$A$26,0),MATCH($A62,Acct2_Raw!$B$1:$BO$1,0))),0)</f>
        <v/>
      </c>
      <c r="K62" s="70">
        <f>IFERROR(IF(Months_Ref!$A$5="",0,INDEX(Acct2_Raw!$B$3:$BO$26,MATCH(Months_Ref!$A$5,Acct2_Raw!$A$3:$A$26,0),MATCH($A62,Acct2_Raw!$B$1:$BO$1,0))),0)</f>
        <v/>
      </c>
      <c r="L62" s="70">
        <f>IFERROR(IF(Months_Ref!$A$6="",0,INDEX(Acct2_Raw!$B$3:$BO$26,MATCH(Months_Ref!$A$6,Acct2_Raw!$A$3:$A$26,0),MATCH($A62,Acct2_Raw!$B$1:$BO$1,0))),0)</f>
        <v/>
      </c>
      <c r="M62" s="70">
        <f>IFERROR(IF(Months_Ref!$A$7="",0,INDEX(Acct2_Raw!$B$3:$BO$26,MATCH(Months_Ref!$A$7,Acct2_Raw!$A$3:$A$26,0),MATCH($A62,Acct2_Raw!$B$1:$BO$1,0))),0)</f>
        <v/>
      </c>
      <c r="N62" s="70">
        <f>B62+H62</f>
        <v/>
      </c>
      <c r="O62" s="70">
        <f>C62+I62</f>
        <v/>
      </c>
      <c r="P62" s="70">
        <f>D62+J62</f>
        <v/>
      </c>
      <c r="Q62" s="70">
        <f>E62+K62</f>
        <v/>
      </c>
      <c r="R62" s="70">
        <f>F62+L62</f>
        <v/>
      </c>
      <c r="S62" s="70">
        <f>G62+M62</f>
        <v/>
      </c>
    </row>
    <row r="63" ht="15" customHeight="1" s="65">
      <c r="A63" s="72" t="inlineStr">
        <is>
          <t>Transfer Family($)</t>
        </is>
      </c>
      <c r="B63" s="70">
        <f>IFERROR(IF(Months_Ref!$A$2="",0,INDEX(Acct1_Raw!$B$3:$BO$26,MATCH(Months_Ref!$A$2,Acct1_Raw!$A$3:$A$26,0),MATCH($A63,Acct1_Raw!$B$1:$BO$1,0))),0)</f>
        <v/>
      </c>
      <c r="C63" s="70">
        <f>IFERROR(IF(Months_Ref!$A$3="",0,INDEX(Acct1_Raw!$B$3:$BO$26,MATCH(Months_Ref!$A$3,Acct1_Raw!$A$3:$A$26,0),MATCH($A63,Acct1_Raw!$B$1:$BO$1,0))),0)</f>
        <v/>
      </c>
      <c r="D63" s="70">
        <f>IFERROR(IF(Months_Ref!$A$4="",0,INDEX(Acct1_Raw!$B$3:$BO$26,MATCH(Months_Ref!$A$4,Acct1_Raw!$A$3:$A$26,0),MATCH($A63,Acct1_Raw!$B$1:$BO$1,0))),0)</f>
        <v/>
      </c>
      <c r="E63" s="70">
        <f>IFERROR(IF(Months_Ref!$A$5="",0,INDEX(Acct1_Raw!$B$3:$BO$26,MATCH(Months_Ref!$A$5,Acct1_Raw!$A$3:$A$26,0),MATCH($A63,Acct1_Raw!$B$1:$BO$1,0))),0)</f>
        <v/>
      </c>
      <c r="F63" s="70">
        <f>IFERROR(IF(Months_Ref!$A$6="",0,INDEX(Acct1_Raw!$B$3:$BO$26,MATCH(Months_Ref!$A$6,Acct1_Raw!$A$3:$A$26,0),MATCH($A63,Acct1_Raw!$B$1:$BO$1,0))),0)</f>
        <v/>
      </c>
      <c r="G63" s="70">
        <f>IFERROR(IF(Months_Ref!$A$7="",0,INDEX(Acct1_Raw!$B$3:$BO$26,MATCH(Months_Ref!$A$7,Acct1_Raw!$A$3:$A$26,0),MATCH($A63,Acct1_Raw!$B$1:$BO$1,0))),0)</f>
        <v/>
      </c>
      <c r="H63" s="70">
        <f>IFERROR(IF(Months_Ref!$A$2="",0,INDEX(Acct2_Raw!$B$3:$BO$26,MATCH(Months_Ref!$A$2,Acct2_Raw!$A$3:$A$26,0),MATCH($A63,Acct2_Raw!$B$1:$BO$1,0))),0)</f>
        <v/>
      </c>
      <c r="I63" s="70">
        <f>IFERROR(IF(Months_Ref!$A$3="",0,INDEX(Acct2_Raw!$B$3:$BO$26,MATCH(Months_Ref!$A$3,Acct2_Raw!$A$3:$A$26,0),MATCH($A63,Acct2_Raw!$B$1:$BO$1,0))),0)</f>
        <v/>
      </c>
      <c r="J63" s="70">
        <f>IFERROR(IF(Months_Ref!$A$4="",0,INDEX(Acct2_Raw!$B$3:$BO$26,MATCH(Months_Ref!$A$4,Acct2_Raw!$A$3:$A$26,0),MATCH($A63,Acct2_Raw!$B$1:$BO$1,0))),0)</f>
        <v/>
      </c>
      <c r="K63" s="70">
        <f>IFERROR(IF(Months_Ref!$A$5="",0,INDEX(Acct2_Raw!$B$3:$BO$26,MATCH(Months_Ref!$A$5,Acct2_Raw!$A$3:$A$26,0),MATCH($A63,Acct2_Raw!$B$1:$BO$1,0))),0)</f>
        <v/>
      </c>
      <c r="L63" s="70">
        <f>IFERROR(IF(Months_Ref!$A$6="",0,INDEX(Acct2_Raw!$B$3:$BO$26,MATCH(Months_Ref!$A$6,Acct2_Raw!$A$3:$A$26,0),MATCH($A63,Acct2_Raw!$B$1:$BO$1,0))),0)</f>
        <v/>
      </c>
      <c r="M63" s="70">
        <f>IFERROR(IF(Months_Ref!$A$7="",0,INDEX(Acct2_Raw!$B$3:$BO$26,MATCH(Months_Ref!$A$7,Acct2_Raw!$A$3:$A$26,0),MATCH($A63,Acct2_Raw!$B$1:$BO$1,0))),0)</f>
        <v/>
      </c>
      <c r="N63" s="70">
        <f>B63+H63</f>
        <v/>
      </c>
      <c r="O63" s="70">
        <f>C63+I63</f>
        <v/>
      </c>
      <c r="P63" s="70">
        <f>D63+J63</f>
        <v/>
      </c>
      <c r="Q63" s="70">
        <f>E63+K63</f>
        <v/>
      </c>
      <c r="R63" s="70">
        <f>F63+L63</f>
        <v/>
      </c>
      <c r="S63" s="70">
        <f>G63+M63</f>
        <v/>
      </c>
    </row>
    <row r="64" ht="15" customHeight="1" s="65">
      <c r="A64" s="72" t="inlineStr">
        <is>
          <t>Translate($)</t>
        </is>
      </c>
      <c r="B64" s="70">
        <f>IFERROR(IF(Months_Ref!$A$2="",0,INDEX(Acct1_Raw!$B$3:$BO$26,MATCH(Months_Ref!$A$2,Acct1_Raw!$A$3:$A$26,0),MATCH($A64,Acct1_Raw!$B$1:$BO$1,0))),0)</f>
        <v/>
      </c>
      <c r="C64" s="70">
        <f>IFERROR(IF(Months_Ref!$A$3="",0,INDEX(Acct1_Raw!$B$3:$BO$26,MATCH(Months_Ref!$A$3,Acct1_Raw!$A$3:$A$26,0),MATCH($A64,Acct1_Raw!$B$1:$BO$1,0))),0)</f>
        <v/>
      </c>
      <c r="D64" s="70">
        <f>IFERROR(IF(Months_Ref!$A$4="",0,INDEX(Acct1_Raw!$B$3:$BO$26,MATCH(Months_Ref!$A$4,Acct1_Raw!$A$3:$A$26,0),MATCH($A64,Acct1_Raw!$B$1:$BO$1,0))),0)</f>
        <v/>
      </c>
      <c r="E64" s="70">
        <f>IFERROR(IF(Months_Ref!$A$5="",0,INDEX(Acct1_Raw!$B$3:$BO$26,MATCH(Months_Ref!$A$5,Acct1_Raw!$A$3:$A$26,0),MATCH($A64,Acct1_Raw!$B$1:$BO$1,0))),0)</f>
        <v/>
      </c>
      <c r="F64" s="70">
        <f>IFERROR(IF(Months_Ref!$A$6="",0,INDEX(Acct1_Raw!$B$3:$BO$26,MATCH(Months_Ref!$A$6,Acct1_Raw!$A$3:$A$26,0),MATCH($A64,Acct1_Raw!$B$1:$BO$1,0))),0)</f>
        <v/>
      </c>
      <c r="G64" s="70">
        <f>IFERROR(IF(Months_Ref!$A$7="",0,INDEX(Acct1_Raw!$B$3:$BO$26,MATCH(Months_Ref!$A$7,Acct1_Raw!$A$3:$A$26,0),MATCH($A64,Acct1_Raw!$B$1:$BO$1,0))),0)</f>
        <v/>
      </c>
      <c r="H64" s="70">
        <f>IFERROR(IF(Months_Ref!$A$2="",0,INDEX(Acct2_Raw!$B$3:$BO$26,MATCH(Months_Ref!$A$2,Acct2_Raw!$A$3:$A$26,0),MATCH($A64,Acct2_Raw!$B$1:$BO$1,0))),0)</f>
        <v/>
      </c>
      <c r="I64" s="70">
        <f>IFERROR(IF(Months_Ref!$A$3="",0,INDEX(Acct2_Raw!$B$3:$BO$26,MATCH(Months_Ref!$A$3,Acct2_Raw!$A$3:$A$26,0),MATCH($A64,Acct2_Raw!$B$1:$BO$1,0))),0)</f>
        <v/>
      </c>
      <c r="J64" s="70">
        <f>IFERROR(IF(Months_Ref!$A$4="",0,INDEX(Acct2_Raw!$B$3:$BO$26,MATCH(Months_Ref!$A$4,Acct2_Raw!$A$3:$A$26,0),MATCH($A64,Acct2_Raw!$B$1:$BO$1,0))),0)</f>
        <v/>
      </c>
      <c r="K64" s="70">
        <f>IFERROR(IF(Months_Ref!$A$5="",0,INDEX(Acct2_Raw!$B$3:$BO$26,MATCH(Months_Ref!$A$5,Acct2_Raw!$A$3:$A$26,0),MATCH($A64,Acct2_Raw!$B$1:$BO$1,0))),0)</f>
        <v/>
      </c>
      <c r="L64" s="70">
        <f>IFERROR(IF(Months_Ref!$A$6="",0,INDEX(Acct2_Raw!$B$3:$BO$26,MATCH(Months_Ref!$A$6,Acct2_Raw!$A$3:$A$26,0),MATCH($A64,Acct2_Raw!$B$1:$BO$1,0))),0)</f>
        <v/>
      </c>
      <c r="M64" s="70">
        <f>IFERROR(IF(Months_Ref!$A$7="",0,INDEX(Acct2_Raw!$B$3:$BO$26,MATCH(Months_Ref!$A$7,Acct2_Raw!$A$3:$A$26,0),MATCH($A64,Acct2_Raw!$B$1:$BO$1,0))),0)</f>
        <v/>
      </c>
      <c r="N64" s="70">
        <f>B64+H64</f>
        <v/>
      </c>
      <c r="O64" s="70">
        <f>C64+I64</f>
        <v/>
      </c>
      <c r="P64" s="70">
        <f>D64+J64</f>
        <v/>
      </c>
      <c r="Q64" s="70">
        <f>E64+K64</f>
        <v/>
      </c>
      <c r="R64" s="70">
        <f>F64+L64</f>
        <v/>
      </c>
      <c r="S64" s="70">
        <f>G64+M64</f>
        <v/>
      </c>
    </row>
    <row r="65" ht="15" customHeight="1" s="65">
      <c r="A65" s="72" t="inlineStr">
        <is>
          <t>VPC($)</t>
        </is>
      </c>
      <c r="B65" s="70">
        <f>IFERROR(IF(Months_Ref!$A$2="",0,INDEX(Acct1_Raw!$B$3:$BO$26,MATCH(Months_Ref!$A$2,Acct1_Raw!$A$3:$A$26,0),MATCH($A65,Acct1_Raw!$B$1:$BO$1,0))),0)</f>
        <v/>
      </c>
      <c r="C65" s="70">
        <f>IFERROR(IF(Months_Ref!$A$3="",0,INDEX(Acct1_Raw!$B$3:$BO$26,MATCH(Months_Ref!$A$3,Acct1_Raw!$A$3:$A$26,0),MATCH($A65,Acct1_Raw!$B$1:$BO$1,0))),0)</f>
        <v/>
      </c>
      <c r="D65" s="70">
        <f>IFERROR(IF(Months_Ref!$A$4="",0,INDEX(Acct1_Raw!$B$3:$BO$26,MATCH(Months_Ref!$A$4,Acct1_Raw!$A$3:$A$26,0),MATCH($A65,Acct1_Raw!$B$1:$BO$1,0))),0)</f>
        <v/>
      </c>
      <c r="E65" s="70">
        <f>IFERROR(IF(Months_Ref!$A$5="",0,INDEX(Acct1_Raw!$B$3:$BO$26,MATCH(Months_Ref!$A$5,Acct1_Raw!$A$3:$A$26,0),MATCH($A65,Acct1_Raw!$B$1:$BO$1,0))),0)</f>
        <v/>
      </c>
      <c r="F65" s="70">
        <f>IFERROR(IF(Months_Ref!$A$6="",0,INDEX(Acct1_Raw!$B$3:$BO$26,MATCH(Months_Ref!$A$6,Acct1_Raw!$A$3:$A$26,0),MATCH($A65,Acct1_Raw!$B$1:$BO$1,0))),0)</f>
        <v/>
      </c>
      <c r="G65" s="70">
        <f>IFERROR(IF(Months_Ref!$A$7="",0,INDEX(Acct1_Raw!$B$3:$BO$26,MATCH(Months_Ref!$A$7,Acct1_Raw!$A$3:$A$26,0),MATCH($A65,Acct1_Raw!$B$1:$BO$1,0))),0)</f>
        <v/>
      </c>
      <c r="H65" s="70">
        <f>IFERROR(IF(Months_Ref!$A$2="",0,INDEX(Acct2_Raw!$B$3:$BO$26,MATCH(Months_Ref!$A$2,Acct2_Raw!$A$3:$A$26,0),MATCH($A65,Acct2_Raw!$B$1:$BO$1,0))),0)</f>
        <v/>
      </c>
      <c r="I65" s="70">
        <f>IFERROR(IF(Months_Ref!$A$3="",0,INDEX(Acct2_Raw!$B$3:$BO$26,MATCH(Months_Ref!$A$3,Acct2_Raw!$A$3:$A$26,0),MATCH($A65,Acct2_Raw!$B$1:$BO$1,0))),0)</f>
        <v/>
      </c>
      <c r="J65" s="70">
        <f>IFERROR(IF(Months_Ref!$A$4="",0,INDEX(Acct2_Raw!$B$3:$BO$26,MATCH(Months_Ref!$A$4,Acct2_Raw!$A$3:$A$26,0),MATCH($A65,Acct2_Raw!$B$1:$BO$1,0))),0)</f>
        <v/>
      </c>
      <c r="K65" s="70">
        <f>IFERROR(IF(Months_Ref!$A$5="",0,INDEX(Acct2_Raw!$B$3:$BO$26,MATCH(Months_Ref!$A$5,Acct2_Raw!$A$3:$A$26,0),MATCH($A65,Acct2_Raw!$B$1:$BO$1,0))),0)</f>
        <v/>
      </c>
      <c r="L65" s="70">
        <f>IFERROR(IF(Months_Ref!$A$6="",0,INDEX(Acct2_Raw!$B$3:$BO$26,MATCH(Months_Ref!$A$6,Acct2_Raw!$A$3:$A$26,0),MATCH($A65,Acct2_Raw!$B$1:$BO$1,0))),0)</f>
        <v/>
      </c>
      <c r="M65" s="70">
        <f>IFERROR(IF(Months_Ref!$A$7="",0,INDEX(Acct2_Raw!$B$3:$BO$26,MATCH(Months_Ref!$A$7,Acct2_Raw!$A$3:$A$26,0),MATCH($A65,Acct2_Raw!$B$1:$BO$1,0))),0)</f>
        <v/>
      </c>
      <c r="N65" s="70">
        <f>B65+H65</f>
        <v/>
      </c>
      <c r="O65" s="70">
        <f>C65+I65</f>
        <v/>
      </c>
      <c r="P65" s="70">
        <f>D65+J65</f>
        <v/>
      </c>
      <c r="Q65" s="70">
        <f>E65+K65</f>
        <v/>
      </c>
      <c r="R65" s="70">
        <f>F65+L65</f>
        <v/>
      </c>
      <c r="S65" s="70">
        <f>G65+M65</f>
        <v/>
      </c>
    </row>
    <row r="66" ht="15" customHeight="1" s="65">
      <c r="A66" s="72" t="inlineStr">
        <is>
          <t>WAF($)</t>
        </is>
      </c>
      <c r="B66" s="70">
        <f>IFERROR(IF(Months_Ref!$A$2="",0,INDEX(Acct1_Raw!$B$3:$BO$26,MATCH(Months_Ref!$A$2,Acct1_Raw!$A$3:$A$26,0),MATCH($A66,Acct1_Raw!$B$1:$BO$1,0))),0)</f>
        <v/>
      </c>
      <c r="C66" s="70">
        <f>IFERROR(IF(Months_Ref!$A$3="",0,INDEX(Acct1_Raw!$B$3:$BO$26,MATCH(Months_Ref!$A$3,Acct1_Raw!$A$3:$A$26,0),MATCH($A66,Acct1_Raw!$B$1:$BO$1,0))),0)</f>
        <v/>
      </c>
      <c r="D66" s="70">
        <f>IFERROR(IF(Months_Ref!$A$4="",0,INDEX(Acct1_Raw!$B$3:$BO$26,MATCH(Months_Ref!$A$4,Acct1_Raw!$A$3:$A$26,0),MATCH($A66,Acct1_Raw!$B$1:$BO$1,0))),0)</f>
        <v/>
      </c>
      <c r="E66" s="70">
        <f>IFERROR(IF(Months_Ref!$A$5="",0,INDEX(Acct1_Raw!$B$3:$BO$26,MATCH(Months_Ref!$A$5,Acct1_Raw!$A$3:$A$26,0),MATCH($A66,Acct1_Raw!$B$1:$BO$1,0))),0)</f>
        <v/>
      </c>
      <c r="F66" s="70">
        <f>IFERROR(IF(Months_Ref!$A$6="",0,INDEX(Acct1_Raw!$B$3:$BO$26,MATCH(Months_Ref!$A$6,Acct1_Raw!$A$3:$A$26,0),MATCH($A66,Acct1_Raw!$B$1:$BO$1,0))),0)</f>
        <v/>
      </c>
      <c r="G66" s="70">
        <f>IFERROR(IF(Months_Ref!$A$7="",0,INDEX(Acct1_Raw!$B$3:$BO$26,MATCH(Months_Ref!$A$7,Acct1_Raw!$A$3:$A$26,0),MATCH($A66,Acct1_Raw!$B$1:$BO$1,0))),0)</f>
        <v/>
      </c>
      <c r="H66" s="70">
        <f>IFERROR(IF(Months_Ref!$A$2="",0,INDEX(Acct2_Raw!$B$3:$BO$26,MATCH(Months_Ref!$A$2,Acct2_Raw!$A$3:$A$26,0),MATCH($A66,Acct2_Raw!$B$1:$BO$1,0))),0)</f>
        <v/>
      </c>
      <c r="I66" s="70">
        <f>IFERROR(IF(Months_Ref!$A$3="",0,INDEX(Acct2_Raw!$B$3:$BO$26,MATCH(Months_Ref!$A$3,Acct2_Raw!$A$3:$A$26,0),MATCH($A66,Acct2_Raw!$B$1:$BO$1,0))),0)</f>
        <v/>
      </c>
      <c r="J66" s="70">
        <f>IFERROR(IF(Months_Ref!$A$4="",0,INDEX(Acct2_Raw!$B$3:$BO$26,MATCH(Months_Ref!$A$4,Acct2_Raw!$A$3:$A$26,0),MATCH($A66,Acct2_Raw!$B$1:$BO$1,0))),0)</f>
        <v/>
      </c>
      <c r="K66" s="70">
        <f>IFERROR(IF(Months_Ref!$A$5="",0,INDEX(Acct2_Raw!$B$3:$BO$26,MATCH(Months_Ref!$A$5,Acct2_Raw!$A$3:$A$26,0),MATCH($A66,Acct2_Raw!$B$1:$BO$1,0))),0)</f>
        <v/>
      </c>
      <c r="L66" s="70">
        <f>IFERROR(IF(Months_Ref!$A$6="",0,INDEX(Acct2_Raw!$B$3:$BO$26,MATCH(Months_Ref!$A$6,Acct2_Raw!$A$3:$A$26,0),MATCH($A66,Acct2_Raw!$B$1:$BO$1,0))),0)</f>
        <v/>
      </c>
      <c r="M66" s="70">
        <f>IFERROR(IF(Months_Ref!$A$7="",0,INDEX(Acct2_Raw!$B$3:$BO$26,MATCH(Months_Ref!$A$7,Acct2_Raw!$A$3:$A$26,0),MATCH($A66,Acct2_Raw!$B$1:$BO$1,0))),0)</f>
        <v/>
      </c>
      <c r="N66" s="70">
        <f>B66+H66</f>
        <v/>
      </c>
      <c r="O66" s="70">
        <f>C66+I66</f>
        <v/>
      </c>
      <c r="P66" s="70">
        <f>D66+J66</f>
        <v/>
      </c>
      <c r="Q66" s="70">
        <f>E66+K66</f>
        <v/>
      </c>
      <c r="R66" s="70">
        <f>F66+L66</f>
        <v/>
      </c>
      <c r="S66" s="70">
        <f>G66+M66</f>
        <v/>
      </c>
    </row>
    <row r="67" ht="15" customHeight="1" s="65">
      <c r="A67" s="72" t="inlineStr">
        <is>
          <t>WorkSpaces($)</t>
        </is>
      </c>
      <c r="B67" s="70">
        <f>IFERROR(IF(Months_Ref!$A$2="",0,INDEX(Acct1_Raw!$B$3:$BO$26,MATCH(Months_Ref!$A$2,Acct1_Raw!$A$3:$A$26,0),MATCH($A67,Acct1_Raw!$B$1:$BO$1,0))),0)</f>
        <v/>
      </c>
      <c r="C67" s="70">
        <f>IFERROR(IF(Months_Ref!$A$3="",0,INDEX(Acct1_Raw!$B$3:$BO$26,MATCH(Months_Ref!$A$3,Acct1_Raw!$A$3:$A$26,0),MATCH($A67,Acct1_Raw!$B$1:$BO$1,0))),0)</f>
        <v/>
      </c>
      <c r="D67" s="70">
        <f>IFERROR(IF(Months_Ref!$A$4="",0,INDEX(Acct1_Raw!$B$3:$BO$26,MATCH(Months_Ref!$A$4,Acct1_Raw!$A$3:$A$26,0),MATCH($A67,Acct1_Raw!$B$1:$BO$1,0))),0)</f>
        <v/>
      </c>
      <c r="E67" s="70">
        <f>IFERROR(IF(Months_Ref!$A$5="",0,INDEX(Acct1_Raw!$B$3:$BO$26,MATCH(Months_Ref!$A$5,Acct1_Raw!$A$3:$A$26,0),MATCH($A67,Acct1_Raw!$B$1:$BO$1,0))),0)</f>
        <v/>
      </c>
      <c r="F67" s="70">
        <f>IFERROR(IF(Months_Ref!$A$6="",0,INDEX(Acct1_Raw!$B$3:$BO$26,MATCH(Months_Ref!$A$6,Acct1_Raw!$A$3:$A$26,0),MATCH($A67,Acct1_Raw!$B$1:$BO$1,0))),0)</f>
        <v/>
      </c>
      <c r="G67" s="70">
        <f>IFERROR(IF(Months_Ref!$A$7="",0,INDEX(Acct1_Raw!$B$3:$BO$26,MATCH(Months_Ref!$A$7,Acct1_Raw!$A$3:$A$26,0),MATCH($A67,Acct1_Raw!$B$1:$BO$1,0))),0)</f>
        <v/>
      </c>
      <c r="H67" s="70">
        <f>IFERROR(IF(Months_Ref!$A$2="",0,INDEX(Acct2_Raw!$B$3:$BO$26,MATCH(Months_Ref!$A$2,Acct2_Raw!$A$3:$A$26,0),MATCH($A67,Acct2_Raw!$B$1:$BO$1,0))),0)</f>
        <v/>
      </c>
      <c r="I67" s="70">
        <f>IFERROR(IF(Months_Ref!$A$3="",0,INDEX(Acct2_Raw!$B$3:$BO$26,MATCH(Months_Ref!$A$3,Acct2_Raw!$A$3:$A$26,0),MATCH($A67,Acct2_Raw!$B$1:$BO$1,0))),0)</f>
        <v/>
      </c>
      <c r="J67" s="70">
        <f>IFERROR(IF(Months_Ref!$A$4="",0,INDEX(Acct2_Raw!$B$3:$BO$26,MATCH(Months_Ref!$A$4,Acct2_Raw!$A$3:$A$26,0),MATCH($A67,Acct2_Raw!$B$1:$BO$1,0))),0)</f>
        <v/>
      </c>
      <c r="K67" s="70">
        <f>IFERROR(IF(Months_Ref!$A$5="",0,INDEX(Acct2_Raw!$B$3:$BO$26,MATCH(Months_Ref!$A$5,Acct2_Raw!$A$3:$A$26,0),MATCH($A67,Acct2_Raw!$B$1:$BO$1,0))),0)</f>
        <v/>
      </c>
      <c r="L67" s="70">
        <f>IFERROR(IF(Months_Ref!$A$6="",0,INDEX(Acct2_Raw!$B$3:$BO$26,MATCH(Months_Ref!$A$6,Acct2_Raw!$A$3:$A$26,0),MATCH($A67,Acct2_Raw!$B$1:$BO$1,0))),0)</f>
        <v/>
      </c>
      <c r="M67" s="70">
        <f>IFERROR(IF(Months_Ref!$A$7="",0,INDEX(Acct2_Raw!$B$3:$BO$26,MATCH(Months_Ref!$A$7,Acct2_Raw!$A$3:$A$26,0),MATCH($A67,Acct2_Raw!$B$1:$BO$1,0))),0)</f>
        <v/>
      </c>
      <c r="N67" s="70">
        <f>B67+H67</f>
        <v/>
      </c>
      <c r="O67" s="70">
        <f>C67+I67</f>
        <v/>
      </c>
      <c r="P67" s="70">
        <f>D67+J67</f>
        <v/>
      </c>
      <c r="Q67" s="70">
        <f>E67+K67</f>
        <v/>
      </c>
      <c r="R67" s="70">
        <f>F67+L67</f>
        <v/>
      </c>
      <c r="S67" s="70">
        <f>G67+M67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A9D18E"/>
    <outlinePr summaryBelow="1" summaryRight="1"/>
    <pageSetUpPr fitToPage="0"/>
  </sheetPr>
  <dimension ref="A1:AL9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64" min="1" max="4"/>
    <col width="36" customWidth="1" style="64" min="5" max="5"/>
    <col width="14" customWidth="1" style="64" min="6" max="12"/>
    <col width="6" customWidth="1" style="64" min="14" max="14"/>
    <col width="32" customWidth="1" style="64" min="15" max="15"/>
    <col width="13" customWidth="1" style="64" min="16" max="18"/>
    <col width="10" customWidth="1" style="64" min="19" max="19"/>
    <col width="6" customWidth="1" style="64" min="21" max="21"/>
    <col width="32" customWidth="1" style="64" min="22" max="22"/>
    <col width="13" customWidth="1" style="64" min="23" max="25"/>
    <col width="10" customWidth="1" style="64" min="26" max="26"/>
    <col width="12" customWidth="1" style="64" min="28" max="28"/>
    <col width="14" customWidth="1" style="64" min="29" max="31"/>
    <col width="30" customWidth="1" style="64" min="33" max="33"/>
    <col width="14" customWidth="1" style="64" min="34" max="34"/>
    <col width="30" customWidth="1" style="64" min="36" max="36"/>
    <col width="14" customWidth="1" style="64" min="37" max="38"/>
  </cols>
  <sheetData>
    <row r="1" ht="15" customHeight="1" s="65">
      <c r="A1" s="77" t="inlineStr">
        <is>
          <t>Month</t>
        </is>
      </c>
      <c r="B1" s="77" t="inlineStr">
        <is>
          <t>A1_col</t>
        </is>
      </c>
      <c r="C1" s="77" t="inlineStr">
        <is>
          <t>A2_col</t>
        </is>
      </c>
      <c r="D1" s="77" t="inlineStr">
        <is>
          <t>CB_col</t>
        </is>
      </c>
    </row>
    <row r="2" ht="15" customHeight="1" s="65">
      <c r="A2" s="78">
        <f>Months_Ref!$A$2</f>
        <v/>
      </c>
      <c r="B2" s="64" t="n">
        <v>2</v>
      </c>
      <c r="C2" s="64" t="n">
        <v>8</v>
      </c>
      <c r="D2" s="64" t="n">
        <v>14</v>
      </c>
    </row>
    <row r="3" ht="15" customHeight="1" s="65">
      <c r="A3" s="78">
        <f>Months_Ref!$A$3</f>
        <v/>
      </c>
      <c r="B3" s="64" t="n">
        <v>3</v>
      </c>
      <c r="C3" s="64" t="n">
        <v>9</v>
      </c>
      <c r="D3" s="64" t="n">
        <v>15</v>
      </c>
    </row>
    <row r="4" ht="15" customHeight="1" s="65">
      <c r="A4" s="78">
        <f>Months_Ref!$A$4</f>
        <v/>
      </c>
      <c r="B4" s="64" t="n">
        <v>4</v>
      </c>
      <c r="C4" s="64" t="n">
        <v>10</v>
      </c>
      <c r="D4" s="64" t="n">
        <v>16</v>
      </c>
    </row>
    <row r="5" ht="15" customHeight="1" s="65">
      <c r="A5" s="78">
        <f>Months_Ref!$A$5</f>
        <v/>
      </c>
      <c r="B5" s="64" t="n">
        <v>5</v>
      </c>
      <c r="C5" s="64" t="n">
        <v>11</v>
      </c>
      <c r="D5" s="64" t="n">
        <v>17</v>
      </c>
    </row>
    <row r="6" ht="15" customHeight="1" s="65">
      <c r="A6" s="78">
        <f>Months_Ref!$A$6</f>
        <v/>
      </c>
      <c r="B6" s="64" t="n">
        <v>6</v>
      </c>
      <c r="C6" s="64" t="n">
        <v>12</v>
      </c>
      <c r="D6" s="64" t="n">
        <v>18</v>
      </c>
    </row>
    <row r="7" ht="15" customHeight="1" s="65">
      <c r="A7" s="78">
        <f>Months_Ref!$A$7</f>
        <v/>
      </c>
      <c r="B7" s="64" t="n">
        <v>7</v>
      </c>
      <c r="C7" s="64" t="n">
        <v>13</v>
      </c>
      <c r="D7" s="64" t="n">
        <v>19</v>
      </c>
    </row>
    <row r="28" ht="15" customHeight="1" s="65">
      <c r="A28" s="77" t="inlineStr">
        <is>
          <t>curr_col</t>
        </is>
      </c>
      <c r="B28" s="79">
        <f>IF(Dashboard!$E$5="Acct1",IFERROR(INDEX($B$2:$B$7,IFERROR(MATCH(Dashboard!$K$5,$A$2:$A$7,0),1)),2),IF(Dashboard!$E$5="Acct2",IFERROR(INDEX($C$2:$C$7,IFERROR(MATCH(Dashboard!$K$5,$A$2:$A$7,0),1)),8),IFERROR(INDEX($D$2:$D$7,IFERROR(MATCH(Dashboard!$K$5,$A$2:$A$7,0),1)),14)))</f>
        <v/>
      </c>
    </row>
    <row r="29" ht="15" customHeight="1" s="65">
      <c r="A29" s="77" t="inlineStr">
        <is>
          <t>prior_col</t>
        </is>
      </c>
      <c r="B29" s="79">
        <f>IF(Dashboard!$E$5="Acct1",IFERROR(INDEX($B$2:$B$7,IFERROR(MATCH(Dashboard!$Q$5,$A$2:$A$7,0),1)),2),IF(Dashboard!$E$5="Acct2",IFERROR(INDEX($C$2:$C$7,IFERROR(MATCH(Dashboard!$Q$5,$A$2:$A$7,0),1)),8),IFERROR(INDEX($D$2:$D$7,IFERROR(MATCH(Dashboard!$Q$5,$A$2:$A$7,0),1)),14)))</f>
        <v/>
      </c>
      <c r="E29" s="77" t="inlineStr">
        <is>
          <t>Service</t>
        </is>
      </c>
      <c r="F29" s="77" t="inlineStr">
        <is>
          <t>Curr($)</t>
        </is>
      </c>
      <c r="G29" s="77" t="inlineStr">
        <is>
          <t>Prior($)</t>
        </is>
      </c>
      <c r="H29" s="77" t="inlineStr">
        <is>
          <t>MoM_D</t>
        </is>
      </c>
      <c r="I29" s="77" t="inlineStr">
        <is>
          <t>MoM_P</t>
        </is>
      </c>
      <c r="J29" s="77" t="inlineStr">
        <is>
          <t>Rank_Curr</t>
        </is>
      </c>
      <c r="K29" s="77" t="inlineStr">
        <is>
          <t>AbsMoM</t>
        </is>
      </c>
      <c r="L29" s="77" t="inlineStr">
        <is>
          <t>Rank_MoM</t>
        </is>
      </c>
      <c r="N29" s="80" t="inlineStr">
        <is>
          <t>Rank</t>
        </is>
      </c>
      <c r="O29" s="80" t="inlineStr">
        <is>
          <t>Service</t>
        </is>
      </c>
      <c r="P29" s="80" t="inlineStr">
        <is>
          <t>Curr($)</t>
        </is>
      </c>
      <c r="Q29" s="80" t="inlineStr">
        <is>
          <t>Prior($)</t>
        </is>
      </c>
      <c r="R29" s="80" t="inlineStr">
        <is>
          <t>MoM_D</t>
        </is>
      </c>
      <c r="S29" s="80" t="inlineStr">
        <is>
          <t>MoM_P</t>
        </is>
      </c>
      <c r="U29" s="80" t="inlineStr">
        <is>
          <t>Rank</t>
        </is>
      </c>
      <c r="V29" s="80" t="inlineStr">
        <is>
          <t>Service</t>
        </is>
      </c>
      <c r="W29" s="80" t="inlineStr">
        <is>
          <t>Curr($)</t>
        </is>
      </c>
      <c r="X29" s="80" t="inlineStr">
        <is>
          <t>Prior($)</t>
        </is>
      </c>
      <c r="Y29" s="80" t="inlineStr">
        <is>
          <t>MoM_D</t>
        </is>
      </c>
      <c r="Z29" s="80" t="inlineStr">
        <is>
          <t>MoM_P</t>
        </is>
      </c>
      <c r="AB29" s="80" t="inlineStr">
        <is>
          <t>Month</t>
        </is>
      </c>
      <c r="AC29" s="80" t="inlineStr">
        <is>
          <t>Acct1($)</t>
        </is>
      </c>
      <c r="AD29" s="80" t="inlineStr">
        <is>
          <t>Acct2($)</t>
        </is>
      </c>
      <c r="AE29" s="80" t="inlineStr">
        <is>
          <t>Comb($)</t>
        </is>
      </c>
      <c r="AG29" s="80" t="inlineStr">
        <is>
          <t>Service</t>
        </is>
      </c>
      <c r="AH29" s="80" t="inlineStr">
        <is>
          <t>Cost($)</t>
        </is>
      </c>
      <c r="AJ29" s="80" t="inlineStr">
        <is>
          <t>Service</t>
        </is>
      </c>
      <c r="AK29" s="80" t="inlineStr">
        <is>
          <t>Acct1($)</t>
        </is>
      </c>
      <c r="AL29" s="80" t="inlineStr">
        <is>
          <t>Acct2($)</t>
        </is>
      </c>
    </row>
    <row r="30" ht="15" customHeight="1" s="65">
      <c r="A30" s="77" t="inlineStr">
        <is>
          <t>topn</t>
        </is>
      </c>
      <c r="B30" s="79">
        <f>VALUE(Dashboard!$W$5)</f>
        <v/>
      </c>
      <c r="E30" s="79">
        <f>Service_List!$A$2</f>
        <v/>
      </c>
      <c r="F30" s="81">
        <f>IFERROR(INDEX(Service_List!$2:2,1,$B$28),0)</f>
        <v/>
      </c>
      <c r="G30" s="81">
        <f>IFERROR(INDEX(Service_List!$2:2,1,$B$29),0)</f>
        <v/>
      </c>
      <c r="H30" s="81">
        <f>F30-G30</f>
        <v/>
      </c>
      <c r="I30" s="82">
        <f>IFERROR(H30/G30,0)</f>
        <v/>
      </c>
      <c r="J30" s="79">
        <f>RANK(F30,$F$30:$F$95,0)</f>
        <v/>
      </c>
      <c r="K30" s="81">
        <f>ABS(H30)</f>
        <v/>
      </c>
      <c r="L30" s="79">
        <f>RANK(K30,$K$30:$K$95,0)</f>
        <v/>
      </c>
      <c r="N30" s="79" t="n">
        <v>1</v>
      </c>
      <c r="O30" s="79">
        <f>IFERROR(INDEX($E$30:$E$95,MATCH(1,$J$30:$J$95,0)),"")</f>
        <v/>
      </c>
      <c r="P30" s="81">
        <f>IFERROR(INDEX($F$30:$F$95,MATCH(1,$J$30:$J$95,0)),0)</f>
        <v/>
      </c>
      <c r="Q30" s="81">
        <f>IFERROR(INDEX($G$30:$G$95,MATCH(1,$J$30:$J$95,0)),0)</f>
        <v/>
      </c>
      <c r="R30" s="81">
        <f>IFERROR(INDEX($H$30:$H$95,MATCH(1,$J$30:$J$95,0)),0)</f>
        <v/>
      </c>
      <c r="S30" s="82">
        <f>IFERROR(INDEX($I$30:$I$95,MATCH(1,$J$30:$J$95,0)),0)</f>
        <v/>
      </c>
      <c r="U30" s="79" t="n">
        <v>1</v>
      </c>
      <c r="V30" s="79">
        <f>IFERROR(INDEX($E$30:$E$95,MATCH(1,$L$30:$L$95,0)),"")</f>
        <v/>
      </c>
      <c r="W30" s="81">
        <f>IFERROR(INDEX($F$30:$F$95,MATCH(1,$L$30:$L$95,0)),0)</f>
        <v/>
      </c>
      <c r="X30" s="81">
        <f>IFERROR(INDEX($G$30:$G$95,MATCH(1,$L$30:$L$95,0)),0)</f>
        <v/>
      </c>
      <c r="Y30" s="81">
        <f>IFERROR(INDEX($H$30:$H$95,MATCH(1,$L$30:$L$95,0)),0)</f>
        <v/>
      </c>
      <c r="Z30" s="82">
        <f>IFERROR(INDEX($I$30:$I$95,MATCH(1,$L$30:$L$95,0)),0)</f>
        <v/>
      </c>
      <c r="AB30" s="79">
        <f>IF(Months_Ref!$A$2="","",TEXT(Months_Ref!$A$2,"mmm-yy"))</f>
        <v/>
      </c>
      <c r="AC30" s="81">
        <f>IFERROR(IF(Months_Ref!$A$2="",0,SUMPRODUCT((Acct1_Raw!$A$3:$A$26=Months_Ref!$A$2)*Acct1_Raw!$B$3:$BO$26)),0)</f>
        <v/>
      </c>
      <c r="AD30" s="81">
        <f>IFERROR(IF(Months_Ref!$A$2="",0,SUMPRODUCT((Acct2_Raw!$A$3:$A$26=Months_Ref!$A$2)*Acct2_Raw!$B$3:$BO$26)),0)</f>
        <v/>
      </c>
      <c r="AE30" s="81">
        <f>AC30+AD30</f>
        <v/>
      </c>
      <c r="AG30" s="79">
        <f>IFERROR(INDEX($E$30:$E$95,MATCH(1,$J$30:$J$95,0)),"")</f>
        <v/>
      </c>
      <c r="AH30" s="81">
        <f>IFERROR(INDEX($F$30:$F$95,MATCH(1,$J$30:$J$95,0)),0)</f>
        <v/>
      </c>
      <c r="AJ30" s="79">
        <f>IFERROR(INDEX($E$30:$E$95,MATCH(1,$J$30:$J$95,0)),"")</f>
        <v/>
      </c>
      <c r="AK30" s="81">
        <f>IFERROR(INDEX(Service_List!$2:67,IFERROR(MATCH(IFERROR(INDEX($E$30:$E$95,MATCH(1,$J$30:$J$95,0)),""),Service_List!$A$2:$A$67,0),0),IFERROR(INDEX($B$2:$B$7,IFERROR(MATCH(Dashboard!$K$5,$A$2:$A$7,0),1)),2)),0)</f>
        <v/>
      </c>
      <c r="AL30" s="81">
        <f>IFERROR(INDEX(Service_List!$2:67,IFERROR(MATCH(IFERROR(INDEX($E$30:$E$95,MATCH(1,$J$30:$J$95,0)),""),Service_List!$A$2:$A$67,0),0),IFERROR(INDEX($C$2:$C$7,IFERROR(MATCH(Dashboard!$K$5,$A$2:$A$7,0),1)),8)),0)</f>
        <v/>
      </c>
    </row>
    <row r="31" ht="15" customHeight="1" s="65">
      <c r="E31" s="79">
        <f>Service_List!$A$3</f>
        <v/>
      </c>
      <c r="F31" s="81">
        <f>IFERROR(INDEX(Service_List!$3:3,1,$B$28),0)</f>
        <v/>
      </c>
      <c r="G31" s="81">
        <f>IFERROR(INDEX(Service_List!$3:3,1,$B$29),0)</f>
        <v/>
      </c>
      <c r="H31" s="81">
        <f>F31-G31</f>
        <v/>
      </c>
      <c r="I31" s="82">
        <f>IFERROR(H31/G31,0)</f>
        <v/>
      </c>
      <c r="J31" s="79">
        <f>RANK(F31,$F$30:$F$95,0)</f>
        <v/>
      </c>
      <c r="K31" s="81">
        <f>ABS(H31)</f>
        <v/>
      </c>
      <c r="L31" s="79">
        <f>RANK(K31,$K$30:$K$95,0)</f>
        <v/>
      </c>
      <c r="N31" s="79" t="n">
        <v>2</v>
      </c>
      <c r="O31" s="79">
        <f>IFERROR(INDEX($E$30:$E$95,MATCH(2,$J$30:$J$95,0)),"")</f>
        <v/>
      </c>
      <c r="P31" s="81">
        <f>IFERROR(INDEX($F$30:$F$95,MATCH(2,$J$30:$J$95,0)),0)</f>
        <v/>
      </c>
      <c r="Q31" s="81">
        <f>IFERROR(INDEX($G$30:$G$95,MATCH(2,$J$30:$J$95,0)),0)</f>
        <v/>
      </c>
      <c r="R31" s="81">
        <f>IFERROR(INDEX($H$30:$H$95,MATCH(2,$J$30:$J$95,0)),0)</f>
        <v/>
      </c>
      <c r="S31" s="82">
        <f>IFERROR(INDEX($I$30:$I$95,MATCH(2,$J$30:$J$95,0)),0)</f>
        <v/>
      </c>
      <c r="U31" s="79" t="n">
        <v>2</v>
      </c>
      <c r="V31" s="79">
        <f>IFERROR(INDEX($E$30:$E$95,MATCH(2,$L$30:$L$95,0)),"")</f>
        <v/>
      </c>
      <c r="W31" s="81">
        <f>IFERROR(INDEX($F$30:$F$95,MATCH(2,$L$30:$L$95,0)),0)</f>
        <v/>
      </c>
      <c r="X31" s="81">
        <f>IFERROR(INDEX($G$30:$G$95,MATCH(2,$L$30:$L$95,0)),0)</f>
        <v/>
      </c>
      <c r="Y31" s="81">
        <f>IFERROR(INDEX($H$30:$H$95,MATCH(2,$L$30:$L$95,0)),0)</f>
        <v/>
      </c>
      <c r="Z31" s="82">
        <f>IFERROR(INDEX($I$30:$I$95,MATCH(2,$L$30:$L$95,0)),0)</f>
        <v/>
      </c>
      <c r="AB31" s="79">
        <f>IF(Months_Ref!$A$3="","",TEXT(Months_Ref!$A$3,"mmm-yy"))</f>
        <v/>
      </c>
      <c r="AC31" s="81">
        <f>IFERROR(IF(Months_Ref!$A$3="",0,SUMPRODUCT((Acct1_Raw!$A$3:$A$26=Months_Ref!$A$3)*Acct1_Raw!$B$3:$BO$26)),0)</f>
        <v/>
      </c>
      <c r="AD31" s="81">
        <f>IFERROR(IF(Months_Ref!$A$3="",0,SUMPRODUCT((Acct2_Raw!$A$3:$A$26=Months_Ref!$A$3)*Acct2_Raw!$B$3:$BO$26)),0)</f>
        <v/>
      </c>
      <c r="AE31" s="81">
        <f>AC31+AD31</f>
        <v/>
      </c>
      <c r="AG31" s="79">
        <f>IFERROR(INDEX($E$30:$E$95,MATCH(2,$J$30:$J$95,0)),"")</f>
        <v/>
      </c>
      <c r="AH31" s="81">
        <f>IFERROR(INDEX($F$30:$F$95,MATCH(2,$J$30:$J$95,0)),0)</f>
        <v/>
      </c>
      <c r="AJ31" s="79">
        <f>IFERROR(INDEX($E$30:$E$95,MATCH(2,$J$30:$J$95,0)),"")</f>
        <v/>
      </c>
      <c r="AK31" s="81">
        <f>IFERROR(INDEX(Service_List!$2:67,IFERROR(MATCH(IFERROR(INDEX($E$30:$E$95,MATCH(2,$J$30:$J$95,0)),""),Service_List!$A$2:$A$67,0),0),IFERROR(INDEX($B$2:$B$7,IFERROR(MATCH(Dashboard!$K$5,$A$2:$A$7,0),1)),2)),0)</f>
        <v/>
      </c>
      <c r="AL31" s="81">
        <f>IFERROR(INDEX(Service_List!$2:67,IFERROR(MATCH(IFERROR(INDEX($E$30:$E$95,MATCH(2,$J$30:$J$95,0)),""),Service_List!$A$2:$A$67,0),0),IFERROR(INDEX($C$2:$C$7,IFERROR(MATCH(Dashboard!$K$5,$A$2:$A$7,0),1)),8)),0)</f>
        <v/>
      </c>
    </row>
    <row r="32" ht="15" customHeight="1" s="65">
      <c r="E32" s="79">
        <f>Service_List!$A$4</f>
        <v/>
      </c>
      <c r="F32" s="81">
        <f>IFERROR(INDEX(Service_List!$4:4,1,$B$28),0)</f>
        <v/>
      </c>
      <c r="G32" s="81">
        <f>IFERROR(INDEX(Service_List!$4:4,1,$B$29),0)</f>
        <v/>
      </c>
      <c r="H32" s="81">
        <f>F32-G32</f>
        <v/>
      </c>
      <c r="I32" s="82">
        <f>IFERROR(H32/G32,0)</f>
        <v/>
      </c>
      <c r="J32" s="79">
        <f>RANK(F32,$F$30:$F$95,0)</f>
        <v/>
      </c>
      <c r="K32" s="81">
        <f>ABS(H32)</f>
        <v/>
      </c>
      <c r="L32" s="79">
        <f>RANK(K32,$K$30:$K$95,0)</f>
        <v/>
      </c>
      <c r="N32" s="79" t="n">
        <v>3</v>
      </c>
      <c r="O32" s="79">
        <f>IFERROR(INDEX($E$30:$E$95,MATCH(3,$J$30:$J$95,0)),"")</f>
        <v/>
      </c>
      <c r="P32" s="81">
        <f>IFERROR(INDEX($F$30:$F$95,MATCH(3,$J$30:$J$95,0)),0)</f>
        <v/>
      </c>
      <c r="Q32" s="81">
        <f>IFERROR(INDEX($G$30:$G$95,MATCH(3,$J$30:$J$95,0)),0)</f>
        <v/>
      </c>
      <c r="R32" s="81">
        <f>IFERROR(INDEX($H$30:$H$95,MATCH(3,$J$30:$J$95,0)),0)</f>
        <v/>
      </c>
      <c r="S32" s="82">
        <f>IFERROR(INDEX($I$30:$I$95,MATCH(3,$J$30:$J$95,0)),0)</f>
        <v/>
      </c>
      <c r="U32" s="79" t="n">
        <v>3</v>
      </c>
      <c r="V32" s="79">
        <f>IFERROR(INDEX($E$30:$E$95,MATCH(3,$L$30:$L$95,0)),"")</f>
        <v/>
      </c>
      <c r="W32" s="81">
        <f>IFERROR(INDEX($F$30:$F$95,MATCH(3,$L$30:$L$95,0)),0)</f>
        <v/>
      </c>
      <c r="X32" s="81">
        <f>IFERROR(INDEX($G$30:$G$95,MATCH(3,$L$30:$L$95,0)),0)</f>
        <v/>
      </c>
      <c r="Y32" s="81">
        <f>IFERROR(INDEX($H$30:$H$95,MATCH(3,$L$30:$L$95,0)),0)</f>
        <v/>
      </c>
      <c r="Z32" s="82">
        <f>IFERROR(INDEX($I$30:$I$95,MATCH(3,$L$30:$L$95,0)),0)</f>
        <v/>
      </c>
      <c r="AB32" s="79">
        <f>IF(Months_Ref!$A$4="","",TEXT(Months_Ref!$A$4,"mmm-yy"))</f>
        <v/>
      </c>
      <c r="AC32" s="81">
        <f>IFERROR(IF(Months_Ref!$A$4="",0,SUMPRODUCT((Acct1_Raw!$A$3:$A$26=Months_Ref!$A$4)*Acct1_Raw!$B$3:$BO$26)),0)</f>
        <v/>
      </c>
      <c r="AD32" s="81">
        <f>IFERROR(IF(Months_Ref!$A$4="",0,SUMPRODUCT((Acct2_Raw!$A$3:$A$26=Months_Ref!$A$4)*Acct2_Raw!$B$3:$BO$26)),0)</f>
        <v/>
      </c>
      <c r="AE32" s="81">
        <f>AC32+AD32</f>
        <v/>
      </c>
      <c r="AG32" s="79">
        <f>IFERROR(INDEX($E$30:$E$95,MATCH(3,$J$30:$J$95,0)),"")</f>
        <v/>
      </c>
      <c r="AH32" s="81">
        <f>IFERROR(INDEX($F$30:$F$95,MATCH(3,$J$30:$J$95,0)),0)</f>
        <v/>
      </c>
      <c r="AJ32" s="79">
        <f>IFERROR(INDEX($E$30:$E$95,MATCH(3,$J$30:$J$95,0)),"")</f>
        <v/>
      </c>
      <c r="AK32" s="81">
        <f>IFERROR(INDEX(Service_List!$2:67,IFERROR(MATCH(IFERROR(INDEX($E$30:$E$95,MATCH(3,$J$30:$J$95,0)),""),Service_List!$A$2:$A$67,0),0),IFERROR(INDEX($B$2:$B$7,IFERROR(MATCH(Dashboard!$K$5,$A$2:$A$7,0),1)),2)),0)</f>
        <v/>
      </c>
      <c r="AL32" s="81">
        <f>IFERROR(INDEX(Service_List!$2:67,IFERROR(MATCH(IFERROR(INDEX($E$30:$E$95,MATCH(3,$J$30:$J$95,0)),""),Service_List!$A$2:$A$67,0),0),IFERROR(INDEX($C$2:$C$7,IFERROR(MATCH(Dashboard!$K$5,$A$2:$A$7,0),1)),8)),0)</f>
        <v/>
      </c>
    </row>
    <row r="33" ht="15" customHeight="1" s="65">
      <c r="E33" s="79">
        <f>Service_List!$A$5</f>
        <v/>
      </c>
      <c r="F33" s="81">
        <f>IFERROR(INDEX(Service_List!$5:5,1,$B$28),0)</f>
        <v/>
      </c>
      <c r="G33" s="81">
        <f>IFERROR(INDEX(Service_List!$5:5,1,$B$29),0)</f>
        <v/>
      </c>
      <c r="H33" s="81">
        <f>F33-G33</f>
        <v/>
      </c>
      <c r="I33" s="82">
        <f>IFERROR(H33/G33,0)</f>
        <v/>
      </c>
      <c r="J33" s="79">
        <f>RANK(F33,$F$30:$F$95,0)</f>
        <v/>
      </c>
      <c r="K33" s="81">
        <f>ABS(H33)</f>
        <v/>
      </c>
      <c r="L33" s="79">
        <f>RANK(K33,$K$30:$K$95,0)</f>
        <v/>
      </c>
      <c r="N33" s="79" t="n">
        <v>4</v>
      </c>
      <c r="O33" s="79">
        <f>IFERROR(INDEX($E$30:$E$95,MATCH(4,$J$30:$J$95,0)),"")</f>
        <v/>
      </c>
      <c r="P33" s="81">
        <f>IFERROR(INDEX($F$30:$F$95,MATCH(4,$J$30:$J$95,0)),0)</f>
        <v/>
      </c>
      <c r="Q33" s="81">
        <f>IFERROR(INDEX($G$30:$G$95,MATCH(4,$J$30:$J$95,0)),0)</f>
        <v/>
      </c>
      <c r="R33" s="81">
        <f>IFERROR(INDEX($H$30:$H$95,MATCH(4,$J$30:$J$95,0)),0)</f>
        <v/>
      </c>
      <c r="S33" s="82">
        <f>IFERROR(INDEX($I$30:$I$95,MATCH(4,$J$30:$J$95,0)),0)</f>
        <v/>
      </c>
      <c r="U33" s="79" t="n">
        <v>4</v>
      </c>
      <c r="V33" s="79">
        <f>IFERROR(INDEX($E$30:$E$95,MATCH(4,$L$30:$L$95,0)),"")</f>
        <v/>
      </c>
      <c r="W33" s="81">
        <f>IFERROR(INDEX($F$30:$F$95,MATCH(4,$L$30:$L$95,0)),0)</f>
        <v/>
      </c>
      <c r="X33" s="81">
        <f>IFERROR(INDEX($G$30:$G$95,MATCH(4,$L$30:$L$95,0)),0)</f>
        <v/>
      </c>
      <c r="Y33" s="81">
        <f>IFERROR(INDEX($H$30:$H$95,MATCH(4,$L$30:$L$95,0)),0)</f>
        <v/>
      </c>
      <c r="Z33" s="82">
        <f>IFERROR(INDEX($I$30:$I$95,MATCH(4,$L$30:$L$95,0)),0)</f>
        <v/>
      </c>
      <c r="AB33" s="79">
        <f>IF(Months_Ref!$A$5="","",TEXT(Months_Ref!$A$5,"mmm-yy"))</f>
        <v/>
      </c>
      <c r="AC33" s="81">
        <f>IFERROR(IF(Months_Ref!$A$5="",0,SUMPRODUCT((Acct1_Raw!$A$3:$A$26=Months_Ref!$A$5)*Acct1_Raw!$B$3:$BO$26)),0)</f>
        <v/>
      </c>
      <c r="AD33" s="81">
        <f>IFERROR(IF(Months_Ref!$A$5="",0,SUMPRODUCT((Acct2_Raw!$A$3:$A$26=Months_Ref!$A$5)*Acct2_Raw!$B$3:$BO$26)),0)</f>
        <v/>
      </c>
      <c r="AE33" s="81">
        <f>AC33+AD33</f>
        <v/>
      </c>
      <c r="AG33" s="79">
        <f>IFERROR(INDEX($E$30:$E$95,MATCH(4,$J$30:$J$95,0)),"")</f>
        <v/>
      </c>
      <c r="AH33" s="81">
        <f>IFERROR(INDEX($F$30:$F$95,MATCH(4,$J$30:$J$95,0)),0)</f>
        <v/>
      </c>
      <c r="AJ33" s="79">
        <f>IFERROR(INDEX($E$30:$E$95,MATCH(4,$J$30:$J$95,0)),"")</f>
        <v/>
      </c>
      <c r="AK33" s="81">
        <f>IFERROR(INDEX(Service_List!$2:67,IFERROR(MATCH(IFERROR(INDEX($E$30:$E$95,MATCH(4,$J$30:$J$95,0)),""),Service_List!$A$2:$A$67,0),0),IFERROR(INDEX($B$2:$B$7,IFERROR(MATCH(Dashboard!$K$5,$A$2:$A$7,0),1)),2)),0)</f>
        <v/>
      </c>
      <c r="AL33" s="81">
        <f>IFERROR(INDEX(Service_List!$2:67,IFERROR(MATCH(IFERROR(INDEX($E$30:$E$95,MATCH(4,$J$30:$J$95,0)),""),Service_List!$A$2:$A$67,0),0),IFERROR(INDEX($C$2:$C$7,IFERROR(MATCH(Dashboard!$K$5,$A$2:$A$7,0),1)),8)),0)</f>
        <v/>
      </c>
    </row>
    <row r="34" ht="15" customHeight="1" s="65">
      <c r="E34" s="79">
        <f>Service_List!$A$6</f>
        <v/>
      </c>
      <c r="F34" s="81">
        <f>IFERROR(INDEX(Service_List!$6:6,1,$B$28),0)</f>
        <v/>
      </c>
      <c r="G34" s="81">
        <f>IFERROR(INDEX(Service_List!$6:6,1,$B$29),0)</f>
        <v/>
      </c>
      <c r="H34" s="81">
        <f>F34-G34</f>
        <v/>
      </c>
      <c r="I34" s="82">
        <f>IFERROR(H34/G34,0)</f>
        <v/>
      </c>
      <c r="J34" s="79">
        <f>RANK(F34,$F$30:$F$95,0)</f>
        <v/>
      </c>
      <c r="K34" s="81">
        <f>ABS(H34)</f>
        <v/>
      </c>
      <c r="L34" s="79">
        <f>RANK(K34,$K$30:$K$95,0)</f>
        <v/>
      </c>
      <c r="N34" s="79" t="n">
        <v>5</v>
      </c>
      <c r="O34" s="79">
        <f>IFERROR(INDEX($E$30:$E$95,MATCH(5,$J$30:$J$95,0)),"")</f>
        <v/>
      </c>
      <c r="P34" s="81">
        <f>IFERROR(INDEX($F$30:$F$95,MATCH(5,$J$30:$J$95,0)),0)</f>
        <v/>
      </c>
      <c r="Q34" s="81">
        <f>IFERROR(INDEX($G$30:$G$95,MATCH(5,$J$30:$J$95,0)),0)</f>
        <v/>
      </c>
      <c r="R34" s="81">
        <f>IFERROR(INDEX($H$30:$H$95,MATCH(5,$J$30:$J$95,0)),0)</f>
        <v/>
      </c>
      <c r="S34" s="82">
        <f>IFERROR(INDEX($I$30:$I$95,MATCH(5,$J$30:$J$95,0)),0)</f>
        <v/>
      </c>
      <c r="U34" s="79" t="n">
        <v>5</v>
      </c>
      <c r="V34" s="79">
        <f>IFERROR(INDEX($E$30:$E$95,MATCH(5,$L$30:$L$95,0)),"")</f>
        <v/>
      </c>
      <c r="W34" s="81">
        <f>IFERROR(INDEX($F$30:$F$95,MATCH(5,$L$30:$L$95,0)),0)</f>
        <v/>
      </c>
      <c r="X34" s="81">
        <f>IFERROR(INDEX($G$30:$G$95,MATCH(5,$L$30:$L$95,0)),0)</f>
        <v/>
      </c>
      <c r="Y34" s="81">
        <f>IFERROR(INDEX($H$30:$H$95,MATCH(5,$L$30:$L$95,0)),0)</f>
        <v/>
      </c>
      <c r="Z34" s="82">
        <f>IFERROR(INDEX($I$30:$I$95,MATCH(5,$L$30:$L$95,0)),0)</f>
        <v/>
      </c>
      <c r="AB34" s="79">
        <f>IF(Months_Ref!$A$6="","",TEXT(Months_Ref!$A$6,"mmm-yy"))</f>
        <v/>
      </c>
      <c r="AC34" s="81">
        <f>IFERROR(IF(Months_Ref!$A$6="",0,SUMPRODUCT((Acct1_Raw!$A$3:$A$26=Months_Ref!$A$6)*Acct1_Raw!$B$3:$BO$26)),0)</f>
        <v/>
      </c>
      <c r="AD34" s="81">
        <f>IFERROR(IF(Months_Ref!$A$6="",0,SUMPRODUCT((Acct2_Raw!$A$3:$A$26=Months_Ref!$A$6)*Acct2_Raw!$B$3:$BO$26)),0)</f>
        <v/>
      </c>
      <c r="AE34" s="81">
        <f>AC34+AD34</f>
        <v/>
      </c>
      <c r="AG34" s="79">
        <f>IFERROR(INDEX($E$30:$E$95,MATCH(5,$J$30:$J$95,0)),"")</f>
        <v/>
      </c>
      <c r="AH34" s="81">
        <f>IFERROR(INDEX($F$30:$F$95,MATCH(5,$J$30:$J$95,0)),0)</f>
        <v/>
      </c>
      <c r="AJ34" s="79">
        <f>IFERROR(INDEX($E$30:$E$95,MATCH(5,$J$30:$J$95,0)),"")</f>
        <v/>
      </c>
      <c r="AK34" s="81">
        <f>IFERROR(INDEX(Service_List!$2:67,IFERROR(MATCH(IFERROR(INDEX($E$30:$E$95,MATCH(5,$J$30:$J$95,0)),""),Service_List!$A$2:$A$67,0),0),IFERROR(INDEX($B$2:$B$7,IFERROR(MATCH(Dashboard!$K$5,$A$2:$A$7,0),1)),2)),0)</f>
        <v/>
      </c>
      <c r="AL34" s="81">
        <f>IFERROR(INDEX(Service_List!$2:67,IFERROR(MATCH(IFERROR(INDEX($E$30:$E$95,MATCH(5,$J$30:$J$95,0)),""),Service_List!$A$2:$A$67,0),0),IFERROR(INDEX($C$2:$C$7,IFERROR(MATCH(Dashboard!$K$5,$A$2:$A$7,0),1)),8)),0)</f>
        <v/>
      </c>
    </row>
    <row r="35" ht="15" customHeight="1" s="65">
      <c r="E35" s="79">
        <f>Service_List!$A$7</f>
        <v/>
      </c>
      <c r="F35" s="81">
        <f>IFERROR(INDEX(Service_List!$7:7,1,$B$28),0)</f>
        <v/>
      </c>
      <c r="G35" s="81">
        <f>IFERROR(INDEX(Service_List!$7:7,1,$B$29),0)</f>
        <v/>
      </c>
      <c r="H35" s="81">
        <f>F35-G35</f>
        <v/>
      </c>
      <c r="I35" s="82">
        <f>IFERROR(H35/G35,0)</f>
        <v/>
      </c>
      <c r="J35" s="79">
        <f>RANK(F35,$F$30:$F$95,0)</f>
        <v/>
      </c>
      <c r="K35" s="81">
        <f>ABS(H35)</f>
        <v/>
      </c>
      <c r="L35" s="79">
        <f>RANK(K35,$K$30:$K$95,0)</f>
        <v/>
      </c>
      <c r="N35" s="79" t="n">
        <v>6</v>
      </c>
      <c r="O35" s="79">
        <f>IFERROR(INDEX($E$30:$E$95,MATCH(6,$J$30:$J$95,0)),"")</f>
        <v/>
      </c>
      <c r="P35" s="81">
        <f>IFERROR(INDEX($F$30:$F$95,MATCH(6,$J$30:$J$95,0)),0)</f>
        <v/>
      </c>
      <c r="Q35" s="81">
        <f>IFERROR(INDEX($G$30:$G$95,MATCH(6,$J$30:$J$95,0)),0)</f>
        <v/>
      </c>
      <c r="R35" s="81">
        <f>IFERROR(INDEX($H$30:$H$95,MATCH(6,$J$30:$J$95,0)),0)</f>
        <v/>
      </c>
      <c r="S35" s="82">
        <f>IFERROR(INDEX($I$30:$I$95,MATCH(6,$J$30:$J$95,0)),0)</f>
        <v/>
      </c>
      <c r="U35" s="79" t="n">
        <v>6</v>
      </c>
      <c r="V35" s="79">
        <f>IFERROR(INDEX($E$30:$E$95,MATCH(6,$L$30:$L$95,0)),"")</f>
        <v/>
      </c>
      <c r="W35" s="81">
        <f>IFERROR(INDEX($F$30:$F$95,MATCH(6,$L$30:$L$95,0)),0)</f>
        <v/>
      </c>
      <c r="X35" s="81">
        <f>IFERROR(INDEX($G$30:$G$95,MATCH(6,$L$30:$L$95,0)),0)</f>
        <v/>
      </c>
      <c r="Y35" s="81">
        <f>IFERROR(INDEX($H$30:$H$95,MATCH(6,$L$30:$L$95,0)),0)</f>
        <v/>
      </c>
      <c r="Z35" s="82">
        <f>IFERROR(INDEX($I$30:$I$95,MATCH(6,$L$30:$L$95,0)),0)</f>
        <v/>
      </c>
      <c r="AB35" s="79">
        <f>IF(Months_Ref!$A$7="","",TEXT(Months_Ref!$A$7,"mmm-yy"))</f>
        <v/>
      </c>
      <c r="AC35" s="81">
        <f>IFERROR(IF(Months_Ref!$A$7="",0,SUMPRODUCT((Acct1_Raw!$A$3:$A$26=Months_Ref!$A$7)*Acct1_Raw!$B$3:$BO$26)),0)</f>
        <v/>
      </c>
      <c r="AD35" s="81">
        <f>IFERROR(IF(Months_Ref!$A$7="",0,SUMPRODUCT((Acct2_Raw!$A$3:$A$26=Months_Ref!$A$7)*Acct2_Raw!$B$3:$BO$26)),0)</f>
        <v/>
      </c>
      <c r="AE35" s="81">
        <f>AC35+AD35</f>
        <v/>
      </c>
      <c r="AG35" s="79">
        <f>IFERROR(INDEX($E$30:$E$95,MATCH(6,$J$30:$J$95,0)),"")</f>
        <v/>
      </c>
      <c r="AH35" s="81">
        <f>IFERROR(INDEX($F$30:$F$95,MATCH(6,$J$30:$J$95,0)),0)</f>
        <v/>
      </c>
      <c r="AJ35" s="79">
        <f>IFERROR(INDEX($E$30:$E$95,MATCH(6,$J$30:$J$95,0)),"")</f>
        <v/>
      </c>
      <c r="AK35" s="81">
        <f>IFERROR(INDEX(Service_List!$2:67,IFERROR(MATCH(IFERROR(INDEX($E$30:$E$95,MATCH(6,$J$30:$J$95,0)),""),Service_List!$A$2:$A$67,0),0),IFERROR(INDEX($B$2:$B$7,IFERROR(MATCH(Dashboard!$K$5,$A$2:$A$7,0),1)),2)),0)</f>
        <v/>
      </c>
      <c r="AL35" s="81">
        <f>IFERROR(INDEX(Service_List!$2:67,IFERROR(MATCH(IFERROR(INDEX($E$30:$E$95,MATCH(6,$J$30:$J$95,0)),""),Service_List!$A$2:$A$67,0),0),IFERROR(INDEX($C$2:$C$7,IFERROR(MATCH(Dashboard!$K$5,$A$2:$A$7,0),1)),8)),0)</f>
        <v/>
      </c>
    </row>
    <row r="36" ht="15" customHeight="1" s="65">
      <c r="E36" s="79">
        <f>Service_List!$A$8</f>
        <v/>
      </c>
      <c r="F36" s="81">
        <f>IFERROR(INDEX(Service_List!$8:8,1,$B$28),0)</f>
        <v/>
      </c>
      <c r="G36" s="81">
        <f>IFERROR(INDEX(Service_List!$8:8,1,$B$29),0)</f>
        <v/>
      </c>
      <c r="H36" s="81">
        <f>F36-G36</f>
        <v/>
      </c>
      <c r="I36" s="82">
        <f>IFERROR(H36/G36,0)</f>
        <v/>
      </c>
      <c r="J36" s="79">
        <f>RANK(F36,$F$30:$F$95,0)</f>
        <v/>
      </c>
      <c r="K36" s="81">
        <f>ABS(H36)</f>
        <v/>
      </c>
      <c r="L36" s="79">
        <f>RANK(K36,$K$30:$K$95,0)</f>
        <v/>
      </c>
      <c r="N36" s="79" t="n">
        <v>7</v>
      </c>
      <c r="O36" s="79">
        <f>IFERROR(INDEX($E$30:$E$95,MATCH(7,$J$30:$J$95,0)),"")</f>
        <v/>
      </c>
      <c r="P36" s="81">
        <f>IFERROR(INDEX($F$30:$F$95,MATCH(7,$J$30:$J$95,0)),0)</f>
        <v/>
      </c>
      <c r="Q36" s="81">
        <f>IFERROR(INDEX($G$30:$G$95,MATCH(7,$J$30:$J$95,0)),0)</f>
        <v/>
      </c>
      <c r="R36" s="81">
        <f>IFERROR(INDEX($H$30:$H$95,MATCH(7,$J$30:$J$95,0)),0)</f>
        <v/>
      </c>
      <c r="S36" s="82">
        <f>IFERROR(INDEX($I$30:$I$95,MATCH(7,$J$30:$J$95,0)),0)</f>
        <v/>
      </c>
      <c r="U36" s="79" t="n">
        <v>7</v>
      </c>
      <c r="V36" s="79">
        <f>IFERROR(INDEX($E$30:$E$95,MATCH(7,$L$30:$L$95,0)),"")</f>
        <v/>
      </c>
      <c r="W36" s="81">
        <f>IFERROR(INDEX($F$30:$F$95,MATCH(7,$L$30:$L$95,0)),0)</f>
        <v/>
      </c>
      <c r="X36" s="81">
        <f>IFERROR(INDEX($G$30:$G$95,MATCH(7,$L$30:$L$95,0)),0)</f>
        <v/>
      </c>
      <c r="Y36" s="81">
        <f>IFERROR(INDEX($H$30:$H$95,MATCH(7,$L$30:$L$95,0)),0)</f>
        <v/>
      </c>
      <c r="Z36" s="82">
        <f>IFERROR(INDEX($I$30:$I$95,MATCH(7,$L$30:$L$95,0)),0)</f>
        <v/>
      </c>
      <c r="AG36" s="79">
        <f>IFERROR(INDEX($E$30:$E$95,MATCH(7,$J$30:$J$95,0)),"")</f>
        <v/>
      </c>
      <c r="AH36" s="81">
        <f>IFERROR(INDEX($F$30:$F$95,MATCH(7,$J$30:$J$95,0)),0)</f>
        <v/>
      </c>
      <c r="AJ36" s="79">
        <f>IFERROR(INDEX($E$30:$E$95,MATCH(7,$J$30:$J$95,0)),"")</f>
        <v/>
      </c>
      <c r="AK36" s="81">
        <f>IFERROR(INDEX(Service_List!$2:67,IFERROR(MATCH(IFERROR(INDEX($E$30:$E$95,MATCH(7,$J$30:$J$95,0)),""),Service_List!$A$2:$A$67,0),0),IFERROR(INDEX($B$2:$B$7,IFERROR(MATCH(Dashboard!$K$5,$A$2:$A$7,0),1)),2)),0)</f>
        <v/>
      </c>
      <c r="AL36" s="81">
        <f>IFERROR(INDEX(Service_List!$2:67,IFERROR(MATCH(IFERROR(INDEX($E$30:$E$95,MATCH(7,$J$30:$J$95,0)),""),Service_List!$A$2:$A$67,0),0),IFERROR(INDEX($C$2:$C$7,IFERROR(MATCH(Dashboard!$K$5,$A$2:$A$7,0),1)),8)),0)</f>
        <v/>
      </c>
    </row>
    <row r="37" ht="15" customHeight="1" s="65">
      <c r="E37" s="79">
        <f>Service_List!$A$9</f>
        <v/>
      </c>
      <c r="F37" s="81">
        <f>IFERROR(INDEX(Service_List!$9:9,1,$B$28),0)</f>
        <v/>
      </c>
      <c r="G37" s="81">
        <f>IFERROR(INDEX(Service_List!$9:9,1,$B$29),0)</f>
        <v/>
      </c>
      <c r="H37" s="81">
        <f>F37-G37</f>
        <v/>
      </c>
      <c r="I37" s="82">
        <f>IFERROR(H37/G37,0)</f>
        <v/>
      </c>
      <c r="J37" s="79">
        <f>RANK(F37,$F$30:$F$95,0)</f>
        <v/>
      </c>
      <c r="K37" s="81">
        <f>ABS(H37)</f>
        <v/>
      </c>
      <c r="L37" s="79">
        <f>RANK(K37,$K$30:$K$95,0)</f>
        <v/>
      </c>
      <c r="N37" s="79" t="n">
        <v>8</v>
      </c>
      <c r="O37" s="79">
        <f>IFERROR(INDEX($E$30:$E$95,MATCH(8,$J$30:$J$95,0)),"")</f>
        <v/>
      </c>
      <c r="P37" s="81">
        <f>IFERROR(INDEX($F$30:$F$95,MATCH(8,$J$30:$J$95,0)),0)</f>
        <v/>
      </c>
      <c r="Q37" s="81">
        <f>IFERROR(INDEX($G$30:$G$95,MATCH(8,$J$30:$J$95,0)),0)</f>
        <v/>
      </c>
      <c r="R37" s="81">
        <f>IFERROR(INDEX($H$30:$H$95,MATCH(8,$J$30:$J$95,0)),0)</f>
        <v/>
      </c>
      <c r="S37" s="82">
        <f>IFERROR(INDEX($I$30:$I$95,MATCH(8,$J$30:$J$95,0)),0)</f>
        <v/>
      </c>
      <c r="U37" s="79" t="n">
        <v>8</v>
      </c>
      <c r="V37" s="79">
        <f>IFERROR(INDEX($E$30:$E$95,MATCH(8,$L$30:$L$95,0)),"")</f>
        <v/>
      </c>
      <c r="W37" s="81">
        <f>IFERROR(INDEX($F$30:$F$95,MATCH(8,$L$30:$L$95,0)),0)</f>
        <v/>
      </c>
      <c r="X37" s="81">
        <f>IFERROR(INDEX($G$30:$G$95,MATCH(8,$L$30:$L$95,0)),0)</f>
        <v/>
      </c>
      <c r="Y37" s="81">
        <f>IFERROR(INDEX($H$30:$H$95,MATCH(8,$L$30:$L$95,0)),0)</f>
        <v/>
      </c>
      <c r="Z37" s="82">
        <f>IFERROR(INDEX($I$30:$I$95,MATCH(8,$L$30:$L$95,0)),0)</f>
        <v/>
      </c>
      <c r="AG37" s="79">
        <f>IFERROR(INDEX($E$30:$E$95,MATCH(8,$J$30:$J$95,0)),"")</f>
        <v/>
      </c>
      <c r="AH37" s="81">
        <f>IFERROR(INDEX($F$30:$F$95,MATCH(8,$J$30:$J$95,0)),0)</f>
        <v/>
      </c>
      <c r="AJ37" s="79">
        <f>IFERROR(INDEX($E$30:$E$95,MATCH(8,$J$30:$J$95,0)),"")</f>
        <v/>
      </c>
      <c r="AK37" s="81">
        <f>IFERROR(INDEX(Service_List!$2:67,IFERROR(MATCH(IFERROR(INDEX($E$30:$E$95,MATCH(8,$J$30:$J$95,0)),""),Service_List!$A$2:$A$67,0),0),IFERROR(INDEX($B$2:$B$7,IFERROR(MATCH(Dashboard!$K$5,$A$2:$A$7,0),1)),2)),0)</f>
        <v/>
      </c>
      <c r="AL37" s="81">
        <f>IFERROR(INDEX(Service_List!$2:67,IFERROR(MATCH(IFERROR(INDEX($E$30:$E$95,MATCH(8,$J$30:$J$95,0)),""),Service_List!$A$2:$A$67,0),0),IFERROR(INDEX($C$2:$C$7,IFERROR(MATCH(Dashboard!$K$5,$A$2:$A$7,0),1)),8)),0)</f>
        <v/>
      </c>
    </row>
    <row r="38" ht="15" customHeight="1" s="65">
      <c r="E38" s="79">
        <f>Service_List!$A$10</f>
        <v/>
      </c>
      <c r="F38" s="81">
        <f>IFERROR(INDEX(Service_List!$10:10,1,$B$28),0)</f>
        <v/>
      </c>
      <c r="G38" s="81">
        <f>IFERROR(INDEX(Service_List!$10:10,1,$B$29),0)</f>
        <v/>
      </c>
      <c r="H38" s="81">
        <f>F38-G38</f>
        <v/>
      </c>
      <c r="I38" s="82">
        <f>IFERROR(H38/G38,0)</f>
        <v/>
      </c>
      <c r="J38" s="79">
        <f>RANK(F38,$F$30:$F$95,0)</f>
        <v/>
      </c>
      <c r="K38" s="81">
        <f>ABS(H38)</f>
        <v/>
      </c>
      <c r="L38" s="79">
        <f>RANK(K38,$K$30:$K$95,0)</f>
        <v/>
      </c>
      <c r="N38" s="79" t="n">
        <v>9</v>
      </c>
      <c r="O38" s="79">
        <f>IFERROR(INDEX($E$30:$E$95,MATCH(9,$J$30:$J$95,0)),"")</f>
        <v/>
      </c>
      <c r="P38" s="81">
        <f>IFERROR(INDEX($F$30:$F$95,MATCH(9,$J$30:$J$95,0)),0)</f>
        <v/>
      </c>
      <c r="Q38" s="81">
        <f>IFERROR(INDEX($G$30:$G$95,MATCH(9,$J$30:$J$95,0)),0)</f>
        <v/>
      </c>
      <c r="R38" s="81">
        <f>IFERROR(INDEX($H$30:$H$95,MATCH(9,$J$30:$J$95,0)),0)</f>
        <v/>
      </c>
      <c r="S38" s="82">
        <f>IFERROR(INDEX($I$30:$I$95,MATCH(9,$J$30:$J$95,0)),0)</f>
        <v/>
      </c>
      <c r="U38" s="79" t="n">
        <v>9</v>
      </c>
      <c r="V38" s="79">
        <f>IFERROR(INDEX($E$30:$E$95,MATCH(9,$L$30:$L$95,0)),"")</f>
        <v/>
      </c>
      <c r="W38" s="81">
        <f>IFERROR(INDEX($F$30:$F$95,MATCH(9,$L$30:$L$95,0)),0)</f>
        <v/>
      </c>
      <c r="X38" s="81">
        <f>IFERROR(INDEX($G$30:$G$95,MATCH(9,$L$30:$L$95,0)),0)</f>
        <v/>
      </c>
      <c r="Y38" s="81">
        <f>IFERROR(INDEX($H$30:$H$95,MATCH(9,$L$30:$L$95,0)),0)</f>
        <v/>
      </c>
      <c r="Z38" s="82">
        <f>IFERROR(INDEX($I$30:$I$95,MATCH(9,$L$30:$L$95,0)),0)</f>
        <v/>
      </c>
      <c r="AG38" s="79">
        <f>IFERROR(INDEX($E$30:$E$95,MATCH(9,$J$30:$J$95,0)),"")</f>
        <v/>
      </c>
      <c r="AH38" s="81">
        <f>IFERROR(INDEX($F$30:$F$95,MATCH(9,$J$30:$J$95,0)),0)</f>
        <v/>
      </c>
      <c r="AJ38" s="79">
        <f>IFERROR(INDEX($E$30:$E$95,MATCH(9,$J$30:$J$95,0)),"")</f>
        <v/>
      </c>
      <c r="AK38" s="81">
        <f>IFERROR(INDEX(Service_List!$2:67,IFERROR(MATCH(IFERROR(INDEX($E$30:$E$95,MATCH(9,$J$30:$J$95,0)),""),Service_List!$A$2:$A$67,0),0),IFERROR(INDEX($B$2:$B$7,IFERROR(MATCH(Dashboard!$K$5,$A$2:$A$7,0),1)),2)),0)</f>
        <v/>
      </c>
      <c r="AL38" s="81">
        <f>IFERROR(INDEX(Service_List!$2:67,IFERROR(MATCH(IFERROR(INDEX($E$30:$E$95,MATCH(9,$J$30:$J$95,0)),""),Service_List!$A$2:$A$67,0),0),IFERROR(INDEX($C$2:$C$7,IFERROR(MATCH(Dashboard!$K$5,$A$2:$A$7,0),1)),8)),0)</f>
        <v/>
      </c>
    </row>
    <row r="39" ht="15" customHeight="1" s="65">
      <c r="E39" s="79">
        <f>Service_List!$A$11</f>
        <v/>
      </c>
      <c r="F39" s="81">
        <f>IFERROR(INDEX(Service_List!$11:11,1,$B$28),0)</f>
        <v/>
      </c>
      <c r="G39" s="81">
        <f>IFERROR(INDEX(Service_List!$11:11,1,$B$29),0)</f>
        <v/>
      </c>
      <c r="H39" s="81">
        <f>F39-G39</f>
        <v/>
      </c>
      <c r="I39" s="82">
        <f>IFERROR(H39/G39,0)</f>
        <v/>
      </c>
      <c r="J39" s="79">
        <f>RANK(F39,$F$30:$F$95,0)</f>
        <v/>
      </c>
      <c r="K39" s="81">
        <f>ABS(H39)</f>
        <v/>
      </c>
      <c r="L39" s="79">
        <f>RANK(K39,$K$30:$K$95,0)</f>
        <v/>
      </c>
      <c r="N39" s="79" t="n">
        <v>10</v>
      </c>
      <c r="O39" s="79">
        <f>IFERROR(INDEX($E$30:$E$95,MATCH(10,$J$30:$J$95,0)),"")</f>
        <v/>
      </c>
      <c r="P39" s="81">
        <f>IFERROR(INDEX($F$30:$F$95,MATCH(10,$J$30:$J$95,0)),0)</f>
        <v/>
      </c>
      <c r="Q39" s="81">
        <f>IFERROR(INDEX($G$30:$G$95,MATCH(10,$J$30:$J$95,0)),0)</f>
        <v/>
      </c>
      <c r="R39" s="81">
        <f>IFERROR(INDEX($H$30:$H$95,MATCH(10,$J$30:$J$95,0)),0)</f>
        <v/>
      </c>
      <c r="S39" s="82">
        <f>IFERROR(INDEX($I$30:$I$95,MATCH(10,$J$30:$J$95,0)),0)</f>
        <v/>
      </c>
      <c r="U39" s="79" t="n">
        <v>10</v>
      </c>
      <c r="V39" s="79">
        <f>IFERROR(INDEX($E$30:$E$95,MATCH(10,$L$30:$L$95,0)),"")</f>
        <v/>
      </c>
      <c r="W39" s="81">
        <f>IFERROR(INDEX($F$30:$F$95,MATCH(10,$L$30:$L$95,0)),0)</f>
        <v/>
      </c>
      <c r="X39" s="81">
        <f>IFERROR(INDEX($G$30:$G$95,MATCH(10,$L$30:$L$95,0)),0)</f>
        <v/>
      </c>
      <c r="Y39" s="81">
        <f>IFERROR(INDEX($H$30:$H$95,MATCH(10,$L$30:$L$95,0)),0)</f>
        <v/>
      </c>
      <c r="Z39" s="82">
        <f>IFERROR(INDEX($I$30:$I$95,MATCH(10,$L$30:$L$95,0)),0)</f>
        <v/>
      </c>
      <c r="AG39" s="79" t="inlineStr">
        <is>
          <t>Other</t>
        </is>
      </c>
      <c r="AH39" s="81">
        <f>SUM($F$30:$F$95)-SUM(AH30:AH38)</f>
        <v/>
      </c>
      <c r="AJ39" s="79">
        <f>IFERROR(INDEX($E$30:$E$95,MATCH(10,$J$30:$J$95,0)),"")</f>
        <v/>
      </c>
      <c r="AK39" s="81">
        <f>IFERROR(INDEX(Service_List!$2:67,IFERROR(MATCH(IFERROR(INDEX($E$30:$E$95,MATCH(10,$J$30:$J$95,0)),""),Service_List!$A$2:$A$67,0),0),IFERROR(INDEX($B$2:$B$7,IFERROR(MATCH(Dashboard!$K$5,$A$2:$A$7,0),1)),2)),0)</f>
        <v/>
      </c>
      <c r="AL39" s="81">
        <f>IFERROR(INDEX(Service_List!$2:67,IFERROR(MATCH(IFERROR(INDEX($E$30:$E$95,MATCH(10,$J$30:$J$95,0)),""),Service_List!$A$2:$A$67,0),0),IFERROR(INDEX($C$2:$C$7,IFERROR(MATCH(Dashboard!$K$5,$A$2:$A$7,0),1)),8)),0)</f>
        <v/>
      </c>
    </row>
    <row r="40" ht="15" customHeight="1" s="65">
      <c r="E40" s="79">
        <f>Service_List!$A$12</f>
        <v/>
      </c>
      <c r="F40" s="81">
        <f>IFERROR(INDEX(Service_List!$12:12,1,$B$28),0)</f>
        <v/>
      </c>
      <c r="G40" s="81">
        <f>IFERROR(INDEX(Service_List!$12:12,1,$B$29),0)</f>
        <v/>
      </c>
      <c r="H40" s="81">
        <f>F40-G40</f>
        <v/>
      </c>
      <c r="I40" s="82">
        <f>IFERROR(H40/G40,0)</f>
        <v/>
      </c>
      <c r="J40" s="79">
        <f>RANK(F40,$F$30:$F$95,0)</f>
        <v/>
      </c>
      <c r="K40" s="81">
        <f>ABS(H40)</f>
        <v/>
      </c>
      <c r="L40" s="79">
        <f>RANK(K40,$K$30:$K$95,0)</f>
        <v/>
      </c>
      <c r="N40" s="79" t="n">
        <v>11</v>
      </c>
      <c r="O40" s="79">
        <f>IFERROR(INDEX($E$30:$E$95,MATCH(11,$J$30:$J$95,0)),"")</f>
        <v/>
      </c>
      <c r="P40" s="81">
        <f>IFERROR(INDEX($F$30:$F$95,MATCH(11,$J$30:$J$95,0)),0)</f>
        <v/>
      </c>
      <c r="Q40" s="81">
        <f>IFERROR(INDEX($G$30:$G$95,MATCH(11,$J$30:$J$95,0)),0)</f>
        <v/>
      </c>
      <c r="R40" s="81">
        <f>IFERROR(INDEX($H$30:$H$95,MATCH(11,$J$30:$J$95,0)),0)</f>
        <v/>
      </c>
      <c r="S40" s="82">
        <f>IFERROR(INDEX($I$30:$I$95,MATCH(11,$J$30:$J$95,0)),0)</f>
        <v/>
      </c>
      <c r="U40" s="79" t="n">
        <v>11</v>
      </c>
      <c r="V40" s="79">
        <f>IFERROR(INDEX($E$30:$E$95,MATCH(11,$L$30:$L$95,0)),"")</f>
        <v/>
      </c>
      <c r="W40" s="81">
        <f>IFERROR(INDEX($F$30:$F$95,MATCH(11,$L$30:$L$95,0)),0)</f>
        <v/>
      </c>
      <c r="X40" s="81">
        <f>IFERROR(INDEX($G$30:$G$95,MATCH(11,$L$30:$L$95,0)),0)</f>
        <v/>
      </c>
      <c r="Y40" s="81">
        <f>IFERROR(INDEX($H$30:$H$95,MATCH(11,$L$30:$L$95,0)),0)</f>
        <v/>
      </c>
      <c r="Z40" s="82">
        <f>IFERROR(INDEX($I$30:$I$95,MATCH(11,$L$30:$L$95,0)),0)</f>
        <v/>
      </c>
      <c r="AJ40" s="79">
        <f>IFERROR(INDEX($E$30:$E$95,MATCH(11,$J$30:$J$95,0)),"")</f>
        <v/>
      </c>
      <c r="AK40" s="81">
        <f>IFERROR(INDEX(Service_List!$2:67,IFERROR(MATCH(IFERROR(INDEX($E$30:$E$95,MATCH(11,$J$30:$J$95,0)),""),Service_List!$A$2:$A$67,0),0),IFERROR(INDEX($B$2:$B$7,IFERROR(MATCH(Dashboard!$K$5,$A$2:$A$7,0),1)),2)),0)</f>
        <v/>
      </c>
      <c r="AL40" s="81">
        <f>IFERROR(INDEX(Service_List!$2:67,IFERROR(MATCH(IFERROR(INDEX($E$30:$E$95,MATCH(11,$J$30:$J$95,0)),""),Service_List!$A$2:$A$67,0),0),IFERROR(INDEX($C$2:$C$7,IFERROR(MATCH(Dashboard!$K$5,$A$2:$A$7,0),1)),8)),0)</f>
        <v/>
      </c>
    </row>
    <row r="41" ht="15" customHeight="1" s="65">
      <c r="E41" s="79">
        <f>Service_List!$A$13</f>
        <v/>
      </c>
      <c r="F41" s="81">
        <f>IFERROR(INDEX(Service_List!$13:13,1,$B$28),0)</f>
        <v/>
      </c>
      <c r="G41" s="81">
        <f>IFERROR(INDEX(Service_List!$13:13,1,$B$29),0)</f>
        <v/>
      </c>
      <c r="H41" s="81">
        <f>F41-G41</f>
        <v/>
      </c>
      <c r="I41" s="82">
        <f>IFERROR(H41/G41,0)</f>
        <v/>
      </c>
      <c r="J41" s="79">
        <f>RANK(F41,$F$30:$F$95,0)</f>
        <v/>
      </c>
      <c r="K41" s="81">
        <f>ABS(H41)</f>
        <v/>
      </c>
      <c r="L41" s="79">
        <f>RANK(K41,$K$30:$K$95,0)</f>
        <v/>
      </c>
      <c r="N41" s="79" t="n">
        <v>12</v>
      </c>
      <c r="O41" s="79">
        <f>IFERROR(INDEX($E$30:$E$95,MATCH(12,$J$30:$J$95,0)),"")</f>
        <v/>
      </c>
      <c r="P41" s="81">
        <f>IFERROR(INDEX($F$30:$F$95,MATCH(12,$J$30:$J$95,0)),0)</f>
        <v/>
      </c>
      <c r="Q41" s="81">
        <f>IFERROR(INDEX($G$30:$G$95,MATCH(12,$J$30:$J$95,0)),0)</f>
        <v/>
      </c>
      <c r="R41" s="81">
        <f>IFERROR(INDEX($H$30:$H$95,MATCH(12,$J$30:$J$95,0)),0)</f>
        <v/>
      </c>
      <c r="S41" s="82">
        <f>IFERROR(INDEX($I$30:$I$95,MATCH(12,$J$30:$J$95,0)),0)</f>
        <v/>
      </c>
      <c r="U41" s="79" t="n">
        <v>12</v>
      </c>
      <c r="V41" s="79">
        <f>IFERROR(INDEX($E$30:$E$95,MATCH(12,$L$30:$L$95,0)),"")</f>
        <v/>
      </c>
      <c r="W41" s="81">
        <f>IFERROR(INDEX($F$30:$F$95,MATCH(12,$L$30:$L$95,0)),0)</f>
        <v/>
      </c>
      <c r="X41" s="81">
        <f>IFERROR(INDEX($G$30:$G$95,MATCH(12,$L$30:$L$95,0)),0)</f>
        <v/>
      </c>
      <c r="Y41" s="81">
        <f>IFERROR(INDEX($H$30:$H$95,MATCH(12,$L$30:$L$95,0)),0)</f>
        <v/>
      </c>
      <c r="Z41" s="82">
        <f>IFERROR(INDEX($I$30:$I$95,MATCH(12,$L$30:$L$95,0)),0)</f>
        <v/>
      </c>
      <c r="AJ41" s="79">
        <f>IFERROR(INDEX($E$30:$E$95,MATCH(12,$J$30:$J$95,0)),"")</f>
        <v/>
      </c>
      <c r="AK41" s="81">
        <f>IFERROR(INDEX(Service_List!$2:67,IFERROR(MATCH(IFERROR(INDEX($E$30:$E$95,MATCH(12,$J$30:$J$95,0)),""),Service_List!$A$2:$A$67,0),0),IFERROR(INDEX($B$2:$B$7,IFERROR(MATCH(Dashboard!$K$5,$A$2:$A$7,0),1)),2)),0)</f>
        <v/>
      </c>
      <c r="AL41" s="81">
        <f>IFERROR(INDEX(Service_List!$2:67,IFERROR(MATCH(IFERROR(INDEX($E$30:$E$95,MATCH(12,$J$30:$J$95,0)),""),Service_List!$A$2:$A$67,0),0),IFERROR(INDEX($C$2:$C$7,IFERROR(MATCH(Dashboard!$K$5,$A$2:$A$7,0),1)),8)),0)</f>
        <v/>
      </c>
    </row>
    <row r="42" ht="15" customHeight="1" s="65">
      <c r="E42" s="79">
        <f>Service_List!$A$14</f>
        <v/>
      </c>
      <c r="F42" s="81">
        <f>IFERROR(INDEX(Service_List!$14:14,1,$B$28),0)</f>
        <v/>
      </c>
      <c r="G42" s="81">
        <f>IFERROR(INDEX(Service_List!$14:14,1,$B$29),0)</f>
        <v/>
      </c>
      <c r="H42" s="81">
        <f>F42-G42</f>
        <v/>
      </c>
      <c r="I42" s="82">
        <f>IFERROR(H42/G42,0)</f>
        <v/>
      </c>
      <c r="J42" s="79">
        <f>RANK(F42,$F$30:$F$95,0)</f>
        <v/>
      </c>
      <c r="K42" s="81">
        <f>ABS(H42)</f>
        <v/>
      </c>
      <c r="L42" s="79">
        <f>RANK(K42,$K$30:$K$95,0)</f>
        <v/>
      </c>
      <c r="N42" s="79" t="n">
        <v>13</v>
      </c>
      <c r="O42" s="79">
        <f>IFERROR(INDEX($E$30:$E$95,MATCH(13,$J$30:$J$95,0)),"")</f>
        <v/>
      </c>
      <c r="P42" s="81">
        <f>IFERROR(INDEX($F$30:$F$95,MATCH(13,$J$30:$J$95,0)),0)</f>
        <v/>
      </c>
      <c r="Q42" s="81">
        <f>IFERROR(INDEX($G$30:$G$95,MATCH(13,$J$30:$J$95,0)),0)</f>
        <v/>
      </c>
      <c r="R42" s="81">
        <f>IFERROR(INDEX($H$30:$H$95,MATCH(13,$J$30:$J$95,0)),0)</f>
        <v/>
      </c>
      <c r="S42" s="82">
        <f>IFERROR(INDEX($I$30:$I$95,MATCH(13,$J$30:$J$95,0)),0)</f>
        <v/>
      </c>
      <c r="U42" s="79" t="n">
        <v>13</v>
      </c>
      <c r="V42" s="79">
        <f>IFERROR(INDEX($E$30:$E$95,MATCH(13,$L$30:$L$95,0)),"")</f>
        <v/>
      </c>
      <c r="W42" s="81">
        <f>IFERROR(INDEX($F$30:$F$95,MATCH(13,$L$30:$L$95,0)),0)</f>
        <v/>
      </c>
      <c r="X42" s="81">
        <f>IFERROR(INDEX($G$30:$G$95,MATCH(13,$L$30:$L$95,0)),0)</f>
        <v/>
      </c>
      <c r="Y42" s="81">
        <f>IFERROR(INDEX($H$30:$H$95,MATCH(13,$L$30:$L$95,0)),0)</f>
        <v/>
      </c>
      <c r="Z42" s="82">
        <f>IFERROR(INDEX($I$30:$I$95,MATCH(13,$L$30:$L$95,0)),0)</f>
        <v/>
      </c>
      <c r="AJ42" s="79">
        <f>IFERROR(INDEX($E$30:$E$95,MATCH(13,$J$30:$J$95,0)),"")</f>
        <v/>
      </c>
      <c r="AK42" s="81">
        <f>IFERROR(INDEX(Service_List!$2:67,IFERROR(MATCH(IFERROR(INDEX($E$30:$E$95,MATCH(13,$J$30:$J$95,0)),""),Service_List!$A$2:$A$67,0),0),IFERROR(INDEX($B$2:$B$7,IFERROR(MATCH(Dashboard!$K$5,$A$2:$A$7,0),1)),2)),0)</f>
        <v/>
      </c>
      <c r="AL42" s="81">
        <f>IFERROR(INDEX(Service_List!$2:67,IFERROR(MATCH(IFERROR(INDEX($E$30:$E$95,MATCH(13,$J$30:$J$95,0)),""),Service_List!$A$2:$A$67,0),0),IFERROR(INDEX($C$2:$C$7,IFERROR(MATCH(Dashboard!$K$5,$A$2:$A$7,0),1)),8)),0)</f>
        <v/>
      </c>
    </row>
    <row r="43" ht="15" customHeight="1" s="65">
      <c r="E43" s="79">
        <f>Service_List!$A$15</f>
        <v/>
      </c>
      <c r="F43" s="81">
        <f>IFERROR(INDEX(Service_List!$15:15,1,$B$28),0)</f>
        <v/>
      </c>
      <c r="G43" s="81">
        <f>IFERROR(INDEX(Service_List!$15:15,1,$B$29),0)</f>
        <v/>
      </c>
      <c r="H43" s="81">
        <f>F43-G43</f>
        <v/>
      </c>
      <c r="I43" s="82">
        <f>IFERROR(H43/G43,0)</f>
        <v/>
      </c>
      <c r="J43" s="79">
        <f>RANK(F43,$F$30:$F$95,0)</f>
        <v/>
      </c>
      <c r="K43" s="81">
        <f>ABS(H43)</f>
        <v/>
      </c>
      <c r="L43" s="79">
        <f>RANK(K43,$K$30:$K$95,0)</f>
        <v/>
      </c>
      <c r="N43" s="79" t="n">
        <v>14</v>
      </c>
      <c r="O43" s="79">
        <f>IFERROR(INDEX($E$30:$E$95,MATCH(14,$J$30:$J$95,0)),"")</f>
        <v/>
      </c>
      <c r="P43" s="81">
        <f>IFERROR(INDEX($F$30:$F$95,MATCH(14,$J$30:$J$95,0)),0)</f>
        <v/>
      </c>
      <c r="Q43" s="81">
        <f>IFERROR(INDEX($G$30:$G$95,MATCH(14,$J$30:$J$95,0)),0)</f>
        <v/>
      </c>
      <c r="R43" s="81">
        <f>IFERROR(INDEX($H$30:$H$95,MATCH(14,$J$30:$J$95,0)),0)</f>
        <v/>
      </c>
      <c r="S43" s="82">
        <f>IFERROR(INDEX($I$30:$I$95,MATCH(14,$J$30:$J$95,0)),0)</f>
        <v/>
      </c>
      <c r="U43" s="79" t="n">
        <v>14</v>
      </c>
      <c r="V43" s="79">
        <f>IFERROR(INDEX($E$30:$E$95,MATCH(14,$L$30:$L$95,0)),"")</f>
        <v/>
      </c>
      <c r="W43" s="81">
        <f>IFERROR(INDEX($F$30:$F$95,MATCH(14,$L$30:$L$95,0)),0)</f>
        <v/>
      </c>
      <c r="X43" s="81">
        <f>IFERROR(INDEX($G$30:$G$95,MATCH(14,$L$30:$L$95,0)),0)</f>
        <v/>
      </c>
      <c r="Y43" s="81">
        <f>IFERROR(INDEX($H$30:$H$95,MATCH(14,$L$30:$L$95,0)),0)</f>
        <v/>
      </c>
      <c r="Z43" s="82">
        <f>IFERROR(INDEX($I$30:$I$95,MATCH(14,$L$30:$L$95,0)),0)</f>
        <v/>
      </c>
      <c r="AJ43" s="79">
        <f>IFERROR(INDEX($E$30:$E$95,MATCH(14,$J$30:$J$95,0)),"")</f>
        <v/>
      </c>
      <c r="AK43" s="81">
        <f>IFERROR(INDEX(Service_List!$2:67,IFERROR(MATCH(IFERROR(INDEX($E$30:$E$95,MATCH(14,$J$30:$J$95,0)),""),Service_List!$A$2:$A$67,0),0),IFERROR(INDEX($B$2:$B$7,IFERROR(MATCH(Dashboard!$K$5,$A$2:$A$7,0),1)),2)),0)</f>
        <v/>
      </c>
      <c r="AL43" s="81">
        <f>IFERROR(INDEX(Service_List!$2:67,IFERROR(MATCH(IFERROR(INDEX($E$30:$E$95,MATCH(14,$J$30:$J$95,0)),""),Service_List!$A$2:$A$67,0),0),IFERROR(INDEX($C$2:$C$7,IFERROR(MATCH(Dashboard!$K$5,$A$2:$A$7,0),1)),8)),0)</f>
        <v/>
      </c>
    </row>
    <row r="44" ht="15" customHeight="1" s="65">
      <c r="E44" s="79">
        <f>Service_List!$A$16</f>
        <v/>
      </c>
      <c r="F44" s="81">
        <f>IFERROR(INDEX(Service_List!$16:16,1,$B$28),0)</f>
        <v/>
      </c>
      <c r="G44" s="81">
        <f>IFERROR(INDEX(Service_List!$16:16,1,$B$29),0)</f>
        <v/>
      </c>
      <c r="H44" s="81">
        <f>F44-G44</f>
        <v/>
      </c>
      <c r="I44" s="82">
        <f>IFERROR(H44/G44,0)</f>
        <v/>
      </c>
      <c r="J44" s="79">
        <f>RANK(F44,$F$30:$F$95,0)</f>
        <v/>
      </c>
      <c r="K44" s="81">
        <f>ABS(H44)</f>
        <v/>
      </c>
      <c r="L44" s="79">
        <f>RANK(K44,$K$30:$K$95,0)</f>
        <v/>
      </c>
      <c r="N44" s="79" t="n">
        <v>15</v>
      </c>
      <c r="O44" s="79">
        <f>IFERROR(INDEX($E$30:$E$95,MATCH(15,$J$30:$J$95,0)),"")</f>
        <v/>
      </c>
      <c r="P44" s="81">
        <f>IFERROR(INDEX($F$30:$F$95,MATCH(15,$J$30:$J$95,0)),0)</f>
        <v/>
      </c>
      <c r="Q44" s="81">
        <f>IFERROR(INDEX($G$30:$G$95,MATCH(15,$J$30:$J$95,0)),0)</f>
        <v/>
      </c>
      <c r="R44" s="81">
        <f>IFERROR(INDEX($H$30:$H$95,MATCH(15,$J$30:$J$95,0)),0)</f>
        <v/>
      </c>
      <c r="S44" s="82">
        <f>IFERROR(INDEX($I$30:$I$95,MATCH(15,$J$30:$J$95,0)),0)</f>
        <v/>
      </c>
      <c r="U44" s="79" t="n">
        <v>15</v>
      </c>
      <c r="V44" s="79">
        <f>IFERROR(INDEX($E$30:$E$95,MATCH(15,$L$30:$L$95,0)),"")</f>
        <v/>
      </c>
      <c r="W44" s="81">
        <f>IFERROR(INDEX($F$30:$F$95,MATCH(15,$L$30:$L$95,0)),0)</f>
        <v/>
      </c>
      <c r="X44" s="81">
        <f>IFERROR(INDEX($G$30:$G$95,MATCH(15,$L$30:$L$95,0)),0)</f>
        <v/>
      </c>
      <c r="Y44" s="81">
        <f>IFERROR(INDEX($H$30:$H$95,MATCH(15,$L$30:$L$95,0)),0)</f>
        <v/>
      </c>
      <c r="Z44" s="82">
        <f>IFERROR(INDEX($I$30:$I$95,MATCH(15,$L$30:$L$95,0)),0)</f>
        <v/>
      </c>
      <c r="AJ44" s="79">
        <f>IFERROR(INDEX($E$30:$E$95,MATCH(15,$J$30:$J$95,0)),"")</f>
        <v/>
      </c>
      <c r="AK44" s="81">
        <f>IFERROR(INDEX(Service_List!$2:67,IFERROR(MATCH(IFERROR(INDEX($E$30:$E$95,MATCH(15,$J$30:$J$95,0)),""),Service_List!$A$2:$A$67,0),0),IFERROR(INDEX($B$2:$B$7,IFERROR(MATCH(Dashboard!$K$5,$A$2:$A$7,0),1)),2)),0)</f>
        <v/>
      </c>
      <c r="AL44" s="81">
        <f>IFERROR(INDEX(Service_List!$2:67,IFERROR(MATCH(IFERROR(INDEX($E$30:$E$95,MATCH(15,$J$30:$J$95,0)),""),Service_List!$A$2:$A$67,0),0),IFERROR(INDEX($C$2:$C$7,IFERROR(MATCH(Dashboard!$K$5,$A$2:$A$7,0),1)),8)),0)</f>
        <v/>
      </c>
    </row>
    <row r="45" ht="15" customHeight="1" s="65">
      <c r="E45" s="79">
        <f>Service_List!$A$17</f>
        <v/>
      </c>
      <c r="F45" s="81">
        <f>IFERROR(INDEX(Service_List!$17:17,1,$B$28),0)</f>
        <v/>
      </c>
      <c r="G45" s="81">
        <f>IFERROR(INDEX(Service_List!$17:17,1,$B$29),0)</f>
        <v/>
      </c>
      <c r="H45" s="81">
        <f>F45-G45</f>
        <v/>
      </c>
      <c r="I45" s="82">
        <f>IFERROR(H45/G45,0)</f>
        <v/>
      </c>
      <c r="J45" s="79">
        <f>RANK(F45,$F$30:$F$95,0)</f>
        <v/>
      </c>
      <c r="K45" s="81">
        <f>ABS(H45)</f>
        <v/>
      </c>
      <c r="L45" s="79">
        <f>RANK(K45,$K$30:$K$95,0)</f>
        <v/>
      </c>
    </row>
    <row r="46" ht="15" customHeight="1" s="65">
      <c r="E46" s="79">
        <f>Service_List!$A$18</f>
        <v/>
      </c>
      <c r="F46" s="81">
        <f>IFERROR(INDEX(Service_List!$18:18,1,$B$28),0)</f>
        <v/>
      </c>
      <c r="G46" s="81">
        <f>IFERROR(INDEX(Service_List!$18:18,1,$B$29),0)</f>
        <v/>
      </c>
      <c r="H46" s="81">
        <f>F46-G46</f>
        <v/>
      </c>
      <c r="I46" s="82">
        <f>IFERROR(H46/G46,0)</f>
        <v/>
      </c>
      <c r="J46" s="79">
        <f>RANK(F46,$F$30:$F$95,0)</f>
        <v/>
      </c>
      <c r="K46" s="81">
        <f>ABS(H46)</f>
        <v/>
      </c>
      <c r="L46" s="79">
        <f>RANK(K46,$K$30:$K$95,0)</f>
        <v/>
      </c>
    </row>
    <row r="47" ht="15" customHeight="1" s="65">
      <c r="E47" s="79">
        <f>Service_List!$A$19</f>
        <v/>
      </c>
      <c r="F47" s="81">
        <f>IFERROR(INDEX(Service_List!$19:19,1,$B$28),0)</f>
        <v/>
      </c>
      <c r="G47" s="81">
        <f>IFERROR(INDEX(Service_List!$19:19,1,$B$29),0)</f>
        <v/>
      </c>
      <c r="H47" s="81">
        <f>F47-G47</f>
        <v/>
      </c>
      <c r="I47" s="82">
        <f>IFERROR(H47/G47,0)</f>
        <v/>
      </c>
      <c r="J47" s="79">
        <f>RANK(F47,$F$30:$F$95,0)</f>
        <v/>
      </c>
      <c r="K47" s="81">
        <f>ABS(H47)</f>
        <v/>
      </c>
      <c r="L47" s="79">
        <f>RANK(K47,$K$30:$K$95,0)</f>
        <v/>
      </c>
    </row>
    <row r="48" ht="15" customHeight="1" s="65">
      <c r="E48" s="79">
        <f>Service_List!$A$20</f>
        <v/>
      </c>
      <c r="F48" s="81">
        <f>IFERROR(INDEX(Service_List!$20:20,1,$B$28),0)</f>
        <v/>
      </c>
      <c r="G48" s="81">
        <f>IFERROR(INDEX(Service_List!$20:20,1,$B$29),0)</f>
        <v/>
      </c>
      <c r="H48" s="81">
        <f>F48-G48</f>
        <v/>
      </c>
      <c r="I48" s="82">
        <f>IFERROR(H48/G48,0)</f>
        <v/>
      </c>
      <c r="J48" s="79">
        <f>RANK(F48,$F$30:$F$95,0)</f>
        <v/>
      </c>
      <c r="K48" s="81">
        <f>ABS(H48)</f>
        <v/>
      </c>
      <c r="L48" s="79">
        <f>RANK(K48,$K$30:$K$95,0)</f>
        <v/>
      </c>
    </row>
    <row r="49" ht="15" customHeight="1" s="65">
      <c r="E49" s="79">
        <f>Service_List!$A$21</f>
        <v/>
      </c>
      <c r="F49" s="81">
        <f>IFERROR(INDEX(Service_List!$21:21,1,$B$28),0)</f>
        <v/>
      </c>
      <c r="G49" s="81">
        <f>IFERROR(INDEX(Service_List!$21:21,1,$B$29),0)</f>
        <v/>
      </c>
      <c r="H49" s="81">
        <f>F49-G49</f>
        <v/>
      </c>
      <c r="I49" s="82">
        <f>IFERROR(H49/G49,0)</f>
        <v/>
      </c>
      <c r="J49" s="79">
        <f>RANK(F49,$F$30:$F$95,0)</f>
        <v/>
      </c>
      <c r="K49" s="81">
        <f>ABS(H49)</f>
        <v/>
      </c>
      <c r="L49" s="79">
        <f>RANK(K49,$K$30:$K$95,0)</f>
        <v/>
      </c>
    </row>
    <row r="50" ht="15" customHeight="1" s="65">
      <c r="E50" s="79">
        <f>Service_List!$A$22</f>
        <v/>
      </c>
      <c r="F50" s="81">
        <f>IFERROR(INDEX(Service_List!$22:22,1,$B$28),0)</f>
        <v/>
      </c>
      <c r="G50" s="81">
        <f>IFERROR(INDEX(Service_List!$22:22,1,$B$29),0)</f>
        <v/>
      </c>
      <c r="H50" s="81">
        <f>F50-G50</f>
        <v/>
      </c>
      <c r="I50" s="82">
        <f>IFERROR(H50/G50,0)</f>
        <v/>
      </c>
      <c r="J50" s="79">
        <f>RANK(F50,$F$30:$F$95,0)</f>
        <v/>
      </c>
      <c r="K50" s="81">
        <f>ABS(H50)</f>
        <v/>
      </c>
      <c r="L50" s="79">
        <f>RANK(K50,$K$30:$K$95,0)</f>
        <v/>
      </c>
    </row>
    <row r="51" ht="15" customHeight="1" s="65">
      <c r="E51" s="79">
        <f>Service_List!$A$23</f>
        <v/>
      </c>
      <c r="F51" s="81">
        <f>IFERROR(INDEX(Service_List!$23:23,1,$B$28),0)</f>
        <v/>
      </c>
      <c r="G51" s="81">
        <f>IFERROR(INDEX(Service_List!$23:23,1,$B$29),0)</f>
        <v/>
      </c>
      <c r="H51" s="81">
        <f>F51-G51</f>
        <v/>
      </c>
      <c r="I51" s="82">
        <f>IFERROR(H51/G51,0)</f>
        <v/>
      </c>
      <c r="J51" s="79">
        <f>RANK(F51,$F$30:$F$95,0)</f>
        <v/>
      </c>
      <c r="K51" s="81">
        <f>ABS(H51)</f>
        <v/>
      </c>
      <c r="L51" s="79">
        <f>RANK(K51,$K$30:$K$95,0)</f>
        <v/>
      </c>
    </row>
    <row r="52" ht="15" customHeight="1" s="65">
      <c r="E52" s="79">
        <f>Service_List!$A$24</f>
        <v/>
      </c>
      <c r="F52" s="81">
        <f>IFERROR(INDEX(Service_List!$24:24,1,$B$28),0)</f>
        <v/>
      </c>
      <c r="G52" s="81">
        <f>IFERROR(INDEX(Service_List!$24:24,1,$B$29),0)</f>
        <v/>
      </c>
      <c r="H52" s="81">
        <f>F52-G52</f>
        <v/>
      </c>
      <c r="I52" s="82">
        <f>IFERROR(H52/G52,0)</f>
        <v/>
      </c>
      <c r="J52" s="79">
        <f>RANK(F52,$F$30:$F$95,0)</f>
        <v/>
      </c>
      <c r="K52" s="81">
        <f>ABS(H52)</f>
        <v/>
      </c>
      <c r="L52" s="79">
        <f>RANK(K52,$K$30:$K$95,0)</f>
        <v/>
      </c>
    </row>
    <row r="53" ht="15" customHeight="1" s="65">
      <c r="E53" s="79">
        <f>Service_List!$A$25</f>
        <v/>
      </c>
      <c r="F53" s="81">
        <f>IFERROR(INDEX(Service_List!$25:25,1,$B$28),0)</f>
        <v/>
      </c>
      <c r="G53" s="81">
        <f>IFERROR(INDEX(Service_List!$25:25,1,$B$29),0)</f>
        <v/>
      </c>
      <c r="H53" s="81">
        <f>F53-G53</f>
        <v/>
      </c>
      <c r="I53" s="82">
        <f>IFERROR(H53/G53,0)</f>
        <v/>
      </c>
      <c r="J53" s="79">
        <f>RANK(F53,$F$30:$F$95,0)</f>
        <v/>
      </c>
      <c r="K53" s="81">
        <f>ABS(H53)</f>
        <v/>
      </c>
      <c r="L53" s="79">
        <f>RANK(K53,$K$30:$K$95,0)</f>
        <v/>
      </c>
    </row>
    <row r="54" ht="15" customHeight="1" s="65">
      <c r="E54" s="79">
        <f>Service_List!$A$26</f>
        <v/>
      </c>
      <c r="F54" s="81">
        <f>IFERROR(INDEX(Service_List!$26:26,1,$B$28),0)</f>
        <v/>
      </c>
      <c r="G54" s="81">
        <f>IFERROR(INDEX(Service_List!$26:26,1,$B$29),0)</f>
        <v/>
      </c>
      <c r="H54" s="81">
        <f>F54-G54</f>
        <v/>
      </c>
      <c r="I54" s="82">
        <f>IFERROR(H54/G54,0)</f>
        <v/>
      </c>
      <c r="J54" s="79">
        <f>RANK(F54,$F$30:$F$95,0)</f>
        <v/>
      </c>
      <c r="K54" s="81">
        <f>ABS(H54)</f>
        <v/>
      </c>
      <c r="L54" s="79">
        <f>RANK(K54,$K$30:$K$95,0)</f>
        <v/>
      </c>
    </row>
    <row r="55" ht="15" customHeight="1" s="65">
      <c r="E55" s="79">
        <f>Service_List!$A$27</f>
        <v/>
      </c>
      <c r="F55" s="81">
        <f>IFERROR(INDEX(Service_List!$27:27,1,$B$28),0)</f>
        <v/>
      </c>
      <c r="G55" s="81">
        <f>IFERROR(INDEX(Service_List!$27:27,1,$B$29),0)</f>
        <v/>
      </c>
      <c r="H55" s="81">
        <f>F55-G55</f>
        <v/>
      </c>
      <c r="I55" s="82">
        <f>IFERROR(H55/G55,0)</f>
        <v/>
      </c>
      <c r="J55" s="79">
        <f>RANK(F55,$F$30:$F$95,0)</f>
        <v/>
      </c>
      <c r="K55" s="81">
        <f>ABS(H55)</f>
        <v/>
      </c>
      <c r="L55" s="79">
        <f>RANK(K55,$K$30:$K$95,0)</f>
        <v/>
      </c>
    </row>
    <row r="56" ht="15" customHeight="1" s="65">
      <c r="E56" s="79">
        <f>Service_List!$A$28</f>
        <v/>
      </c>
      <c r="F56" s="81">
        <f>IFERROR(INDEX(Service_List!$28:28,1,$B$28),0)</f>
        <v/>
      </c>
      <c r="G56" s="81">
        <f>IFERROR(INDEX(Service_List!$28:28,1,$B$29),0)</f>
        <v/>
      </c>
      <c r="H56" s="81">
        <f>F56-G56</f>
        <v/>
      </c>
      <c r="I56" s="82">
        <f>IFERROR(H56/G56,0)</f>
        <v/>
      </c>
      <c r="J56" s="79">
        <f>RANK(F56,$F$30:$F$95,0)</f>
        <v/>
      </c>
      <c r="K56" s="81">
        <f>ABS(H56)</f>
        <v/>
      </c>
      <c r="L56" s="79">
        <f>RANK(K56,$K$30:$K$95,0)</f>
        <v/>
      </c>
    </row>
    <row r="57" ht="15" customHeight="1" s="65">
      <c r="E57" s="79">
        <f>Service_List!$A$29</f>
        <v/>
      </c>
      <c r="F57" s="81">
        <f>IFERROR(INDEX(Service_List!$29:29,1,$B$28),0)</f>
        <v/>
      </c>
      <c r="G57" s="81">
        <f>IFERROR(INDEX(Service_List!$29:29,1,$B$29),0)</f>
        <v/>
      </c>
      <c r="H57" s="81">
        <f>F57-G57</f>
        <v/>
      </c>
      <c r="I57" s="82">
        <f>IFERROR(H57/G57,0)</f>
        <v/>
      </c>
      <c r="J57" s="79">
        <f>RANK(F57,$F$30:$F$95,0)</f>
        <v/>
      </c>
      <c r="K57" s="81">
        <f>ABS(H57)</f>
        <v/>
      </c>
      <c r="L57" s="79">
        <f>RANK(K57,$K$30:$K$95,0)</f>
        <v/>
      </c>
    </row>
    <row r="58" ht="15" customHeight="1" s="65">
      <c r="E58" s="79">
        <f>Service_List!$A$30</f>
        <v/>
      </c>
      <c r="F58" s="81">
        <f>IFERROR(INDEX(Service_List!$30:30,1,$B$28),0)</f>
        <v/>
      </c>
      <c r="G58" s="81">
        <f>IFERROR(INDEX(Service_List!$30:30,1,$B$29),0)</f>
        <v/>
      </c>
      <c r="H58" s="81">
        <f>F58-G58</f>
        <v/>
      </c>
      <c r="I58" s="82">
        <f>IFERROR(H58/G58,0)</f>
        <v/>
      </c>
      <c r="J58" s="79">
        <f>RANK(F58,$F$30:$F$95,0)</f>
        <v/>
      </c>
      <c r="K58" s="81">
        <f>ABS(H58)</f>
        <v/>
      </c>
      <c r="L58" s="79">
        <f>RANK(K58,$K$30:$K$95,0)</f>
        <v/>
      </c>
    </row>
    <row r="59" ht="15" customHeight="1" s="65">
      <c r="E59" s="79">
        <f>Service_List!$A$31</f>
        <v/>
      </c>
      <c r="F59" s="81">
        <f>IFERROR(INDEX(Service_List!$31:31,1,$B$28),0)</f>
        <v/>
      </c>
      <c r="G59" s="81">
        <f>IFERROR(INDEX(Service_List!$31:31,1,$B$29),0)</f>
        <v/>
      </c>
      <c r="H59" s="81">
        <f>F59-G59</f>
        <v/>
      </c>
      <c r="I59" s="82">
        <f>IFERROR(H59/G59,0)</f>
        <v/>
      </c>
      <c r="J59" s="79">
        <f>RANK(F59,$F$30:$F$95,0)</f>
        <v/>
      </c>
      <c r="K59" s="81">
        <f>ABS(H59)</f>
        <v/>
      </c>
      <c r="L59" s="79">
        <f>RANK(K59,$K$30:$K$95,0)</f>
        <v/>
      </c>
    </row>
    <row r="60" ht="15" customHeight="1" s="65">
      <c r="E60" s="79">
        <f>Service_List!$A$32</f>
        <v/>
      </c>
      <c r="F60" s="81">
        <f>IFERROR(INDEX(Service_List!$32:32,1,$B$28),0)</f>
        <v/>
      </c>
      <c r="G60" s="81">
        <f>IFERROR(INDEX(Service_List!$32:32,1,$B$29),0)</f>
        <v/>
      </c>
      <c r="H60" s="81">
        <f>F60-G60</f>
        <v/>
      </c>
      <c r="I60" s="82">
        <f>IFERROR(H60/G60,0)</f>
        <v/>
      </c>
      <c r="J60" s="79">
        <f>RANK(F60,$F$30:$F$95,0)</f>
        <v/>
      </c>
      <c r="K60" s="81">
        <f>ABS(H60)</f>
        <v/>
      </c>
      <c r="L60" s="79">
        <f>RANK(K60,$K$30:$K$95,0)</f>
        <v/>
      </c>
    </row>
    <row r="61" ht="15" customHeight="1" s="65">
      <c r="E61" s="79">
        <f>Service_List!$A$33</f>
        <v/>
      </c>
      <c r="F61" s="81">
        <f>IFERROR(INDEX(Service_List!$33:33,1,$B$28),0)</f>
        <v/>
      </c>
      <c r="G61" s="81">
        <f>IFERROR(INDEX(Service_List!$33:33,1,$B$29),0)</f>
        <v/>
      </c>
      <c r="H61" s="81">
        <f>F61-G61</f>
        <v/>
      </c>
      <c r="I61" s="82">
        <f>IFERROR(H61/G61,0)</f>
        <v/>
      </c>
      <c r="J61" s="79">
        <f>RANK(F61,$F$30:$F$95,0)</f>
        <v/>
      </c>
      <c r="K61" s="81">
        <f>ABS(H61)</f>
        <v/>
      </c>
      <c r="L61" s="79">
        <f>RANK(K61,$K$30:$K$95,0)</f>
        <v/>
      </c>
    </row>
    <row r="62" ht="15" customHeight="1" s="65">
      <c r="E62" s="79">
        <f>Service_List!$A$34</f>
        <v/>
      </c>
      <c r="F62" s="81">
        <f>IFERROR(INDEX(Service_List!$34:34,1,$B$28),0)</f>
        <v/>
      </c>
      <c r="G62" s="81">
        <f>IFERROR(INDEX(Service_List!$34:34,1,$B$29),0)</f>
        <v/>
      </c>
      <c r="H62" s="81">
        <f>F62-G62</f>
        <v/>
      </c>
      <c r="I62" s="82">
        <f>IFERROR(H62/G62,0)</f>
        <v/>
      </c>
      <c r="J62" s="79">
        <f>RANK(F62,$F$30:$F$95,0)</f>
        <v/>
      </c>
      <c r="K62" s="81">
        <f>ABS(H62)</f>
        <v/>
      </c>
      <c r="L62" s="79">
        <f>RANK(K62,$K$30:$K$95,0)</f>
        <v/>
      </c>
    </row>
    <row r="63" ht="15" customHeight="1" s="65">
      <c r="E63" s="79">
        <f>Service_List!$A$35</f>
        <v/>
      </c>
      <c r="F63" s="81">
        <f>IFERROR(INDEX(Service_List!$35:35,1,$B$28),0)</f>
        <v/>
      </c>
      <c r="G63" s="81">
        <f>IFERROR(INDEX(Service_List!$35:35,1,$B$29),0)</f>
        <v/>
      </c>
      <c r="H63" s="81">
        <f>F63-G63</f>
        <v/>
      </c>
      <c r="I63" s="82">
        <f>IFERROR(H63/G63,0)</f>
        <v/>
      </c>
      <c r="J63" s="79">
        <f>RANK(F63,$F$30:$F$95,0)</f>
        <v/>
      </c>
      <c r="K63" s="81">
        <f>ABS(H63)</f>
        <v/>
      </c>
      <c r="L63" s="79">
        <f>RANK(K63,$K$30:$K$95,0)</f>
        <v/>
      </c>
    </row>
    <row r="64" ht="15" customHeight="1" s="65">
      <c r="E64" s="79">
        <f>Service_List!$A$36</f>
        <v/>
      </c>
      <c r="F64" s="81">
        <f>IFERROR(INDEX(Service_List!$36:36,1,$B$28),0)</f>
        <v/>
      </c>
      <c r="G64" s="81">
        <f>IFERROR(INDEX(Service_List!$36:36,1,$B$29),0)</f>
        <v/>
      </c>
      <c r="H64" s="81">
        <f>F64-G64</f>
        <v/>
      </c>
      <c r="I64" s="82">
        <f>IFERROR(H64/G64,0)</f>
        <v/>
      </c>
      <c r="J64" s="79">
        <f>RANK(F64,$F$30:$F$95,0)</f>
        <v/>
      </c>
      <c r="K64" s="81">
        <f>ABS(H64)</f>
        <v/>
      </c>
      <c r="L64" s="79">
        <f>RANK(K64,$K$30:$K$95,0)</f>
        <v/>
      </c>
    </row>
    <row r="65" ht="15" customHeight="1" s="65">
      <c r="E65" s="79">
        <f>Service_List!$A$37</f>
        <v/>
      </c>
      <c r="F65" s="81">
        <f>IFERROR(INDEX(Service_List!$37:37,1,$B$28),0)</f>
        <v/>
      </c>
      <c r="G65" s="81">
        <f>IFERROR(INDEX(Service_List!$37:37,1,$B$29),0)</f>
        <v/>
      </c>
      <c r="H65" s="81">
        <f>F65-G65</f>
        <v/>
      </c>
      <c r="I65" s="82">
        <f>IFERROR(H65/G65,0)</f>
        <v/>
      </c>
      <c r="J65" s="79">
        <f>RANK(F65,$F$30:$F$95,0)</f>
        <v/>
      </c>
      <c r="K65" s="81">
        <f>ABS(H65)</f>
        <v/>
      </c>
      <c r="L65" s="79">
        <f>RANK(K65,$K$30:$K$95,0)</f>
        <v/>
      </c>
    </row>
    <row r="66" ht="15" customHeight="1" s="65">
      <c r="E66" s="79">
        <f>Service_List!$A$38</f>
        <v/>
      </c>
      <c r="F66" s="81">
        <f>IFERROR(INDEX(Service_List!$38:38,1,$B$28),0)</f>
        <v/>
      </c>
      <c r="G66" s="81">
        <f>IFERROR(INDEX(Service_List!$38:38,1,$B$29),0)</f>
        <v/>
      </c>
      <c r="H66" s="81">
        <f>F66-G66</f>
        <v/>
      </c>
      <c r="I66" s="82">
        <f>IFERROR(H66/G66,0)</f>
        <v/>
      </c>
      <c r="J66" s="79">
        <f>RANK(F66,$F$30:$F$95,0)</f>
        <v/>
      </c>
      <c r="K66" s="81">
        <f>ABS(H66)</f>
        <v/>
      </c>
      <c r="L66" s="79">
        <f>RANK(K66,$K$30:$K$95,0)</f>
        <v/>
      </c>
    </row>
    <row r="67" ht="15" customHeight="1" s="65">
      <c r="E67" s="79">
        <f>Service_List!$A$39</f>
        <v/>
      </c>
      <c r="F67" s="81">
        <f>IFERROR(INDEX(Service_List!$39:39,1,$B$28),0)</f>
        <v/>
      </c>
      <c r="G67" s="81">
        <f>IFERROR(INDEX(Service_List!$39:39,1,$B$29),0)</f>
        <v/>
      </c>
      <c r="H67" s="81">
        <f>F67-G67</f>
        <v/>
      </c>
      <c r="I67" s="82">
        <f>IFERROR(H67/G67,0)</f>
        <v/>
      </c>
      <c r="J67" s="79">
        <f>RANK(F67,$F$30:$F$95,0)</f>
        <v/>
      </c>
      <c r="K67" s="81">
        <f>ABS(H67)</f>
        <v/>
      </c>
      <c r="L67" s="79">
        <f>RANK(K67,$K$30:$K$95,0)</f>
        <v/>
      </c>
    </row>
    <row r="68" ht="15" customHeight="1" s="65">
      <c r="E68" s="79">
        <f>Service_List!$A$40</f>
        <v/>
      </c>
      <c r="F68" s="81">
        <f>IFERROR(INDEX(Service_List!$40:40,1,$B$28),0)</f>
        <v/>
      </c>
      <c r="G68" s="81">
        <f>IFERROR(INDEX(Service_List!$40:40,1,$B$29),0)</f>
        <v/>
      </c>
      <c r="H68" s="81">
        <f>F68-G68</f>
        <v/>
      </c>
      <c r="I68" s="82">
        <f>IFERROR(H68/G68,0)</f>
        <v/>
      </c>
      <c r="J68" s="79">
        <f>RANK(F68,$F$30:$F$95,0)</f>
        <v/>
      </c>
      <c r="K68" s="81">
        <f>ABS(H68)</f>
        <v/>
      </c>
      <c r="L68" s="79">
        <f>RANK(K68,$K$30:$K$95,0)</f>
        <v/>
      </c>
    </row>
    <row r="69" ht="15" customHeight="1" s="65">
      <c r="E69" s="79">
        <f>Service_List!$A$41</f>
        <v/>
      </c>
      <c r="F69" s="81">
        <f>IFERROR(INDEX(Service_List!$41:41,1,$B$28),0)</f>
        <v/>
      </c>
      <c r="G69" s="81">
        <f>IFERROR(INDEX(Service_List!$41:41,1,$B$29),0)</f>
        <v/>
      </c>
      <c r="H69" s="81">
        <f>F69-G69</f>
        <v/>
      </c>
      <c r="I69" s="82">
        <f>IFERROR(H69/G69,0)</f>
        <v/>
      </c>
      <c r="J69" s="79">
        <f>RANK(F69,$F$30:$F$95,0)</f>
        <v/>
      </c>
      <c r="K69" s="81">
        <f>ABS(H69)</f>
        <v/>
      </c>
      <c r="L69" s="79">
        <f>RANK(K69,$K$30:$K$95,0)</f>
        <v/>
      </c>
    </row>
    <row r="70" ht="15" customHeight="1" s="65">
      <c r="E70" s="79">
        <f>Service_List!$A$42</f>
        <v/>
      </c>
      <c r="F70" s="81">
        <f>IFERROR(INDEX(Service_List!$42:42,1,$B$28),0)</f>
        <v/>
      </c>
      <c r="G70" s="81">
        <f>IFERROR(INDEX(Service_List!$42:42,1,$B$29),0)</f>
        <v/>
      </c>
      <c r="H70" s="81">
        <f>F70-G70</f>
        <v/>
      </c>
      <c r="I70" s="82">
        <f>IFERROR(H70/G70,0)</f>
        <v/>
      </c>
      <c r="J70" s="79">
        <f>RANK(F70,$F$30:$F$95,0)</f>
        <v/>
      </c>
      <c r="K70" s="81">
        <f>ABS(H70)</f>
        <v/>
      </c>
      <c r="L70" s="79">
        <f>RANK(K70,$K$30:$K$95,0)</f>
        <v/>
      </c>
    </row>
    <row r="71" ht="15" customHeight="1" s="65">
      <c r="E71" s="79">
        <f>Service_List!$A$43</f>
        <v/>
      </c>
      <c r="F71" s="81">
        <f>IFERROR(INDEX(Service_List!$43:43,1,$B$28),0)</f>
        <v/>
      </c>
      <c r="G71" s="81">
        <f>IFERROR(INDEX(Service_List!$43:43,1,$B$29),0)</f>
        <v/>
      </c>
      <c r="H71" s="81">
        <f>F71-G71</f>
        <v/>
      </c>
      <c r="I71" s="82">
        <f>IFERROR(H71/G71,0)</f>
        <v/>
      </c>
      <c r="J71" s="79">
        <f>RANK(F71,$F$30:$F$95,0)</f>
        <v/>
      </c>
      <c r="K71" s="81">
        <f>ABS(H71)</f>
        <v/>
      </c>
      <c r="L71" s="79">
        <f>RANK(K71,$K$30:$K$95,0)</f>
        <v/>
      </c>
    </row>
    <row r="72" ht="15" customHeight="1" s="65">
      <c r="E72" s="79">
        <f>Service_List!$A$44</f>
        <v/>
      </c>
      <c r="F72" s="81">
        <f>IFERROR(INDEX(Service_List!$44:44,1,$B$28),0)</f>
        <v/>
      </c>
      <c r="G72" s="81">
        <f>IFERROR(INDEX(Service_List!$44:44,1,$B$29),0)</f>
        <v/>
      </c>
      <c r="H72" s="81">
        <f>F72-G72</f>
        <v/>
      </c>
      <c r="I72" s="82">
        <f>IFERROR(H72/G72,0)</f>
        <v/>
      </c>
      <c r="J72" s="79">
        <f>RANK(F72,$F$30:$F$95,0)</f>
        <v/>
      </c>
      <c r="K72" s="81">
        <f>ABS(H72)</f>
        <v/>
      </c>
      <c r="L72" s="79">
        <f>RANK(K72,$K$30:$K$95,0)</f>
        <v/>
      </c>
    </row>
    <row r="73" ht="15" customHeight="1" s="65">
      <c r="E73" s="79">
        <f>Service_List!$A$45</f>
        <v/>
      </c>
      <c r="F73" s="81">
        <f>IFERROR(INDEX(Service_List!$45:45,1,$B$28),0)</f>
        <v/>
      </c>
      <c r="G73" s="81">
        <f>IFERROR(INDEX(Service_List!$45:45,1,$B$29),0)</f>
        <v/>
      </c>
      <c r="H73" s="81">
        <f>F73-G73</f>
        <v/>
      </c>
      <c r="I73" s="82">
        <f>IFERROR(H73/G73,0)</f>
        <v/>
      </c>
      <c r="J73" s="79">
        <f>RANK(F73,$F$30:$F$95,0)</f>
        <v/>
      </c>
      <c r="K73" s="81">
        <f>ABS(H73)</f>
        <v/>
      </c>
      <c r="L73" s="79">
        <f>RANK(K73,$K$30:$K$95,0)</f>
        <v/>
      </c>
    </row>
    <row r="74" ht="15" customHeight="1" s="65">
      <c r="E74" s="79">
        <f>Service_List!$A$46</f>
        <v/>
      </c>
      <c r="F74" s="81">
        <f>IFERROR(INDEX(Service_List!$46:46,1,$B$28),0)</f>
        <v/>
      </c>
      <c r="G74" s="81">
        <f>IFERROR(INDEX(Service_List!$46:46,1,$B$29),0)</f>
        <v/>
      </c>
      <c r="H74" s="81">
        <f>F74-G74</f>
        <v/>
      </c>
      <c r="I74" s="82">
        <f>IFERROR(H74/G74,0)</f>
        <v/>
      </c>
      <c r="J74" s="79">
        <f>RANK(F74,$F$30:$F$95,0)</f>
        <v/>
      </c>
      <c r="K74" s="81">
        <f>ABS(H74)</f>
        <v/>
      </c>
      <c r="L74" s="79">
        <f>RANK(K74,$K$30:$K$95,0)</f>
        <v/>
      </c>
    </row>
    <row r="75" ht="15" customHeight="1" s="65">
      <c r="E75" s="79">
        <f>Service_List!$A$47</f>
        <v/>
      </c>
      <c r="F75" s="81">
        <f>IFERROR(INDEX(Service_List!$47:47,1,$B$28),0)</f>
        <v/>
      </c>
      <c r="G75" s="81">
        <f>IFERROR(INDEX(Service_List!$47:47,1,$B$29),0)</f>
        <v/>
      </c>
      <c r="H75" s="81">
        <f>F75-G75</f>
        <v/>
      </c>
      <c r="I75" s="82">
        <f>IFERROR(H75/G75,0)</f>
        <v/>
      </c>
      <c r="J75" s="79">
        <f>RANK(F75,$F$30:$F$95,0)</f>
        <v/>
      </c>
      <c r="K75" s="81">
        <f>ABS(H75)</f>
        <v/>
      </c>
      <c r="L75" s="79">
        <f>RANK(K75,$K$30:$K$95,0)</f>
        <v/>
      </c>
    </row>
    <row r="76" ht="15" customHeight="1" s="65">
      <c r="E76" s="79">
        <f>Service_List!$A$48</f>
        <v/>
      </c>
      <c r="F76" s="81">
        <f>IFERROR(INDEX(Service_List!$48:48,1,$B$28),0)</f>
        <v/>
      </c>
      <c r="G76" s="81">
        <f>IFERROR(INDEX(Service_List!$48:48,1,$B$29),0)</f>
        <v/>
      </c>
      <c r="H76" s="81">
        <f>F76-G76</f>
        <v/>
      </c>
      <c r="I76" s="82">
        <f>IFERROR(H76/G76,0)</f>
        <v/>
      </c>
      <c r="J76" s="79">
        <f>RANK(F76,$F$30:$F$95,0)</f>
        <v/>
      </c>
      <c r="K76" s="81">
        <f>ABS(H76)</f>
        <v/>
      </c>
      <c r="L76" s="79">
        <f>RANK(K76,$K$30:$K$95,0)</f>
        <v/>
      </c>
    </row>
    <row r="77" ht="15" customHeight="1" s="65">
      <c r="E77" s="79">
        <f>Service_List!$A$49</f>
        <v/>
      </c>
      <c r="F77" s="81">
        <f>IFERROR(INDEX(Service_List!$49:49,1,$B$28),0)</f>
        <v/>
      </c>
      <c r="G77" s="81">
        <f>IFERROR(INDEX(Service_List!$49:49,1,$B$29),0)</f>
        <v/>
      </c>
      <c r="H77" s="81">
        <f>F77-G77</f>
        <v/>
      </c>
      <c r="I77" s="82">
        <f>IFERROR(H77/G77,0)</f>
        <v/>
      </c>
      <c r="J77" s="79">
        <f>RANK(F77,$F$30:$F$95,0)</f>
        <v/>
      </c>
      <c r="K77" s="81">
        <f>ABS(H77)</f>
        <v/>
      </c>
      <c r="L77" s="79">
        <f>RANK(K77,$K$30:$K$95,0)</f>
        <v/>
      </c>
    </row>
    <row r="78" ht="15" customHeight="1" s="65">
      <c r="E78" s="79">
        <f>Service_List!$A$50</f>
        <v/>
      </c>
      <c r="F78" s="81">
        <f>IFERROR(INDEX(Service_List!$50:50,1,$B$28),0)</f>
        <v/>
      </c>
      <c r="G78" s="81">
        <f>IFERROR(INDEX(Service_List!$50:50,1,$B$29),0)</f>
        <v/>
      </c>
      <c r="H78" s="81">
        <f>F78-G78</f>
        <v/>
      </c>
      <c r="I78" s="82">
        <f>IFERROR(H78/G78,0)</f>
        <v/>
      </c>
      <c r="J78" s="79">
        <f>RANK(F78,$F$30:$F$95,0)</f>
        <v/>
      </c>
      <c r="K78" s="81">
        <f>ABS(H78)</f>
        <v/>
      </c>
      <c r="L78" s="79">
        <f>RANK(K78,$K$30:$K$95,0)</f>
        <v/>
      </c>
    </row>
    <row r="79" ht="15" customHeight="1" s="65">
      <c r="E79" s="79">
        <f>Service_List!$A$51</f>
        <v/>
      </c>
      <c r="F79" s="81">
        <f>IFERROR(INDEX(Service_List!$51:51,1,$B$28),0)</f>
        <v/>
      </c>
      <c r="G79" s="81">
        <f>IFERROR(INDEX(Service_List!$51:51,1,$B$29),0)</f>
        <v/>
      </c>
      <c r="H79" s="81">
        <f>F79-G79</f>
        <v/>
      </c>
      <c r="I79" s="82">
        <f>IFERROR(H79/G79,0)</f>
        <v/>
      </c>
      <c r="J79" s="79">
        <f>RANK(F79,$F$30:$F$95,0)</f>
        <v/>
      </c>
      <c r="K79" s="81">
        <f>ABS(H79)</f>
        <v/>
      </c>
      <c r="L79" s="79">
        <f>RANK(K79,$K$30:$K$95,0)</f>
        <v/>
      </c>
    </row>
    <row r="80" ht="15" customHeight="1" s="65">
      <c r="E80" s="79">
        <f>Service_List!$A$52</f>
        <v/>
      </c>
      <c r="F80" s="81">
        <f>IFERROR(INDEX(Service_List!$52:52,1,$B$28),0)</f>
        <v/>
      </c>
      <c r="G80" s="81">
        <f>IFERROR(INDEX(Service_List!$52:52,1,$B$29),0)</f>
        <v/>
      </c>
      <c r="H80" s="81">
        <f>F80-G80</f>
        <v/>
      </c>
      <c r="I80" s="82">
        <f>IFERROR(H80/G80,0)</f>
        <v/>
      </c>
      <c r="J80" s="79">
        <f>RANK(F80,$F$30:$F$95,0)</f>
        <v/>
      </c>
      <c r="K80" s="81">
        <f>ABS(H80)</f>
        <v/>
      </c>
      <c r="L80" s="79">
        <f>RANK(K80,$K$30:$K$95,0)</f>
        <v/>
      </c>
    </row>
    <row r="81" ht="15" customHeight="1" s="65">
      <c r="E81" s="79">
        <f>Service_List!$A$53</f>
        <v/>
      </c>
      <c r="F81" s="81">
        <f>IFERROR(INDEX(Service_List!$53:53,1,$B$28),0)</f>
        <v/>
      </c>
      <c r="G81" s="81">
        <f>IFERROR(INDEX(Service_List!$53:53,1,$B$29),0)</f>
        <v/>
      </c>
      <c r="H81" s="81">
        <f>F81-G81</f>
        <v/>
      </c>
      <c r="I81" s="82">
        <f>IFERROR(H81/G81,0)</f>
        <v/>
      </c>
      <c r="J81" s="79">
        <f>RANK(F81,$F$30:$F$95,0)</f>
        <v/>
      </c>
      <c r="K81" s="81">
        <f>ABS(H81)</f>
        <v/>
      </c>
      <c r="L81" s="79">
        <f>RANK(K81,$K$30:$K$95,0)</f>
        <v/>
      </c>
    </row>
    <row r="82" ht="15" customHeight="1" s="65">
      <c r="E82" s="79">
        <f>Service_List!$A$54</f>
        <v/>
      </c>
      <c r="F82" s="81">
        <f>IFERROR(INDEX(Service_List!$54:54,1,$B$28),0)</f>
        <v/>
      </c>
      <c r="G82" s="81">
        <f>IFERROR(INDEX(Service_List!$54:54,1,$B$29),0)</f>
        <v/>
      </c>
      <c r="H82" s="81">
        <f>F82-G82</f>
        <v/>
      </c>
      <c r="I82" s="82">
        <f>IFERROR(H82/G82,0)</f>
        <v/>
      </c>
      <c r="J82" s="79">
        <f>RANK(F82,$F$30:$F$95,0)</f>
        <v/>
      </c>
      <c r="K82" s="81">
        <f>ABS(H82)</f>
        <v/>
      </c>
      <c r="L82" s="79">
        <f>RANK(K82,$K$30:$K$95,0)</f>
        <v/>
      </c>
    </row>
    <row r="83" ht="15" customHeight="1" s="65">
      <c r="E83" s="79">
        <f>Service_List!$A$55</f>
        <v/>
      </c>
      <c r="F83" s="81">
        <f>IFERROR(INDEX(Service_List!$55:55,1,$B$28),0)</f>
        <v/>
      </c>
      <c r="G83" s="81">
        <f>IFERROR(INDEX(Service_List!$55:55,1,$B$29),0)</f>
        <v/>
      </c>
      <c r="H83" s="81">
        <f>F83-G83</f>
        <v/>
      </c>
      <c r="I83" s="82">
        <f>IFERROR(H83/G83,0)</f>
        <v/>
      </c>
      <c r="J83" s="79">
        <f>RANK(F83,$F$30:$F$95,0)</f>
        <v/>
      </c>
      <c r="K83" s="81">
        <f>ABS(H83)</f>
        <v/>
      </c>
      <c r="L83" s="79">
        <f>RANK(K83,$K$30:$K$95,0)</f>
        <v/>
      </c>
    </row>
    <row r="84" ht="15" customHeight="1" s="65">
      <c r="E84" s="79">
        <f>Service_List!$A$56</f>
        <v/>
      </c>
      <c r="F84" s="81">
        <f>IFERROR(INDEX(Service_List!$56:56,1,$B$28),0)</f>
        <v/>
      </c>
      <c r="G84" s="81">
        <f>IFERROR(INDEX(Service_List!$56:56,1,$B$29),0)</f>
        <v/>
      </c>
      <c r="H84" s="81">
        <f>F84-G84</f>
        <v/>
      </c>
      <c r="I84" s="82">
        <f>IFERROR(H84/G84,0)</f>
        <v/>
      </c>
      <c r="J84" s="79">
        <f>RANK(F84,$F$30:$F$95,0)</f>
        <v/>
      </c>
      <c r="K84" s="81">
        <f>ABS(H84)</f>
        <v/>
      </c>
      <c r="L84" s="79">
        <f>RANK(K84,$K$30:$K$95,0)</f>
        <v/>
      </c>
    </row>
    <row r="85" ht="15" customHeight="1" s="65">
      <c r="E85" s="79">
        <f>Service_List!$A$57</f>
        <v/>
      </c>
      <c r="F85" s="81">
        <f>IFERROR(INDEX(Service_List!$57:57,1,$B$28),0)</f>
        <v/>
      </c>
      <c r="G85" s="81">
        <f>IFERROR(INDEX(Service_List!$57:57,1,$B$29),0)</f>
        <v/>
      </c>
      <c r="H85" s="81">
        <f>F85-G85</f>
        <v/>
      </c>
      <c r="I85" s="82">
        <f>IFERROR(H85/G85,0)</f>
        <v/>
      </c>
      <c r="J85" s="79">
        <f>RANK(F85,$F$30:$F$95,0)</f>
        <v/>
      </c>
      <c r="K85" s="81">
        <f>ABS(H85)</f>
        <v/>
      </c>
      <c r="L85" s="79">
        <f>RANK(K85,$K$30:$K$95,0)</f>
        <v/>
      </c>
    </row>
    <row r="86" ht="15" customHeight="1" s="65">
      <c r="E86" s="79">
        <f>Service_List!$A$58</f>
        <v/>
      </c>
      <c r="F86" s="81">
        <f>IFERROR(INDEX(Service_List!$58:58,1,$B$28),0)</f>
        <v/>
      </c>
      <c r="G86" s="81">
        <f>IFERROR(INDEX(Service_List!$58:58,1,$B$29),0)</f>
        <v/>
      </c>
      <c r="H86" s="81">
        <f>F86-G86</f>
        <v/>
      </c>
      <c r="I86" s="82">
        <f>IFERROR(H86/G86,0)</f>
        <v/>
      </c>
      <c r="J86" s="79">
        <f>RANK(F86,$F$30:$F$95,0)</f>
        <v/>
      </c>
      <c r="K86" s="81">
        <f>ABS(H86)</f>
        <v/>
      </c>
      <c r="L86" s="79">
        <f>RANK(K86,$K$30:$K$95,0)</f>
        <v/>
      </c>
    </row>
    <row r="87" ht="15" customHeight="1" s="65">
      <c r="E87" s="79">
        <f>Service_List!$A$59</f>
        <v/>
      </c>
      <c r="F87" s="81">
        <f>IFERROR(INDEX(Service_List!$59:59,1,$B$28),0)</f>
        <v/>
      </c>
      <c r="G87" s="81">
        <f>IFERROR(INDEX(Service_List!$59:59,1,$B$29),0)</f>
        <v/>
      </c>
      <c r="H87" s="81">
        <f>F87-G87</f>
        <v/>
      </c>
      <c r="I87" s="82">
        <f>IFERROR(H87/G87,0)</f>
        <v/>
      </c>
      <c r="J87" s="79">
        <f>RANK(F87,$F$30:$F$95,0)</f>
        <v/>
      </c>
      <c r="K87" s="81">
        <f>ABS(H87)</f>
        <v/>
      </c>
      <c r="L87" s="79">
        <f>RANK(K87,$K$30:$K$95,0)</f>
        <v/>
      </c>
    </row>
    <row r="88" ht="15" customHeight="1" s="65">
      <c r="E88" s="79">
        <f>Service_List!$A$60</f>
        <v/>
      </c>
      <c r="F88" s="81">
        <f>IFERROR(INDEX(Service_List!$60:60,1,$B$28),0)</f>
        <v/>
      </c>
      <c r="G88" s="81">
        <f>IFERROR(INDEX(Service_List!$60:60,1,$B$29),0)</f>
        <v/>
      </c>
      <c r="H88" s="81">
        <f>F88-G88</f>
        <v/>
      </c>
      <c r="I88" s="82">
        <f>IFERROR(H88/G88,0)</f>
        <v/>
      </c>
      <c r="J88" s="79">
        <f>RANK(F88,$F$30:$F$95,0)</f>
        <v/>
      </c>
      <c r="K88" s="81">
        <f>ABS(H88)</f>
        <v/>
      </c>
      <c r="L88" s="79">
        <f>RANK(K88,$K$30:$K$95,0)</f>
        <v/>
      </c>
    </row>
    <row r="89" ht="15" customHeight="1" s="65">
      <c r="E89" s="79">
        <f>Service_List!$A$61</f>
        <v/>
      </c>
      <c r="F89" s="81">
        <f>IFERROR(INDEX(Service_List!$61:61,1,$B$28),0)</f>
        <v/>
      </c>
      <c r="G89" s="81">
        <f>IFERROR(INDEX(Service_List!$61:61,1,$B$29),0)</f>
        <v/>
      </c>
      <c r="H89" s="81">
        <f>F89-G89</f>
        <v/>
      </c>
      <c r="I89" s="82">
        <f>IFERROR(H89/G89,0)</f>
        <v/>
      </c>
      <c r="J89" s="79">
        <f>RANK(F89,$F$30:$F$95,0)</f>
        <v/>
      </c>
      <c r="K89" s="81">
        <f>ABS(H89)</f>
        <v/>
      </c>
      <c r="L89" s="79">
        <f>RANK(K89,$K$30:$K$95,0)</f>
        <v/>
      </c>
    </row>
    <row r="90" ht="15" customHeight="1" s="65">
      <c r="E90" s="79">
        <f>Service_List!$A$62</f>
        <v/>
      </c>
      <c r="F90" s="81">
        <f>IFERROR(INDEX(Service_List!$62:62,1,$B$28),0)</f>
        <v/>
      </c>
      <c r="G90" s="81">
        <f>IFERROR(INDEX(Service_List!$62:62,1,$B$29),0)</f>
        <v/>
      </c>
      <c r="H90" s="81">
        <f>F90-G90</f>
        <v/>
      </c>
      <c r="I90" s="82">
        <f>IFERROR(H90/G90,0)</f>
        <v/>
      </c>
      <c r="J90" s="79">
        <f>RANK(F90,$F$30:$F$95,0)</f>
        <v/>
      </c>
      <c r="K90" s="81">
        <f>ABS(H90)</f>
        <v/>
      </c>
      <c r="L90" s="79">
        <f>RANK(K90,$K$30:$K$95,0)</f>
        <v/>
      </c>
    </row>
    <row r="91" ht="15" customHeight="1" s="65">
      <c r="E91" s="79">
        <f>Service_List!$A$63</f>
        <v/>
      </c>
      <c r="F91" s="81">
        <f>IFERROR(INDEX(Service_List!$63:63,1,$B$28),0)</f>
        <v/>
      </c>
      <c r="G91" s="81">
        <f>IFERROR(INDEX(Service_List!$63:63,1,$B$29),0)</f>
        <v/>
      </c>
      <c r="H91" s="81">
        <f>F91-G91</f>
        <v/>
      </c>
      <c r="I91" s="82">
        <f>IFERROR(H91/G91,0)</f>
        <v/>
      </c>
      <c r="J91" s="79">
        <f>RANK(F91,$F$30:$F$95,0)</f>
        <v/>
      </c>
      <c r="K91" s="81">
        <f>ABS(H91)</f>
        <v/>
      </c>
      <c r="L91" s="79">
        <f>RANK(K91,$K$30:$K$95,0)</f>
        <v/>
      </c>
    </row>
    <row r="92" ht="15" customHeight="1" s="65">
      <c r="E92" s="79">
        <f>Service_List!$A$64</f>
        <v/>
      </c>
      <c r="F92" s="81">
        <f>IFERROR(INDEX(Service_List!$64:64,1,$B$28),0)</f>
        <v/>
      </c>
      <c r="G92" s="81">
        <f>IFERROR(INDEX(Service_List!$64:64,1,$B$29),0)</f>
        <v/>
      </c>
      <c r="H92" s="81">
        <f>F92-G92</f>
        <v/>
      </c>
      <c r="I92" s="82">
        <f>IFERROR(H92/G92,0)</f>
        <v/>
      </c>
      <c r="J92" s="79">
        <f>RANK(F92,$F$30:$F$95,0)</f>
        <v/>
      </c>
      <c r="K92" s="81">
        <f>ABS(H92)</f>
        <v/>
      </c>
      <c r="L92" s="79">
        <f>RANK(K92,$K$30:$K$95,0)</f>
        <v/>
      </c>
    </row>
    <row r="93" ht="15" customHeight="1" s="65">
      <c r="E93" s="79">
        <f>Service_List!$A$65</f>
        <v/>
      </c>
      <c r="F93" s="81">
        <f>IFERROR(INDEX(Service_List!$65:65,1,$B$28),0)</f>
        <v/>
      </c>
      <c r="G93" s="81">
        <f>IFERROR(INDEX(Service_List!$65:65,1,$B$29),0)</f>
        <v/>
      </c>
      <c r="H93" s="81">
        <f>F93-G93</f>
        <v/>
      </c>
      <c r="I93" s="82">
        <f>IFERROR(H93/G93,0)</f>
        <v/>
      </c>
      <c r="J93" s="79">
        <f>RANK(F93,$F$30:$F$95,0)</f>
        <v/>
      </c>
      <c r="K93" s="81">
        <f>ABS(H93)</f>
        <v/>
      </c>
      <c r="L93" s="79">
        <f>RANK(K93,$K$30:$K$95,0)</f>
        <v/>
      </c>
    </row>
    <row r="94" ht="15" customHeight="1" s="65">
      <c r="E94" s="79">
        <f>Service_List!$A$66</f>
        <v/>
      </c>
      <c r="F94" s="81">
        <f>IFERROR(INDEX(Service_List!$66:66,1,$B$28),0)</f>
        <v/>
      </c>
      <c r="G94" s="81">
        <f>IFERROR(INDEX(Service_List!$66:66,1,$B$29),0)</f>
        <v/>
      </c>
      <c r="H94" s="81">
        <f>F94-G94</f>
        <v/>
      </c>
      <c r="I94" s="82">
        <f>IFERROR(H94/G94,0)</f>
        <v/>
      </c>
      <c r="J94" s="79">
        <f>RANK(F94,$F$30:$F$95,0)</f>
        <v/>
      </c>
      <c r="K94" s="81">
        <f>ABS(H94)</f>
        <v/>
      </c>
      <c r="L94" s="79">
        <f>RANK(K94,$K$30:$K$95,0)</f>
        <v/>
      </c>
    </row>
    <row r="95" ht="15" customHeight="1" s="65">
      <c r="E95" s="79">
        <f>Service_List!$A$67</f>
        <v/>
      </c>
      <c r="F95" s="81">
        <f>IFERROR(INDEX(Service_List!$67:67,1,$B$28),0)</f>
        <v/>
      </c>
      <c r="G95" s="81">
        <f>IFERROR(INDEX(Service_List!$67:67,1,$B$29),0)</f>
        <v/>
      </c>
      <c r="H95" s="81">
        <f>F95-G95</f>
        <v/>
      </c>
      <c r="I95" s="82">
        <f>IFERROR(H95/G95,0)</f>
        <v/>
      </c>
      <c r="J95" s="79">
        <f>RANK(F95,$F$30:$F$95,0)</f>
        <v/>
      </c>
      <c r="K95" s="81">
        <f>ABS(H95)</f>
        <v/>
      </c>
      <c r="L95" s="79">
        <f>RANK(K95,$K$30:$K$95,0)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AP3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.51" customWidth="1" style="64" min="1" max="1"/>
    <col width="3" customWidth="1" style="64" min="2" max="2"/>
    <col width="16" customWidth="1" style="64" min="3" max="3"/>
    <col width="3" customWidth="1" style="64" min="4" max="4"/>
    <col width="16" customWidth="1" style="64" min="5" max="5"/>
    <col width="3" customWidth="1" style="64" min="6" max="6"/>
    <col width="16" customWidth="1" style="64" min="7" max="7"/>
    <col width="3" customWidth="1" style="64" min="8" max="8"/>
    <col width="16" customWidth="1" style="64" min="9" max="9"/>
    <col width="3" customWidth="1" style="64" min="10" max="10"/>
    <col width="16" customWidth="1" style="64" min="11" max="11"/>
    <col width="3" customWidth="1" style="64" min="12" max="12"/>
    <col width="16" customWidth="1" style="64" min="13" max="13"/>
    <col width="3" customWidth="1" style="64" min="14" max="14"/>
    <col width="16" customWidth="1" style="64" min="15" max="15"/>
    <col width="3" customWidth="1" style="64" min="16" max="16"/>
    <col width="16" customWidth="1" style="64" min="17" max="17"/>
    <col width="3" customWidth="1" style="64" min="18" max="18"/>
    <col width="16" customWidth="1" style="64" min="19" max="19"/>
    <col width="3" customWidth="1" style="64" min="20" max="20"/>
    <col width="16" customWidth="1" style="64" min="21" max="21"/>
    <col width="3" customWidth="1" style="64" min="22" max="22"/>
    <col width="16" customWidth="1" style="64" min="23" max="23"/>
    <col width="3" customWidth="1" style="64" min="24" max="24"/>
    <col width="16" customWidth="1" style="64" min="25" max="25"/>
    <col width="3" customWidth="1" style="64" min="26" max="26"/>
    <col width="30" customWidth="1" style="64" min="28" max="28"/>
    <col width="13" customWidth="1" style="64" min="29" max="47"/>
  </cols>
  <sheetData>
    <row r="1" ht="39.75" customHeight="1" s="65">
      <c r="A1" s="83" t="inlineStr">
        <is>
          <t>☁  AWS Cost Explorer — Interactive Cost Dashboard</t>
        </is>
      </c>
      <c r="AA1" s="84" t="n"/>
      <c r="AB1" s="84" t="n"/>
      <c r="AC1" s="84" t="n"/>
      <c r="AD1" s="84" t="n"/>
      <c r="AE1" s="84" t="n"/>
      <c r="AF1" s="84" t="n"/>
      <c r="AG1" s="84" t="n"/>
      <c r="AH1" s="84" t="n"/>
      <c r="AI1" s="84" t="n"/>
      <c r="AJ1" s="84" t="n"/>
      <c r="AK1" s="84" t="n"/>
      <c r="AL1" s="84" t="n"/>
      <c r="AM1" s="84" t="n"/>
      <c r="AN1" s="84" t="n"/>
      <c r="AO1" s="84" t="n"/>
      <c r="AP1" s="84" t="n"/>
    </row>
    <row r="2" ht="18" customHeight="1" s="65">
      <c r="A2" s="85" t="inlineStr">
        <is>
          <t>Live formulas throughout — paste CSVs → Cmd+Option+F9 → all data, charts &amp; KPIs update</t>
        </is>
      </c>
      <c r="AA2" s="84" t="n"/>
      <c r="AB2" s="84" t="inlineStr">
        <is>
          <t>Service</t>
        </is>
      </c>
      <c r="AC2" s="84" t="inlineStr">
        <is>
          <t>Current($)</t>
        </is>
      </c>
      <c r="AD2" s="84" t="inlineStr">
        <is>
          <t>Prior($)</t>
        </is>
      </c>
      <c r="AE2" s="84" t="n"/>
      <c r="AF2" s="84" t="n"/>
      <c r="AG2" s="84" t="n"/>
      <c r="AH2" s="84" t="n"/>
      <c r="AI2" s="84" t="n"/>
      <c r="AJ2" s="84" t="n"/>
      <c r="AK2" s="84" t="n"/>
      <c r="AL2" s="84" t="n"/>
      <c r="AM2" s="84" t="n"/>
      <c r="AN2" s="84" t="n"/>
      <c r="AO2" s="84" t="n"/>
      <c r="AP2" s="84" t="n"/>
    </row>
    <row r="3" ht="7.5" customHeight="1" s="65">
      <c r="A3" s="84" t="n"/>
      <c r="B3" s="84" t="n"/>
      <c r="C3" s="84" t="n"/>
      <c r="D3" s="84" t="n"/>
      <c r="E3" s="84" t="n"/>
      <c r="F3" s="84" t="n"/>
      <c r="G3" s="84" t="n"/>
      <c r="H3" s="84" t="n"/>
      <c r="I3" s="84" t="n"/>
      <c r="J3" s="84" t="n"/>
      <c r="K3" s="84" t="n"/>
      <c r="L3" s="84" t="n"/>
      <c r="M3" s="84" t="n"/>
      <c r="N3" s="84" t="n"/>
      <c r="O3" s="84" t="n"/>
      <c r="P3" s="84" t="n"/>
      <c r="Q3" s="84" t="n"/>
      <c r="R3" s="84" t="n"/>
      <c r="S3" s="84" t="n"/>
      <c r="T3" s="84" t="n"/>
      <c r="U3" s="84" t="n"/>
      <c r="V3" s="84" t="n"/>
      <c r="W3" s="84" t="n"/>
      <c r="X3" s="84" t="n"/>
      <c r="Y3" s="84" t="n"/>
      <c r="Z3" s="84" t="n"/>
      <c r="AA3" s="84" t="n"/>
      <c r="AB3" s="86">
        <f>Chart_Engine!O30</f>
        <v/>
      </c>
      <c r="AC3" s="87">
        <f>Chart_Engine!P30</f>
        <v/>
      </c>
      <c r="AD3" s="87">
        <f>Chart_Engine!Q30</f>
        <v/>
      </c>
      <c r="AE3" s="84" t="n"/>
      <c r="AF3" s="84" t="n"/>
      <c r="AG3" s="84" t="n"/>
      <c r="AH3" s="84" t="n"/>
      <c r="AI3" s="84" t="n"/>
      <c r="AJ3" s="84" t="n"/>
      <c r="AK3" s="84" t="n"/>
      <c r="AL3" s="84" t="n"/>
      <c r="AM3" s="84" t="n"/>
      <c r="AN3" s="84" t="n"/>
      <c r="AO3" s="84" t="n"/>
      <c r="AP3" s="84" t="n"/>
    </row>
    <row r="4" ht="21.75" customHeight="1" s="65">
      <c r="A4" s="84" t="n"/>
      <c r="B4" s="88" t="inlineStr">
        <is>
          <t xml:space="preserve">  🎛  FILTERS — Select below, then press Cmd+Option+F9 (Mac) or Ctrl+Alt+F5 (Windows)</t>
        </is>
      </c>
      <c r="AA4" s="84" t="n"/>
      <c r="AB4" s="86">
        <f>Chart_Engine!O31</f>
        <v/>
      </c>
      <c r="AC4" s="87">
        <f>Chart_Engine!P31</f>
        <v/>
      </c>
      <c r="AD4" s="87">
        <f>Chart_Engine!Q31</f>
        <v/>
      </c>
      <c r="AE4" s="84" t="n"/>
      <c r="AF4" s="84" t="n"/>
      <c r="AG4" s="84" t="n"/>
      <c r="AH4" s="84" t="n"/>
      <c r="AI4" s="84" t="n"/>
      <c r="AJ4" s="84" t="n"/>
      <c r="AK4" s="84" t="n"/>
      <c r="AL4" s="84" t="n"/>
      <c r="AM4" s="84" t="n"/>
      <c r="AN4" s="84" t="n"/>
      <c r="AO4" s="84" t="n"/>
      <c r="AP4" s="84" t="n"/>
    </row>
    <row r="5" ht="25.5" customHeight="1" s="65">
      <c r="A5" s="84" t="n"/>
      <c r="B5" s="89" t="inlineStr">
        <is>
          <t>Account</t>
        </is>
      </c>
      <c r="E5" s="90" t="inlineStr">
        <is>
          <t>Acct1</t>
        </is>
      </c>
      <c r="F5" s="84" t="n"/>
      <c r="G5" s="89" t="inlineStr">
        <is>
          <t>Current Month</t>
        </is>
      </c>
      <c r="J5" s="84" t="n"/>
      <c r="K5" s="91" t="n">
        <v>46023</v>
      </c>
      <c r="L5" s="84" t="n"/>
      <c r="M5" s="89" t="inlineStr">
        <is>
          <t>Prior Month</t>
        </is>
      </c>
      <c r="P5" s="84" t="n"/>
      <c r="Q5" s="91" t="n">
        <v>45992</v>
      </c>
      <c r="R5" s="84" t="n"/>
      <c r="S5" s="89" t="inlineStr">
        <is>
          <t>Top N</t>
        </is>
      </c>
      <c r="V5" s="84" t="n"/>
      <c r="W5" s="90" t="inlineStr">
        <is>
          <t>10</t>
        </is>
      </c>
      <c r="X5" s="84" t="n"/>
      <c r="Y5" s="84" t="n"/>
      <c r="Z5" s="84" t="n"/>
      <c r="AA5" s="84" t="n"/>
      <c r="AB5" s="86">
        <f>Chart_Engine!O32</f>
        <v/>
      </c>
      <c r="AC5" s="87">
        <f>Chart_Engine!P32</f>
        <v/>
      </c>
      <c r="AD5" s="87">
        <f>Chart_Engine!Q32</f>
        <v/>
      </c>
      <c r="AE5" s="84" t="n"/>
      <c r="AF5" s="84" t="n"/>
      <c r="AG5" s="84" t="n"/>
      <c r="AH5" s="84" t="n"/>
      <c r="AI5" s="84" t="n"/>
      <c r="AJ5" s="84" t="n"/>
      <c r="AK5" s="84" t="n"/>
      <c r="AL5" s="84" t="n"/>
      <c r="AM5" s="84" t="n"/>
      <c r="AN5" s="84" t="n"/>
      <c r="AO5" s="84" t="n"/>
      <c r="AP5" s="84" t="n"/>
    </row>
    <row r="6" ht="9.75" customHeight="1" s="65">
      <c r="A6" s="84" t="n"/>
      <c r="B6" s="84" t="n"/>
      <c r="C6" s="84" t="n"/>
      <c r="D6" s="84" t="n"/>
      <c r="E6" s="84" t="n"/>
      <c r="F6" s="84" t="n"/>
      <c r="G6" s="84" t="n"/>
      <c r="H6" s="84" t="n"/>
      <c r="I6" s="84" t="n"/>
      <c r="J6" s="84" t="n"/>
      <c r="K6" s="84" t="n"/>
      <c r="L6" s="84" t="n"/>
      <c r="M6" s="84" t="n"/>
      <c r="N6" s="84" t="n"/>
      <c r="O6" s="84" t="n"/>
      <c r="P6" s="84" t="n"/>
      <c r="Q6" s="84" t="n"/>
      <c r="R6" s="84" t="n"/>
      <c r="S6" s="84" t="n"/>
      <c r="T6" s="84" t="n"/>
      <c r="U6" s="84" t="n"/>
      <c r="V6" s="84" t="n"/>
      <c r="W6" s="84" t="n"/>
      <c r="X6" s="84" t="n"/>
      <c r="Y6" s="84" t="n"/>
      <c r="Z6" s="84" t="n"/>
      <c r="AA6" s="84" t="n"/>
      <c r="AB6" s="86">
        <f>Chart_Engine!O33</f>
        <v/>
      </c>
      <c r="AC6" s="87">
        <f>Chart_Engine!P33</f>
        <v/>
      </c>
      <c r="AD6" s="87">
        <f>Chart_Engine!Q33</f>
        <v/>
      </c>
      <c r="AE6" s="84" t="n"/>
      <c r="AF6" s="84" t="n"/>
      <c r="AG6" s="84" t="n"/>
      <c r="AH6" s="84" t="n"/>
      <c r="AI6" s="84" t="n"/>
      <c r="AJ6" s="84" t="n"/>
      <c r="AK6" s="84" t="n"/>
      <c r="AL6" s="84" t="n"/>
      <c r="AM6" s="84" t="n"/>
      <c r="AN6" s="84" t="n"/>
      <c r="AO6" s="84" t="n"/>
      <c r="AP6" s="84" t="n"/>
    </row>
    <row r="7" ht="9.75" customHeight="1" s="65">
      <c r="A7" s="84" t="n"/>
      <c r="B7" s="84" t="n"/>
      <c r="C7" s="84" t="n"/>
      <c r="D7" s="84" t="n"/>
      <c r="E7" s="84" t="n"/>
      <c r="F7" s="84" t="n"/>
      <c r="G7" s="84" t="n"/>
      <c r="H7" s="84" t="n"/>
      <c r="I7" s="84" t="n"/>
      <c r="J7" s="84" t="n"/>
      <c r="K7" s="84" t="n"/>
      <c r="L7" s="84" t="n"/>
      <c r="M7" s="84" t="n"/>
      <c r="N7" s="84" t="n"/>
      <c r="O7" s="84" t="n"/>
      <c r="P7" s="84" t="n"/>
      <c r="Q7" s="84" t="n"/>
      <c r="R7" s="84" t="n"/>
      <c r="S7" s="84" t="n"/>
      <c r="T7" s="84" t="n"/>
      <c r="U7" s="84" t="n"/>
      <c r="V7" s="84" t="n"/>
      <c r="W7" s="84" t="n"/>
      <c r="X7" s="84" t="n"/>
      <c r="Y7" s="84" t="n"/>
      <c r="Z7" s="84" t="n"/>
      <c r="AA7" s="84" t="n"/>
      <c r="AB7" s="86">
        <f>Chart_Engine!O34</f>
        <v/>
      </c>
      <c r="AC7" s="87">
        <f>Chart_Engine!P34</f>
        <v/>
      </c>
      <c r="AD7" s="87">
        <f>Chart_Engine!Q34</f>
        <v/>
      </c>
      <c r="AE7" s="84" t="n"/>
      <c r="AF7" s="84" t="n"/>
      <c r="AG7" s="84" t="n"/>
      <c r="AH7" s="84" t="n"/>
      <c r="AI7" s="84" t="n"/>
      <c r="AJ7" s="84" t="n"/>
      <c r="AK7" s="84" t="n"/>
      <c r="AL7" s="84" t="n"/>
      <c r="AM7" s="84" t="n"/>
      <c r="AN7" s="84" t="n"/>
      <c r="AO7" s="84" t="n"/>
      <c r="AP7" s="84" t="n"/>
    </row>
    <row r="8" ht="18" customHeight="1" s="65">
      <c r="A8" s="84" t="n"/>
      <c r="B8" s="92" t="inlineStr">
        <is>
          <t>Current Month Total</t>
        </is>
      </c>
      <c r="F8" s="84" t="n"/>
      <c r="G8" s="93" t="inlineStr">
        <is>
          <t>Prior Month Total</t>
        </is>
      </c>
      <c r="K8" s="84" t="n"/>
      <c r="L8" s="94" t="inlineStr">
        <is>
          <t>MoM Change ($)</t>
        </is>
      </c>
      <c r="P8" s="84" t="n"/>
      <c r="Q8" s="95" t="inlineStr">
        <is>
          <t>MoM Change (%)</t>
        </is>
      </c>
      <c r="U8" s="84" t="n"/>
      <c r="V8" s="92" t="inlineStr">
        <is>
          <t>Services Tracked</t>
        </is>
      </c>
      <c r="Z8" s="84" t="n"/>
      <c r="AA8" s="84" t="n"/>
      <c r="AB8" s="86">
        <f>Chart_Engine!O35</f>
        <v/>
      </c>
      <c r="AC8" s="87">
        <f>Chart_Engine!P35</f>
        <v/>
      </c>
      <c r="AD8" s="87">
        <f>Chart_Engine!Q35</f>
        <v/>
      </c>
      <c r="AE8" s="84" t="n"/>
      <c r="AF8" s="84" t="n"/>
      <c r="AG8" s="84" t="n"/>
      <c r="AH8" s="84" t="n"/>
      <c r="AI8" s="84" t="n"/>
      <c r="AJ8" s="84" t="n"/>
      <c r="AK8" s="84" t="n"/>
      <c r="AL8" s="84" t="n"/>
      <c r="AM8" s="84" t="n"/>
      <c r="AN8" s="84" t="n"/>
      <c r="AO8" s="84" t="n"/>
      <c r="AP8" s="84" t="n"/>
    </row>
    <row r="9" ht="36" customHeight="1" s="65">
      <c r="A9" s="84" t="n"/>
      <c r="B9" s="96">
        <f>IF($E$5="Acct1",SUMPRODUCT((Acct1_Raw!$A$3:$A$26=$K$5)*Acct1_Raw!$B$3:$BO$26),IF($E$5="Acct2",SUMPRODUCT((Acct2_Raw!$A$3:$A$26=$K$5)*Acct2_Raw!$B$3:$BO$26),SUMPRODUCT((Acct1_Raw!$A$3:$A$26=$K$5)*Acct1_Raw!$B$3:$BO$26)+SUMPRODUCT((Acct2_Raw!$A$3:$A$26=$K$5)*Acct2_Raw!$B$3:$BO$26)))</f>
        <v/>
      </c>
      <c r="F9" s="84" t="n"/>
      <c r="G9" s="97">
        <f>IF($E$5="Acct1",SUMPRODUCT((Acct1_Raw!$A$3:$A$26=$Q$5)*Acct1_Raw!$B$3:$BO$26),IF($E$5="Acct2",SUMPRODUCT((Acct2_Raw!$A$3:$A$26=$Q$5)*Acct2_Raw!$B$3:$BO$26),SUMPRODUCT((Acct1_Raw!$A$3:$A$26=$Q$5)*Acct1_Raw!$B$3:$BO$26)+SUMPRODUCT((Acct2_Raw!$A$3:$A$26=$Q$5)*Acct2_Raw!$B$3:$BO$26)))</f>
        <v/>
      </c>
      <c r="K9" s="84" t="n"/>
      <c r="L9" s="98">
        <f>B9-G9</f>
        <v/>
      </c>
      <c r="P9" s="84" t="n"/>
      <c r="Q9" s="99">
        <f>IFERROR((B9-G9)/G9,0)</f>
        <v/>
      </c>
      <c r="U9" s="84" t="n"/>
      <c r="V9" s="100">
        <f>66</f>
        <v/>
      </c>
      <c r="Z9" s="84" t="n"/>
      <c r="AA9" s="84" t="n"/>
      <c r="AB9" s="86">
        <f>Chart_Engine!O36</f>
        <v/>
      </c>
      <c r="AC9" s="87">
        <f>Chart_Engine!P36</f>
        <v/>
      </c>
      <c r="AD9" s="87">
        <f>Chart_Engine!Q36</f>
        <v/>
      </c>
      <c r="AE9" s="84" t="n"/>
      <c r="AF9" s="84" t="n"/>
      <c r="AG9" s="84" t="n"/>
      <c r="AH9" s="84" t="n"/>
      <c r="AI9" s="84" t="n"/>
      <c r="AJ9" s="84" t="n"/>
      <c r="AK9" s="84" t="n"/>
      <c r="AL9" s="84" t="n"/>
      <c r="AM9" s="84" t="n"/>
      <c r="AN9" s="84" t="n"/>
      <c r="AO9" s="84" t="n"/>
      <c r="AP9" s="84" t="n"/>
    </row>
    <row r="10" ht="15.75" customHeight="1" s="65">
      <c r="A10" s="84" t="n"/>
      <c r="B10" s="101">
        <f>TEXT($K$5,"mmm-yy")&amp;"  |  "&amp;$E$5</f>
        <v/>
      </c>
      <c r="F10" s="84" t="n"/>
      <c r="G10" s="102">
        <f>TEXT($Q$5,"mmm-yy")&amp;"  |  "&amp;$E$5</f>
        <v/>
      </c>
      <c r="K10" s="84" t="n"/>
      <c r="L10" s="103" t="inlineStr">
        <is>
          <t>"vs Prior Month"</t>
        </is>
      </c>
      <c r="P10" s="84" t="n"/>
      <c r="Q10" s="104" t="inlineStr">
        <is>
          <t>"vs Prior Month"</t>
        </is>
      </c>
      <c r="U10" s="84" t="n"/>
      <c r="V10" s="101" t="inlineStr">
        <is>
          <t>"Both accounts combined"</t>
        </is>
      </c>
      <c r="Z10" s="84" t="n"/>
      <c r="AA10" s="84" t="n"/>
      <c r="AB10" s="86">
        <f>Chart_Engine!O37</f>
        <v/>
      </c>
      <c r="AC10" s="87">
        <f>Chart_Engine!P37</f>
        <v/>
      </c>
      <c r="AD10" s="87">
        <f>Chart_Engine!Q37</f>
        <v/>
      </c>
      <c r="AE10" s="84" t="n"/>
      <c r="AF10" s="84" t="n"/>
      <c r="AG10" s="84" t="n"/>
      <c r="AH10" s="84" t="n"/>
      <c r="AI10" s="84" t="n"/>
      <c r="AJ10" s="84" t="n"/>
      <c r="AK10" s="84" t="n"/>
      <c r="AL10" s="84" t="n"/>
      <c r="AM10" s="84" t="n"/>
      <c r="AN10" s="84" t="n"/>
      <c r="AO10" s="84" t="n"/>
      <c r="AP10" s="84" t="n"/>
    </row>
    <row r="11" ht="9.75" customHeight="1" s="65">
      <c r="A11" s="84" t="n"/>
      <c r="B11" s="84" t="n"/>
      <c r="C11" s="84" t="n"/>
      <c r="D11" s="84" t="n"/>
      <c r="E11" s="84" t="n"/>
      <c r="F11" s="84" t="n"/>
      <c r="G11" s="84" t="n"/>
      <c r="H11" s="84" t="n"/>
      <c r="I11" s="84" t="n"/>
      <c r="J11" s="84" t="n"/>
      <c r="K11" s="84" t="n"/>
      <c r="L11" s="84" t="n"/>
      <c r="M11" s="84" t="n"/>
      <c r="N11" s="84" t="n"/>
      <c r="O11" s="84" t="n"/>
      <c r="P11" s="84" t="n"/>
      <c r="Q11" s="84" t="n"/>
      <c r="R11" s="84" t="n"/>
      <c r="S11" s="84" t="n"/>
      <c r="T11" s="84" t="n"/>
      <c r="U11" s="84" t="n"/>
      <c r="V11" s="84" t="n"/>
      <c r="W11" s="84" t="n"/>
      <c r="X11" s="84" t="n"/>
      <c r="Y11" s="84" t="n"/>
      <c r="Z11" s="84" t="n"/>
      <c r="AA11" s="84" t="n"/>
      <c r="AB11" s="86">
        <f>Chart_Engine!O38</f>
        <v/>
      </c>
      <c r="AC11" s="87">
        <f>Chart_Engine!P38</f>
        <v/>
      </c>
      <c r="AD11" s="87">
        <f>Chart_Engine!Q38</f>
        <v/>
      </c>
      <c r="AE11" s="84" t="n"/>
      <c r="AF11" s="84" t="n"/>
      <c r="AG11" s="84" t="n"/>
      <c r="AH11" s="84" t="n"/>
      <c r="AI11" s="84" t="n"/>
      <c r="AJ11" s="84" t="n"/>
      <c r="AK11" s="84" t="n"/>
      <c r="AL11" s="84" t="n"/>
      <c r="AM11" s="84" t="n"/>
      <c r="AN11" s="84" t="n"/>
      <c r="AO11" s="84" t="n"/>
      <c r="AP11" s="84" t="n"/>
    </row>
    <row r="12" ht="21.75" customHeight="1" s="65">
      <c r="A12" s="84" t="n"/>
      <c r="B12" s="105" t="inlineStr">
        <is>
          <t>📊  Chart 1 of 5: Top N Services by Current Month Cost  (Account &amp; Month from filters)</t>
        </is>
      </c>
      <c r="Z12" s="84" t="n"/>
      <c r="AA12" s="84" t="n"/>
      <c r="AB12" s="86">
        <f>Chart_Engine!O39</f>
        <v/>
      </c>
      <c r="AC12" s="87">
        <f>Chart_Engine!P39</f>
        <v/>
      </c>
      <c r="AD12" s="87">
        <f>Chart_Engine!Q39</f>
        <v/>
      </c>
      <c r="AE12" s="84" t="n"/>
      <c r="AF12" s="84" t="n"/>
      <c r="AG12" s="84" t="n"/>
      <c r="AH12" s="84" t="n"/>
      <c r="AI12" s="84" t="n"/>
      <c r="AJ12" s="84" t="n"/>
      <c r="AK12" s="84" t="n"/>
      <c r="AL12" s="84" t="n"/>
      <c r="AM12" s="84" t="n"/>
      <c r="AN12" s="84" t="n"/>
      <c r="AO12" s="84" t="n"/>
      <c r="AP12" s="84" t="n"/>
    </row>
    <row r="13" ht="19.5" customHeight="1" s="65">
      <c r="A13" s="84" t="n"/>
      <c r="B13" s="93" t="inlineStr">
        <is>
          <t>#</t>
        </is>
      </c>
      <c r="C13" s="93" t="inlineStr">
        <is>
          <t>Service</t>
        </is>
      </c>
      <c r="F13" s="93" t="inlineStr">
        <is>
          <t>Current ($)</t>
        </is>
      </c>
      <c r="H13" s="93" t="inlineStr">
        <is>
          <t>Prior ($)</t>
        </is>
      </c>
      <c r="J13" s="93" t="inlineStr">
        <is>
          <t>MoM Δ ($)</t>
        </is>
      </c>
      <c r="L13" s="93" t="inlineStr">
        <is>
          <t>MoM Δ %</t>
        </is>
      </c>
      <c r="N13" s="84" t="n"/>
      <c r="O13" s="84" t="n"/>
      <c r="P13" s="84" t="n"/>
      <c r="Q13" s="84" t="n"/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  <c r="AA13" s="84" t="n"/>
      <c r="AB13" s="86">
        <f>Chart_Engine!O40</f>
        <v/>
      </c>
      <c r="AC13" s="87">
        <f>Chart_Engine!P40</f>
        <v/>
      </c>
      <c r="AD13" s="87">
        <f>Chart_Engine!Q40</f>
        <v/>
      </c>
      <c r="AE13" s="84" t="n"/>
      <c r="AF13" s="84" t="n"/>
      <c r="AG13" s="84" t="n"/>
      <c r="AH13" s="84" t="n"/>
      <c r="AI13" s="84" t="n"/>
      <c r="AJ13" s="84" t="n"/>
      <c r="AK13" s="84" t="n"/>
      <c r="AL13" s="84" t="n"/>
      <c r="AM13" s="84" t="n"/>
      <c r="AN13" s="84" t="n"/>
      <c r="AO13" s="84" t="n"/>
      <c r="AP13" s="84" t="n"/>
    </row>
    <row r="14" ht="15" customHeight="1" s="65">
      <c r="A14" s="84" t="n"/>
      <c r="B14" s="106" t="n">
        <v>1</v>
      </c>
      <c r="C14" s="107">
        <f>IF(1&lt;=Dashboard!$W$5,Chart_Engine!O30,"")</f>
        <v/>
      </c>
      <c r="F14" s="108">
        <f>IF(1&lt;=Dashboard!$W$5,Chart_Engine!P30,0)</f>
        <v/>
      </c>
      <c r="H14" s="108">
        <f>IF(1&lt;=Dashboard!$W$5,Chart_Engine!Q30,0)</f>
        <v/>
      </c>
      <c r="J14" s="109">
        <f>IF(1&lt;=Dashboard!$W$5,Chart_Engine!R30,0)</f>
        <v/>
      </c>
      <c r="L14" s="110">
        <f>IF(1&lt;=Dashboard!$W$5,Chart_Engine!S30,0)</f>
        <v/>
      </c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6">
        <f>Chart_Engine!O41</f>
        <v/>
      </c>
      <c r="AC14" s="87">
        <f>Chart_Engine!P41</f>
        <v/>
      </c>
      <c r="AD14" s="87">
        <f>Chart_Engine!Q41</f>
        <v/>
      </c>
      <c r="AE14" s="84" t="n"/>
      <c r="AF14" s="84" t="n"/>
      <c r="AG14" s="84" t="n"/>
      <c r="AH14" s="84" t="n"/>
      <c r="AI14" s="84" t="n"/>
      <c r="AJ14" s="84" t="n"/>
      <c r="AK14" s="84" t="n"/>
      <c r="AL14" s="84" t="n"/>
      <c r="AM14" s="84" t="n"/>
      <c r="AN14" s="84" t="n"/>
      <c r="AO14" s="84" t="n"/>
      <c r="AP14" s="84" t="n"/>
    </row>
    <row r="15" ht="15" customHeight="1" s="65">
      <c r="A15" s="84" t="n"/>
      <c r="B15" s="111" t="n">
        <v>2</v>
      </c>
      <c r="C15" s="112">
        <f>IF(2&lt;=Dashboard!$W$5,Chart_Engine!O31,"")</f>
        <v/>
      </c>
      <c r="F15" s="113">
        <f>IF(2&lt;=Dashboard!$W$5,Chart_Engine!P31,0)</f>
        <v/>
      </c>
      <c r="H15" s="113">
        <f>IF(2&lt;=Dashboard!$W$5,Chart_Engine!Q31,0)</f>
        <v/>
      </c>
      <c r="J15" s="114">
        <f>IF(2&lt;=Dashboard!$W$5,Chart_Engine!R31,0)</f>
        <v/>
      </c>
      <c r="L15" s="115">
        <f>IF(2&lt;=Dashboard!$W$5,Chart_Engine!S31,0)</f>
        <v/>
      </c>
      <c r="N15" s="84" t="n"/>
      <c r="O15" s="84" t="n"/>
      <c r="P15" s="84" t="n"/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  <c r="AA15" s="84" t="n"/>
      <c r="AB15" s="86">
        <f>Chart_Engine!O42</f>
        <v/>
      </c>
      <c r="AC15" s="87">
        <f>Chart_Engine!P42</f>
        <v/>
      </c>
      <c r="AD15" s="87">
        <f>Chart_Engine!Q42</f>
        <v/>
      </c>
      <c r="AE15" s="84" t="n"/>
      <c r="AF15" s="84" t="n"/>
      <c r="AG15" s="84" t="n"/>
      <c r="AH15" s="84" t="n"/>
      <c r="AI15" s="84" t="n"/>
      <c r="AJ15" s="84" t="n"/>
      <c r="AK15" s="84" t="n"/>
      <c r="AL15" s="84" t="n"/>
      <c r="AM15" s="84" t="n"/>
      <c r="AN15" s="84" t="n"/>
      <c r="AO15" s="84" t="n"/>
      <c r="AP15" s="84" t="n"/>
    </row>
    <row r="16" ht="15" customHeight="1" s="65">
      <c r="A16" s="84" t="n"/>
      <c r="B16" s="106" t="n">
        <v>3</v>
      </c>
      <c r="C16" s="107">
        <f>IF(3&lt;=Dashboard!$W$5,Chart_Engine!O32,"")</f>
        <v/>
      </c>
      <c r="F16" s="108">
        <f>IF(3&lt;=Dashboard!$W$5,Chart_Engine!P32,0)</f>
        <v/>
      </c>
      <c r="H16" s="108">
        <f>IF(3&lt;=Dashboard!$W$5,Chart_Engine!Q32,0)</f>
        <v/>
      </c>
      <c r="J16" s="109">
        <f>IF(3&lt;=Dashboard!$W$5,Chart_Engine!R32,0)</f>
        <v/>
      </c>
      <c r="L16" s="110">
        <f>IF(3&lt;=Dashboard!$W$5,Chart_Engine!S32,0)</f>
        <v/>
      </c>
      <c r="N16" s="84" t="n"/>
      <c r="O16" s="84" t="n"/>
      <c r="P16" s="84" t="n"/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  <c r="AA16" s="84" t="n"/>
      <c r="AB16" s="86">
        <f>Chart_Engine!O43</f>
        <v/>
      </c>
      <c r="AC16" s="87">
        <f>Chart_Engine!P43</f>
        <v/>
      </c>
      <c r="AD16" s="87">
        <f>Chart_Engine!Q43</f>
        <v/>
      </c>
      <c r="AE16" s="84" t="n"/>
      <c r="AF16" s="84" t="n"/>
      <c r="AG16" s="84" t="n"/>
      <c r="AH16" s="84" t="n"/>
      <c r="AI16" s="84" t="n"/>
      <c r="AJ16" s="84" t="n"/>
      <c r="AK16" s="84" t="n"/>
      <c r="AL16" s="84" t="n"/>
      <c r="AM16" s="84" t="n"/>
      <c r="AN16" s="84" t="n"/>
      <c r="AO16" s="84" t="n"/>
      <c r="AP16" s="84" t="n"/>
    </row>
    <row r="17" ht="15" customHeight="1" s="65">
      <c r="A17" s="84" t="n"/>
      <c r="B17" s="111" t="n">
        <v>4</v>
      </c>
      <c r="C17" s="112">
        <f>IF(4&lt;=Dashboard!$W$5,Chart_Engine!O33,"")</f>
        <v/>
      </c>
      <c r="F17" s="113">
        <f>IF(4&lt;=Dashboard!$W$5,Chart_Engine!P33,0)</f>
        <v/>
      </c>
      <c r="H17" s="113">
        <f>IF(4&lt;=Dashboard!$W$5,Chart_Engine!Q33,0)</f>
        <v/>
      </c>
      <c r="J17" s="114">
        <f>IF(4&lt;=Dashboard!$W$5,Chart_Engine!R33,0)</f>
        <v/>
      </c>
      <c r="L17" s="115">
        <f>IF(4&lt;=Dashboard!$W$5,Chart_Engine!S33,0)</f>
        <v/>
      </c>
      <c r="N17" s="84" t="n"/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84" t="n"/>
      <c r="AB17" s="86">
        <f>Chart_Engine!O44</f>
        <v/>
      </c>
      <c r="AC17" s="87">
        <f>Chart_Engine!P44</f>
        <v/>
      </c>
      <c r="AD17" s="87">
        <f>Chart_Engine!Q44</f>
        <v/>
      </c>
      <c r="AE17" s="84" t="n"/>
      <c r="AF17" s="84" t="n"/>
      <c r="AG17" s="84" t="n"/>
      <c r="AH17" s="84" t="n"/>
      <c r="AI17" s="84" t="n"/>
      <c r="AJ17" s="84" t="n"/>
      <c r="AK17" s="84" t="n"/>
      <c r="AL17" s="84" t="n"/>
      <c r="AM17" s="84" t="n"/>
      <c r="AN17" s="84" t="n"/>
      <c r="AO17" s="84" t="n"/>
      <c r="AP17" s="84" t="n"/>
    </row>
    <row r="18" ht="15" customHeight="1" s="65">
      <c r="A18" s="84" t="n"/>
      <c r="B18" s="106" t="n">
        <v>5</v>
      </c>
      <c r="C18" s="107">
        <f>IF(5&lt;=Dashboard!$W$5,Chart_Engine!O34,"")</f>
        <v/>
      </c>
      <c r="F18" s="108">
        <f>IF(5&lt;=Dashboard!$W$5,Chart_Engine!P34,0)</f>
        <v/>
      </c>
      <c r="H18" s="108">
        <f>IF(5&lt;=Dashboard!$W$5,Chart_Engine!Q34,0)</f>
        <v/>
      </c>
      <c r="J18" s="109">
        <f>IF(5&lt;=Dashboard!$W$5,Chart_Engine!R34,0)</f>
        <v/>
      </c>
      <c r="L18" s="110">
        <f>IF(5&lt;=Dashboard!$W$5,Chart_Engine!S34,0)</f>
        <v/>
      </c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84" t="n"/>
      <c r="AE18" s="84" t="n"/>
      <c r="AF18" s="84" t="n"/>
      <c r="AG18" s="84" t="n"/>
      <c r="AH18" s="84" t="n"/>
      <c r="AI18" s="84" t="n"/>
      <c r="AJ18" s="84" t="n"/>
      <c r="AK18" s="84" t="n"/>
      <c r="AL18" s="84" t="n"/>
      <c r="AM18" s="84" t="n"/>
      <c r="AN18" s="84" t="n"/>
      <c r="AO18" s="84" t="n"/>
      <c r="AP18" s="84" t="n"/>
    </row>
    <row r="19" ht="15" customHeight="1" s="65">
      <c r="A19" s="84" t="n"/>
      <c r="B19" s="111" t="n">
        <v>6</v>
      </c>
      <c r="C19" s="112">
        <f>IF(6&lt;=Dashboard!$W$5,Chart_Engine!O35,"")</f>
        <v/>
      </c>
      <c r="F19" s="113">
        <f>IF(6&lt;=Dashboard!$W$5,Chart_Engine!P35,0)</f>
        <v/>
      </c>
      <c r="H19" s="113">
        <f>IF(6&lt;=Dashboard!$W$5,Chart_Engine!Q35,0)</f>
        <v/>
      </c>
      <c r="J19" s="114">
        <f>IF(6&lt;=Dashboard!$W$5,Chart_Engine!R35,0)</f>
        <v/>
      </c>
      <c r="L19" s="115">
        <f>IF(6&lt;=Dashboard!$W$5,Chart_Engine!S35,0)</f>
        <v/>
      </c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inlineStr">
        <is>
          <t>Service</t>
        </is>
      </c>
      <c r="AC19" s="84" t="inlineStr">
        <is>
          <t>MoM_D($)</t>
        </is>
      </c>
      <c r="AD19" s="84" t="n"/>
      <c r="AE19" s="84" t="n"/>
      <c r="AF19" s="84" t="n"/>
      <c r="AG19" s="84" t="n"/>
      <c r="AH19" s="84" t="n"/>
      <c r="AI19" s="84" t="n"/>
      <c r="AJ19" s="84" t="n"/>
      <c r="AK19" s="84" t="n"/>
      <c r="AL19" s="84" t="n"/>
      <c r="AM19" s="84" t="n"/>
      <c r="AN19" s="84" t="n"/>
      <c r="AO19" s="84" t="n"/>
      <c r="AP19" s="84" t="n"/>
    </row>
    <row r="20" ht="15" customHeight="1" s="65">
      <c r="A20" s="84" t="n"/>
      <c r="B20" s="106" t="n">
        <v>7</v>
      </c>
      <c r="C20" s="107">
        <f>IF(7&lt;=Dashboard!$W$5,Chart_Engine!O36,"")</f>
        <v/>
      </c>
      <c r="F20" s="108">
        <f>IF(7&lt;=Dashboard!$W$5,Chart_Engine!P36,0)</f>
        <v/>
      </c>
      <c r="H20" s="108">
        <f>IF(7&lt;=Dashboard!$W$5,Chart_Engine!Q36,0)</f>
        <v/>
      </c>
      <c r="J20" s="109">
        <f>IF(7&lt;=Dashboard!$W$5,Chart_Engine!R36,0)</f>
        <v/>
      </c>
      <c r="L20" s="110">
        <f>IF(7&lt;=Dashboard!$W$5,Chart_Engine!S36,0)</f>
        <v/>
      </c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6">
        <f>Chart_Engine!V30</f>
        <v/>
      </c>
      <c r="AC20" s="87">
        <f>Chart_Engine!Y30</f>
        <v/>
      </c>
      <c r="AD20" s="84" t="n"/>
      <c r="AE20" s="84" t="n"/>
      <c r="AF20" s="84" t="n"/>
      <c r="AG20" s="84" t="n"/>
      <c r="AH20" s="84" t="n"/>
      <c r="AI20" s="84" t="n"/>
      <c r="AJ20" s="84" t="n"/>
      <c r="AK20" s="84" t="n"/>
      <c r="AL20" s="84" t="n"/>
      <c r="AM20" s="84" t="n"/>
      <c r="AN20" s="84" t="n"/>
      <c r="AO20" s="84" t="n"/>
      <c r="AP20" s="84" t="n"/>
    </row>
    <row r="21" ht="15" customHeight="1" s="65">
      <c r="A21" s="84" t="n"/>
      <c r="B21" s="111" t="n">
        <v>8</v>
      </c>
      <c r="C21" s="112">
        <f>IF(8&lt;=Dashboard!$W$5,Chart_Engine!O37,"")</f>
        <v/>
      </c>
      <c r="F21" s="113">
        <f>IF(8&lt;=Dashboard!$W$5,Chart_Engine!P37,0)</f>
        <v/>
      </c>
      <c r="H21" s="113">
        <f>IF(8&lt;=Dashboard!$W$5,Chart_Engine!Q37,0)</f>
        <v/>
      </c>
      <c r="J21" s="114">
        <f>IF(8&lt;=Dashboard!$W$5,Chart_Engine!R37,0)</f>
        <v/>
      </c>
      <c r="L21" s="115">
        <f>IF(8&lt;=Dashboard!$W$5,Chart_Engine!S37,0)</f>
        <v/>
      </c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6">
        <f>Chart_Engine!V31</f>
        <v/>
      </c>
      <c r="AC21" s="87">
        <f>Chart_Engine!Y31</f>
        <v/>
      </c>
      <c r="AD21" s="84" t="n"/>
      <c r="AE21" s="84" t="n"/>
      <c r="AF21" s="84" t="n"/>
      <c r="AG21" s="84" t="n"/>
      <c r="AH21" s="84" t="n"/>
      <c r="AI21" s="84" t="n"/>
      <c r="AJ21" s="84" t="n"/>
      <c r="AK21" s="84" t="n"/>
      <c r="AL21" s="84" t="n"/>
      <c r="AM21" s="84" t="n"/>
      <c r="AN21" s="84" t="n"/>
      <c r="AO21" s="84" t="n"/>
      <c r="AP21" s="84" t="n"/>
    </row>
    <row r="22" ht="15" customHeight="1" s="65">
      <c r="A22" s="84" t="n"/>
      <c r="B22" s="106" t="n">
        <v>9</v>
      </c>
      <c r="C22" s="107">
        <f>IF(9&lt;=Dashboard!$W$5,Chart_Engine!O38,"")</f>
        <v/>
      </c>
      <c r="F22" s="108">
        <f>IF(9&lt;=Dashboard!$W$5,Chart_Engine!P38,0)</f>
        <v/>
      </c>
      <c r="H22" s="108">
        <f>IF(9&lt;=Dashboard!$W$5,Chart_Engine!Q38,0)</f>
        <v/>
      </c>
      <c r="J22" s="109">
        <f>IF(9&lt;=Dashboard!$W$5,Chart_Engine!R38,0)</f>
        <v/>
      </c>
      <c r="L22" s="110">
        <f>IF(9&lt;=Dashboard!$W$5,Chart_Engine!S38,0)</f>
        <v/>
      </c>
      <c r="N22" s="84" t="n"/>
      <c r="O22" s="84" t="n"/>
      <c r="P22" s="84" t="n"/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  <c r="AA22" s="84" t="n"/>
      <c r="AB22" s="86">
        <f>Chart_Engine!V32</f>
        <v/>
      </c>
      <c r="AC22" s="87">
        <f>Chart_Engine!Y32</f>
        <v/>
      </c>
      <c r="AD22" s="84" t="n"/>
      <c r="AE22" s="84" t="n"/>
      <c r="AF22" s="84" t="n"/>
      <c r="AG22" s="84" t="n"/>
      <c r="AH22" s="84" t="n"/>
      <c r="AI22" s="84" t="n"/>
      <c r="AJ22" s="84" t="n"/>
      <c r="AK22" s="84" t="n"/>
      <c r="AL22" s="84" t="n"/>
      <c r="AM22" s="84" t="n"/>
      <c r="AN22" s="84" t="n"/>
      <c r="AO22" s="84" t="n"/>
      <c r="AP22" s="84" t="n"/>
    </row>
    <row r="23" ht="15" customHeight="1" s="65">
      <c r="A23" s="84" t="n"/>
      <c r="B23" s="111" t="n">
        <v>10</v>
      </c>
      <c r="C23" s="112">
        <f>IF(10&lt;=Dashboard!$W$5,Chart_Engine!O39,"")</f>
        <v/>
      </c>
      <c r="F23" s="113">
        <f>IF(10&lt;=Dashboard!$W$5,Chart_Engine!P39,0)</f>
        <v/>
      </c>
      <c r="H23" s="113">
        <f>IF(10&lt;=Dashboard!$W$5,Chart_Engine!Q39,0)</f>
        <v/>
      </c>
      <c r="J23" s="114">
        <f>IF(10&lt;=Dashboard!$W$5,Chart_Engine!R39,0)</f>
        <v/>
      </c>
      <c r="L23" s="115">
        <f>IF(10&lt;=Dashboard!$W$5,Chart_Engine!S39,0)</f>
        <v/>
      </c>
      <c r="N23" s="84" t="n"/>
      <c r="O23" s="84" t="n"/>
      <c r="P23" s="84" t="n"/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  <c r="AA23" s="84" t="n"/>
      <c r="AB23" s="86">
        <f>Chart_Engine!V33</f>
        <v/>
      </c>
      <c r="AC23" s="87">
        <f>Chart_Engine!Y33</f>
        <v/>
      </c>
      <c r="AD23" s="84" t="n"/>
      <c r="AE23" s="84" t="n"/>
      <c r="AF23" s="84" t="n"/>
      <c r="AG23" s="84" t="n"/>
      <c r="AH23" s="84" t="n"/>
      <c r="AI23" s="84" t="n"/>
      <c r="AJ23" s="84" t="n"/>
      <c r="AK23" s="84" t="n"/>
      <c r="AL23" s="84" t="n"/>
      <c r="AM23" s="84" t="n"/>
      <c r="AN23" s="84" t="n"/>
      <c r="AO23" s="84" t="n"/>
      <c r="AP23" s="84" t="n"/>
    </row>
    <row r="24" ht="15" customHeight="1" s="65">
      <c r="A24" s="84" t="n"/>
      <c r="B24" s="106" t="n">
        <v>11</v>
      </c>
      <c r="C24" s="107">
        <f>IF(11&lt;=Dashboard!$W$5,Chart_Engine!O40,"")</f>
        <v/>
      </c>
      <c r="F24" s="108">
        <f>IF(11&lt;=Dashboard!$W$5,Chart_Engine!P40,0)</f>
        <v/>
      </c>
      <c r="H24" s="108">
        <f>IF(11&lt;=Dashboard!$W$5,Chart_Engine!Q40,0)</f>
        <v/>
      </c>
      <c r="J24" s="109">
        <f>IF(11&lt;=Dashboard!$W$5,Chart_Engine!R40,0)</f>
        <v/>
      </c>
      <c r="L24" s="110">
        <f>IF(11&lt;=Dashboard!$W$5,Chart_Engine!S40,0)</f>
        <v/>
      </c>
      <c r="N24" s="84" t="n"/>
      <c r="O24" s="84" t="n"/>
      <c r="P24" s="84" t="n"/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  <c r="AA24" s="84" t="n"/>
      <c r="AB24" s="86">
        <f>Chart_Engine!V34</f>
        <v/>
      </c>
      <c r="AC24" s="87">
        <f>Chart_Engine!Y34</f>
        <v/>
      </c>
      <c r="AD24" s="84" t="n"/>
      <c r="AE24" s="84" t="n"/>
      <c r="AF24" s="84" t="n"/>
      <c r="AG24" s="84" t="n"/>
      <c r="AH24" s="84" t="n"/>
      <c r="AI24" s="84" t="n"/>
      <c r="AJ24" s="84" t="n"/>
      <c r="AK24" s="84" t="n"/>
      <c r="AL24" s="84" t="n"/>
      <c r="AM24" s="84" t="n"/>
      <c r="AN24" s="84" t="n"/>
      <c r="AO24" s="84" t="n"/>
      <c r="AP24" s="84" t="n"/>
    </row>
    <row r="25" ht="15" customHeight="1" s="65">
      <c r="A25" s="84" t="n"/>
      <c r="B25" s="111" t="n">
        <v>12</v>
      </c>
      <c r="C25" s="112">
        <f>IF(12&lt;=Dashboard!$W$5,Chart_Engine!O41,"")</f>
        <v/>
      </c>
      <c r="F25" s="113">
        <f>IF(12&lt;=Dashboard!$W$5,Chart_Engine!P41,0)</f>
        <v/>
      </c>
      <c r="H25" s="113">
        <f>IF(12&lt;=Dashboard!$W$5,Chart_Engine!Q41,0)</f>
        <v/>
      </c>
      <c r="J25" s="114">
        <f>IF(12&lt;=Dashboard!$W$5,Chart_Engine!R41,0)</f>
        <v/>
      </c>
      <c r="L25" s="115">
        <f>IF(12&lt;=Dashboard!$W$5,Chart_Engine!S41,0)</f>
        <v/>
      </c>
      <c r="N25" s="84" t="n"/>
      <c r="O25" s="84" t="n"/>
      <c r="P25" s="84" t="n"/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  <c r="AA25" s="84" t="n"/>
      <c r="AB25" s="86">
        <f>Chart_Engine!V35</f>
        <v/>
      </c>
      <c r="AC25" s="87">
        <f>Chart_Engine!Y35</f>
        <v/>
      </c>
      <c r="AD25" s="84" t="n"/>
      <c r="AE25" s="84" t="n"/>
      <c r="AF25" s="84" t="n"/>
      <c r="AG25" s="84" t="n"/>
      <c r="AH25" s="84" t="n"/>
      <c r="AI25" s="84" t="n"/>
      <c r="AJ25" s="84" t="n"/>
      <c r="AK25" s="84" t="n"/>
      <c r="AL25" s="84" t="n"/>
      <c r="AM25" s="84" t="n"/>
      <c r="AN25" s="84" t="n"/>
      <c r="AO25" s="84" t="n"/>
      <c r="AP25" s="84" t="n"/>
    </row>
    <row r="26" ht="15" customHeight="1" s="65">
      <c r="A26" s="84" t="n"/>
      <c r="B26" s="106" t="n">
        <v>13</v>
      </c>
      <c r="C26" s="107">
        <f>IF(13&lt;=Dashboard!$W$5,Chart_Engine!O42,"")</f>
        <v/>
      </c>
      <c r="F26" s="108">
        <f>IF(13&lt;=Dashboard!$W$5,Chart_Engine!P42,0)</f>
        <v/>
      </c>
      <c r="H26" s="108">
        <f>IF(13&lt;=Dashboard!$W$5,Chart_Engine!Q42,0)</f>
        <v/>
      </c>
      <c r="J26" s="109">
        <f>IF(13&lt;=Dashboard!$W$5,Chart_Engine!R42,0)</f>
        <v/>
      </c>
      <c r="L26" s="110">
        <f>IF(13&lt;=Dashboard!$W$5,Chart_Engine!S42,0)</f>
        <v/>
      </c>
      <c r="N26" s="84" t="n"/>
      <c r="O26" s="84" t="n"/>
      <c r="P26" s="84" t="n"/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  <c r="AA26" s="84" t="n"/>
      <c r="AB26" s="86">
        <f>Chart_Engine!V36</f>
        <v/>
      </c>
      <c r="AC26" s="87">
        <f>Chart_Engine!Y36</f>
        <v/>
      </c>
      <c r="AD26" s="84" t="n"/>
      <c r="AE26" s="84" t="n"/>
      <c r="AF26" s="84" t="n"/>
      <c r="AG26" s="84" t="n"/>
      <c r="AH26" s="84" t="n"/>
      <c r="AI26" s="84" t="n"/>
      <c r="AJ26" s="84" t="n"/>
      <c r="AK26" s="84" t="n"/>
      <c r="AL26" s="84" t="n"/>
      <c r="AM26" s="84" t="n"/>
      <c r="AN26" s="84" t="n"/>
      <c r="AO26" s="84" t="n"/>
      <c r="AP26" s="84" t="n"/>
    </row>
    <row r="27" ht="15" customHeight="1" s="65">
      <c r="A27" s="84" t="n"/>
      <c r="B27" s="111" t="n">
        <v>14</v>
      </c>
      <c r="C27" s="112">
        <f>IF(14&lt;=Dashboard!$W$5,Chart_Engine!O43,"")</f>
        <v/>
      </c>
      <c r="F27" s="113">
        <f>IF(14&lt;=Dashboard!$W$5,Chart_Engine!P43,0)</f>
        <v/>
      </c>
      <c r="H27" s="113">
        <f>IF(14&lt;=Dashboard!$W$5,Chart_Engine!Q43,0)</f>
        <v/>
      </c>
      <c r="J27" s="114">
        <f>IF(14&lt;=Dashboard!$W$5,Chart_Engine!R43,0)</f>
        <v/>
      </c>
      <c r="L27" s="115">
        <f>IF(14&lt;=Dashboard!$W$5,Chart_Engine!S43,0)</f>
        <v/>
      </c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6">
        <f>Chart_Engine!V37</f>
        <v/>
      </c>
      <c r="AC27" s="87">
        <f>Chart_Engine!Y37</f>
        <v/>
      </c>
      <c r="AD27" s="84" t="n"/>
      <c r="AE27" s="84" t="n"/>
      <c r="AF27" s="84" t="n"/>
      <c r="AG27" s="84" t="n"/>
      <c r="AH27" s="84" t="n"/>
      <c r="AI27" s="84" t="n"/>
      <c r="AJ27" s="84" t="n"/>
      <c r="AK27" s="84" t="n"/>
      <c r="AL27" s="84" t="n"/>
      <c r="AM27" s="84" t="n"/>
      <c r="AN27" s="84" t="n"/>
      <c r="AO27" s="84" t="n"/>
      <c r="AP27" s="84" t="n"/>
    </row>
    <row r="28" ht="15" customHeight="1" s="65">
      <c r="A28" s="84" t="n"/>
      <c r="B28" s="106" t="n">
        <v>15</v>
      </c>
      <c r="C28" s="107">
        <f>IF(15&lt;=Dashboard!$W$5,Chart_Engine!O44,"")</f>
        <v/>
      </c>
      <c r="F28" s="108">
        <f>IF(15&lt;=Dashboard!$W$5,Chart_Engine!P44,0)</f>
        <v/>
      </c>
      <c r="H28" s="108">
        <f>IF(15&lt;=Dashboard!$W$5,Chart_Engine!Q44,0)</f>
        <v/>
      </c>
      <c r="J28" s="109">
        <f>IF(15&lt;=Dashboard!$W$5,Chart_Engine!R44,0)</f>
        <v/>
      </c>
      <c r="L28" s="110">
        <f>IF(15&lt;=Dashboard!$W$5,Chart_Engine!S44,0)</f>
        <v/>
      </c>
      <c r="N28" s="84" t="n"/>
      <c r="O28" s="84" t="n"/>
      <c r="P28" s="84" t="n"/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  <c r="AA28" s="84" t="n"/>
      <c r="AB28" s="86">
        <f>Chart_Engine!V38</f>
        <v/>
      </c>
      <c r="AC28" s="87">
        <f>Chart_Engine!Y38</f>
        <v/>
      </c>
      <c r="AD28" s="84" t="n"/>
      <c r="AE28" s="84" t="n"/>
      <c r="AF28" s="84" t="n"/>
      <c r="AG28" s="84" t="n"/>
      <c r="AH28" s="84" t="n"/>
      <c r="AI28" s="84" t="n"/>
      <c r="AJ28" s="84" t="n"/>
      <c r="AK28" s="84" t="n"/>
      <c r="AL28" s="84" t="n"/>
      <c r="AM28" s="84" t="n"/>
      <c r="AN28" s="84" t="n"/>
      <c r="AO28" s="84" t="n"/>
      <c r="AP28" s="84" t="n"/>
    </row>
    <row r="29" ht="21.75" customHeight="1" s="65">
      <c r="A29" s="84" t="n"/>
      <c r="B29" s="116" t="inlineStr">
        <is>
          <t>📈  Chart 2 of 5: Top N Services by MoM Change ($)  (biggest movers, all accounts)</t>
        </is>
      </c>
      <c r="Z29" s="84" t="n"/>
      <c r="AA29" s="84" t="n"/>
      <c r="AB29" s="86">
        <f>Chart_Engine!V39</f>
        <v/>
      </c>
      <c r="AC29" s="87">
        <f>Chart_Engine!Y39</f>
        <v/>
      </c>
      <c r="AD29" s="84" t="n"/>
      <c r="AE29" s="84" t="n"/>
      <c r="AF29" s="84" t="n"/>
      <c r="AG29" s="84" t="n"/>
      <c r="AH29" s="84" t="n"/>
      <c r="AI29" s="84" t="n"/>
      <c r="AJ29" s="84" t="n"/>
      <c r="AK29" s="84" t="n"/>
      <c r="AL29" s="84" t="n"/>
      <c r="AM29" s="84" t="n"/>
      <c r="AN29" s="84" t="n"/>
      <c r="AO29" s="84" t="n"/>
      <c r="AP29" s="84" t="n"/>
    </row>
    <row r="30" ht="19.5" customHeight="1" s="65">
      <c r="A30" s="84" t="n"/>
      <c r="B30" s="93" t="inlineStr">
        <is>
          <t>#</t>
        </is>
      </c>
      <c r="C30" s="93" t="inlineStr">
        <is>
          <t>Service</t>
        </is>
      </c>
      <c r="F30" s="93" t="inlineStr">
        <is>
          <t>Current ($)</t>
        </is>
      </c>
      <c r="H30" s="93" t="inlineStr">
        <is>
          <t>Prior ($)</t>
        </is>
      </c>
      <c r="J30" s="93" t="inlineStr">
        <is>
          <t>MoM Δ ($)</t>
        </is>
      </c>
      <c r="L30" s="93" t="inlineStr">
        <is>
          <t>MoM Δ %</t>
        </is>
      </c>
      <c r="N30" s="84" t="n"/>
      <c r="O30" s="84" t="n"/>
      <c r="P30" s="84" t="n"/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  <c r="AA30" s="84" t="n"/>
      <c r="AB30" s="86">
        <f>Chart_Engine!V40</f>
        <v/>
      </c>
      <c r="AC30" s="87">
        <f>Chart_Engine!Y40</f>
        <v/>
      </c>
      <c r="AD30" s="84" t="n"/>
      <c r="AE30" s="84" t="n"/>
      <c r="AF30" s="84" t="n"/>
      <c r="AG30" s="84" t="n"/>
      <c r="AH30" s="84" t="n"/>
      <c r="AI30" s="84" t="n"/>
      <c r="AJ30" s="84" t="n"/>
      <c r="AK30" s="84" t="n"/>
      <c r="AL30" s="84" t="n"/>
      <c r="AM30" s="84" t="n"/>
      <c r="AN30" s="84" t="n"/>
      <c r="AO30" s="84" t="n"/>
      <c r="AP30" s="84" t="n"/>
    </row>
    <row r="31" ht="15" customHeight="1" s="65">
      <c r="A31" s="84" t="n"/>
      <c r="B31" s="111" t="n">
        <v>1</v>
      </c>
      <c r="C31" s="112">
        <f>IF(1&lt;=Dashboard!$W$5,Chart_Engine!V30,"")</f>
        <v/>
      </c>
      <c r="F31" s="113">
        <f>IF(1&lt;=Dashboard!$W$5,Chart_Engine!W30,0)</f>
        <v/>
      </c>
      <c r="H31" s="113">
        <f>IF(1&lt;=Dashboard!$W$5,Chart_Engine!X30,0)</f>
        <v/>
      </c>
      <c r="J31" s="114">
        <f>IF(1&lt;=Dashboard!$W$5,Chart_Engine!Y30,0)</f>
        <v/>
      </c>
      <c r="L31" s="115">
        <f>IF(1&lt;=Dashboard!$W$5,Chart_Engine!Z30,0)</f>
        <v/>
      </c>
      <c r="N31" s="84" t="n"/>
      <c r="O31" s="84" t="n"/>
      <c r="P31" s="84" t="n"/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  <c r="AA31" s="84" t="n"/>
      <c r="AB31" s="86">
        <f>Chart_Engine!V41</f>
        <v/>
      </c>
      <c r="AC31" s="87">
        <f>Chart_Engine!Y41</f>
        <v/>
      </c>
      <c r="AD31" s="84" t="n"/>
      <c r="AE31" s="84" t="n"/>
      <c r="AF31" s="84" t="n"/>
      <c r="AG31" s="84" t="n"/>
      <c r="AH31" s="84" t="n"/>
      <c r="AI31" s="84" t="n"/>
      <c r="AJ31" s="84" t="n"/>
      <c r="AK31" s="84" t="n"/>
      <c r="AL31" s="84" t="n"/>
      <c r="AM31" s="84" t="n"/>
      <c r="AN31" s="84" t="n"/>
      <c r="AO31" s="84" t="n"/>
      <c r="AP31" s="84" t="n"/>
    </row>
    <row r="32" ht="15" customHeight="1" s="65">
      <c r="A32" s="84" t="n"/>
      <c r="B32" s="106" t="n">
        <v>2</v>
      </c>
      <c r="C32" s="107">
        <f>IF(2&lt;=Dashboard!$W$5,Chart_Engine!V31,"")</f>
        <v/>
      </c>
      <c r="F32" s="108">
        <f>IF(2&lt;=Dashboard!$W$5,Chart_Engine!W31,0)</f>
        <v/>
      </c>
      <c r="H32" s="108">
        <f>IF(2&lt;=Dashboard!$W$5,Chart_Engine!X31,0)</f>
        <v/>
      </c>
      <c r="J32" s="109">
        <f>IF(2&lt;=Dashboard!$W$5,Chart_Engine!Y31,0)</f>
        <v/>
      </c>
      <c r="L32" s="110">
        <f>IF(2&lt;=Dashboard!$W$5,Chart_Engine!Z31,0)</f>
        <v/>
      </c>
      <c r="N32" s="84" t="n"/>
      <c r="O32" s="84" t="n"/>
      <c r="P32" s="84" t="n"/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  <c r="AA32" s="84" t="n"/>
      <c r="AB32" s="86">
        <f>Chart_Engine!V42</f>
        <v/>
      </c>
      <c r="AC32" s="87">
        <f>Chart_Engine!Y42</f>
        <v/>
      </c>
      <c r="AD32" s="84" t="n"/>
      <c r="AE32" s="84" t="n"/>
      <c r="AF32" s="84" t="n"/>
      <c r="AG32" s="84" t="n"/>
      <c r="AH32" s="84" t="n"/>
      <c r="AI32" s="84" t="n"/>
      <c r="AJ32" s="84" t="n"/>
      <c r="AK32" s="84" t="n"/>
      <c r="AL32" s="84" t="n"/>
      <c r="AM32" s="84" t="n"/>
      <c r="AN32" s="84" t="n"/>
      <c r="AO32" s="84" t="n"/>
      <c r="AP32" s="84" t="n"/>
    </row>
    <row r="33" ht="15" customHeight="1" s="65">
      <c r="A33" s="84" t="n"/>
      <c r="B33" s="111" t="n">
        <v>3</v>
      </c>
      <c r="C33" s="112">
        <f>IF(3&lt;=Dashboard!$W$5,Chart_Engine!V32,"")</f>
        <v/>
      </c>
      <c r="F33" s="113">
        <f>IF(3&lt;=Dashboard!$W$5,Chart_Engine!W32,0)</f>
        <v/>
      </c>
      <c r="H33" s="113">
        <f>IF(3&lt;=Dashboard!$W$5,Chart_Engine!X32,0)</f>
        <v/>
      </c>
      <c r="J33" s="114">
        <f>IF(3&lt;=Dashboard!$W$5,Chart_Engine!Y32,0)</f>
        <v/>
      </c>
      <c r="L33" s="115">
        <f>IF(3&lt;=Dashboard!$W$5,Chart_Engine!Z32,0)</f>
        <v/>
      </c>
      <c r="N33" s="84" t="n"/>
      <c r="O33" s="84" t="n"/>
      <c r="P33" s="84" t="n"/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  <c r="AA33" s="84" t="n"/>
      <c r="AB33" s="86">
        <f>Chart_Engine!V43</f>
        <v/>
      </c>
      <c r="AC33" s="87">
        <f>Chart_Engine!Y43</f>
        <v/>
      </c>
      <c r="AD33" s="84" t="n"/>
      <c r="AE33" s="84" t="n"/>
      <c r="AF33" s="84" t="n"/>
      <c r="AG33" s="84" t="n"/>
      <c r="AH33" s="84" t="n"/>
      <c r="AI33" s="84" t="n"/>
      <c r="AJ33" s="84" t="n"/>
      <c r="AK33" s="84" t="n"/>
      <c r="AL33" s="84" t="n"/>
      <c r="AM33" s="84" t="n"/>
      <c r="AN33" s="84" t="n"/>
      <c r="AO33" s="84" t="n"/>
      <c r="AP33" s="84" t="n"/>
    </row>
    <row r="34" ht="15" customHeight="1" s="65">
      <c r="A34" s="84" t="n"/>
      <c r="B34" s="106" t="n">
        <v>4</v>
      </c>
      <c r="C34" s="107">
        <f>IF(4&lt;=Dashboard!$W$5,Chart_Engine!V33,"")</f>
        <v/>
      </c>
      <c r="F34" s="108">
        <f>IF(4&lt;=Dashboard!$W$5,Chart_Engine!W33,0)</f>
        <v/>
      </c>
      <c r="H34" s="108">
        <f>IF(4&lt;=Dashboard!$W$5,Chart_Engine!X33,0)</f>
        <v/>
      </c>
      <c r="J34" s="109">
        <f>IF(4&lt;=Dashboard!$W$5,Chart_Engine!Y33,0)</f>
        <v/>
      </c>
      <c r="L34" s="110">
        <f>IF(4&lt;=Dashboard!$W$5,Chart_Engine!Z33,0)</f>
        <v/>
      </c>
      <c r="N34" s="84" t="n"/>
      <c r="O34" s="84" t="n"/>
      <c r="P34" s="84" t="n"/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  <c r="AA34" s="84" t="n"/>
      <c r="AB34" s="86">
        <f>Chart_Engine!V44</f>
        <v/>
      </c>
      <c r="AC34" s="87">
        <f>Chart_Engine!Y44</f>
        <v/>
      </c>
      <c r="AD34" s="84" t="n"/>
      <c r="AE34" s="84" t="n"/>
      <c r="AF34" s="84" t="n"/>
      <c r="AG34" s="84" t="n"/>
      <c r="AH34" s="84" t="n"/>
      <c r="AI34" s="84" t="n"/>
      <c r="AJ34" s="84" t="n"/>
      <c r="AK34" s="84" t="n"/>
      <c r="AL34" s="84" t="n"/>
      <c r="AM34" s="84" t="n"/>
      <c r="AN34" s="84" t="n"/>
      <c r="AO34" s="84" t="n"/>
      <c r="AP34" s="84" t="n"/>
    </row>
    <row r="35" ht="15" customHeight="1" s="65">
      <c r="A35" s="84" t="n"/>
      <c r="B35" s="111" t="n">
        <v>5</v>
      </c>
      <c r="C35" s="112">
        <f>IF(5&lt;=Dashboard!$W$5,Chart_Engine!V34,"")</f>
        <v/>
      </c>
      <c r="F35" s="113">
        <f>IF(5&lt;=Dashboard!$W$5,Chart_Engine!W34,0)</f>
        <v/>
      </c>
      <c r="H35" s="113">
        <f>IF(5&lt;=Dashboard!$W$5,Chart_Engine!X34,0)</f>
        <v/>
      </c>
      <c r="J35" s="114">
        <f>IF(5&lt;=Dashboard!$W$5,Chart_Engine!Y34,0)</f>
        <v/>
      </c>
      <c r="L35" s="115">
        <f>IF(5&lt;=Dashboard!$W$5,Chart_Engine!Z34,0)</f>
        <v/>
      </c>
      <c r="N35" s="84" t="n"/>
      <c r="O35" s="84" t="n"/>
      <c r="P35" s="84" t="n"/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  <c r="AA35" s="84" t="n"/>
      <c r="AB35" s="84" t="n"/>
      <c r="AC35" s="84" t="n"/>
      <c r="AD35" s="84" t="n"/>
      <c r="AE35" s="84" t="n"/>
      <c r="AF35" s="84" t="n"/>
      <c r="AG35" s="84" t="n"/>
      <c r="AH35" s="84" t="n"/>
      <c r="AI35" s="84" t="n"/>
      <c r="AJ35" s="84" t="n"/>
      <c r="AK35" s="84" t="n"/>
      <c r="AL35" s="84" t="n"/>
      <c r="AM35" s="84" t="n"/>
      <c r="AN35" s="84" t="n"/>
      <c r="AO35" s="84" t="n"/>
      <c r="AP35" s="84" t="n"/>
    </row>
    <row r="36" ht="15" customHeight="1" s="65">
      <c r="A36" s="84" t="n"/>
      <c r="B36" s="106" t="n">
        <v>6</v>
      </c>
      <c r="C36" s="107">
        <f>IF(6&lt;=Dashboard!$W$5,Chart_Engine!V35,"")</f>
        <v/>
      </c>
      <c r="F36" s="108">
        <f>IF(6&lt;=Dashboard!$W$5,Chart_Engine!W35,0)</f>
        <v/>
      </c>
      <c r="H36" s="108">
        <f>IF(6&lt;=Dashboard!$W$5,Chart_Engine!X35,0)</f>
        <v/>
      </c>
      <c r="J36" s="109">
        <f>IF(6&lt;=Dashboard!$W$5,Chart_Engine!Y35,0)</f>
        <v/>
      </c>
      <c r="L36" s="110">
        <f>IF(6&lt;=Dashboard!$W$5,Chart_Engine!Z35,0)</f>
        <v/>
      </c>
      <c r="N36" s="84" t="n"/>
      <c r="O36" s="84" t="n"/>
      <c r="P36" s="84" t="n"/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  <c r="AA36" s="84" t="n"/>
      <c r="AB36" s="84" t="inlineStr">
        <is>
          <t>Month</t>
        </is>
      </c>
      <c r="AC36" s="84" t="inlineStr">
        <is>
          <t>Acct1</t>
        </is>
      </c>
      <c r="AD36" s="84" t="inlineStr">
        <is>
          <t>Acct2</t>
        </is>
      </c>
      <c r="AE36" s="84" t="inlineStr">
        <is>
          <t>Combined</t>
        </is>
      </c>
      <c r="AF36" s="84" t="n"/>
      <c r="AG36" s="84" t="n"/>
      <c r="AH36" s="84" t="n"/>
      <c r="AI36" s="84" t="n"/>
      <c r="AJ36" s="84" t="n"/>
      <c r="AK36" s="84" t="n"/>
      <c r="AL36" s="84" t="n"/>
      <c r="AM36" s="84" t="n"/>
      <c r="AN36" s="84" t="n"/>
      <c r="AO36" s="84" t="n"/>
      <c r="AP36" s="84" t="n"/>
    </row>
    <row r="37" ht="15" customHeight="1" s="65">
      <c r="A37" s="84" t="n"/>
      <c r="B37" s="111" t="n">
        <v>7</v>
      </c>
      <c r="C37" s="112">
        <f>IF(7&lt;=Dashboard!$W$5,Chart_Engine!V36,"")</f>
        <v/>
      </c>
      <c r="F37" s="113">
        <f>IF(7&lt;=Dashboard!$W$5,Chart_Engine!W36,0)</f>
        <v/>
      </c>
      <c r="H37" s="113">
        <f>IF(7&lt;=Dashboard!$W$5,Chart_Engine!X36,0)</f>
        <v/>
      </c>
      <c r="J37" s="114">
        <f>IF(7&lt;=Dashboard!$W$5,Chart_Engine!Y36,0)</f>
        <v/>
      </c>
      <c r="L37" s="115">
        <f>IF(7&lt;=Dashboard!$W$5,Chart_Engine!Z36,0)</f>
        <v/>
      </c>
      <c r="N37" s="84" t="n"/>
      <c r="O37" s="84" t="n"/>
      <c r="P37" s="84" t="n"/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  <c r="AA37" s="84" t="n"/>
      <c r="AB37" s="86">
        <f>Chart_Engine!AB30</f>
        <v/>
      </c>
      <c r="AC37" s="87">
        <f>Chart_Engine!AC30</f>
        <v/>
      </c>
      <c r="AD37" s="87">
        <f>Chart_Engine!AD30</f>
        <v/>
      </c>
      <c r="AE37" s="87">
        <f>Chart_Engine!AE30</f>
        <v/>
      </c>
      <c r="AF37" s="84" t="n"/>
      <c r="AG37" s="84" t="n"/>
      <c r="AH37" s="84" t="n"/>
      <c r="AI37" s="84" t="n"/>
      <c r="AJ37" s="84" t="n"/>
      <c r="AK37" s="84" t="n"/>
      <c r="AL37" s="84" t="n"/>
      <c r="AM37" s="84" t="n"/>
      <c r="AN37" s="84" t="n"/>
      <c r="AO37" s="84" t="n"/>
      <c r="AP37" s="84" t="n"/>
    </row>
    <row r="38" ht="15" customHeight="1" s="65">
      <c r="A38" s="84" t="n"/>
      <c r="B38" s="106" t="n">
        <v>8</v>
      </c>
      <c r="C38" s="107">
        <f>IF(8&lt;=Dashboard!$W$5,Chart_Engine!V37,"")</f>
        <v/>
      </c>
      <c r="F38" s="108">
        <f>IF(8&lt;=Dashboard!$W$5,Chart_Engine!W37,0)</f>
        <v/>
      </c>
      <c r="H38" s="108">
        <f>IF(8&lt;=Dashboard!$W$5,Chart_Engine!X37,0)</f>
        <v/>
      </c>
      <c r="J38" s="109">
        <f>IF(8&lt;=Dashboard!$W$5,Chart_Engine!Y37,0)</f>
        <v/>
      </c>
      <c r="L38" s="110">
        <f>IF(8&lt;=Dashboard!$W$5,Chart_Engine!Z37,0)</f>
        <v/>
      </c>
      <c r="N38" s="84" t="n"/>
      <c r="O38" s="84" t="n"/>
      <c r="P38" s="84" t="n"/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  <c r="AA38" s="84" t="n"/>
      <c r="AB38" s="86">
        <f>Chart_Engine!AB31</f>
        <v/>
      </c>
      <c r="AC38" s="87">
        <f>Chart_Engine!AC31</f>
        <v/>
      </c>
      <c r="AD38" s="87">
        <f>Chart_Engine!AD31</f>
        <v/>
      </c>
      <c r="AE38" s="87">
        <f>Chart_Engine!AE31</f>
        <v/>
      </c>
      <c r="AF38" s="84" t="n"/>
      <c r="AG38" s="84" t="n"/>
      <c r="AH38" s="84" t="n"/>
      <c r="AI38" s="84" t="n"/>
      <c r="AJ38" s="84" t="n"/>
      <c r="AK38" s="84" t="n"/>
      <c r="AL38" s="84" t="n"/>
      <c r="AM38" s="84" t="n"/>
      <c r="AN38" s="84" t="n"/>
      <c r="AO38" s="84" t="n"/>
      <c r="AP38" s="84" t="n"/>
    </row>
    <row r="39" ht="15" customHeight="1" s="65">
      <c r="A39" s="84" t="n"/>
      <c r="B39" s="111" t="n">
        <v>9</v>
      </c>
      <c r="C39" s="112">
        <f>IF(9&lt;=Dashboard!$W$5,Chart_Engine!V38,"")</f>
        <v/>
      </c>
      <c r="F39" s="113">
        <f>IF(9&lt;=Dashboard!$W$5,Chart_Engine!W38,0)</f>
        <v/>
      </c>
      <c r="H39" s="113">
        <f>IF(9&lt;=Dashboard!$W$5,Chart_Engine!X38,0)</f>
        <v/>
      </c>
      <c r="J39" s="114">
        <f>IF(9&lt;=Dashboard!$W$5,Chart_Engine!Y38,0)</f>
        <v/>
      </c>
      <c r="L39" s="115">
        <f>IF(9&lt;=Dashboard!$W$5,Chart_Engine!Z38,0)</f>
        <v/>
      </c>
      <c r="N39" s="84" t="n"/>
      <c r="O39" s="84" t="n"/>
      <c r="P39" s="84" t="n"/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  <c r="AA39" s="84" t="n"/>
      <c r="AB39" s="86">
        <f>Chart_Engine!AB32</f>
        <v/>
      </c>
      <c r="AC39" s="87">
        <f>Chart_Engine!AC32</f>
        <v/>
      </c>
      <c r="AD39" s="87">
        <f>Chart_Engine!AD32</f>
        <v/>
      </c>
      <c r="AE39" s="87">
        <f>Chart_Engine!AE32</f>
        <v/>
      </c>
      <c r="AF39" s="84" t="n"/>
      <c r="AG39" s="84" t="n"/>
      <c r="AH39" s="84" t="n"/>
      <c r="AI39" s="84" t="n"/>
      <c r="AJ39" s="84" t="n"/>
      <c r="AK39" s="84" t="n"/>
      <c r="AL39" s="84" t="n"/>
      <c r="AM39" s="84" t="n"/>
      <c r="AN39" s="84" t="n"/>
      <c r="AO39" s="84" t="n"/>
      <c r="AP39" s="84" t="n"/>
    </row>
    <row r="40" ht="15" customHeight="1" s="65">
      <c r="A40" s="84" t="n"/>
      <c r="B40" s="106" t="n">
        <v>10</v>
      </c>
      <c r="C40" s="107">
        <f>IF(10&lt;=Dashboard!$W$5,Chart_Engine!V39,"")</f>
        <v/>
      </c>
      <c r="F40" s="108">
        <f>IF(10&lt;=Dashboard!$W$5,Chart_Engine!W39,0)</f>
        <v/>
      </c>
      <c r="H40" s="108">
        <f>IF(10&lt;=Dashboard!$W$5,Chart_Engine!X39,0)</f>
        <v/>
      </c>
      <c r="J40" s="109">
        <f>IF(10&lt;=Dashboard!$W$5,Chart_Engine!Y39,0)</f>
        <v/>
      </c>
      <c r="L40" s="110">
        <f>IF(10&lt;=Dashboard!$W$5,Chart_Engine!Z39,0)</f>
        <v/>
      </c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6">
        <f>Chart_Engine!AB33</f>
        <v/>
      </c>
      <c r="AC40" s="87">
        <f>Chart_Engine!AC33</f>
        <v/>
      </c>
      <c r="AD40" s="87">
        <f>Chart_Engine!AD33</f>
        <v/>
      </c>
      <c r="AE40" s="87">
        <f>Chart_Engine!AE33</f>
        <v/>
      </c>
      <c r="AF40" s="84" t="n"/>
      <c r="AG40" s="84" t="n"/>
      <c r="AH40" s="84" t="n"/>
      <c r="AI40" s="84" t="n"/>
      <c r="AJ40" s="84" t="n"/>
      <c r="AK40" s="84" t="n"/>
      <c r="AL40" s="84" t="n"/>
      <c r="AM40" s="84" t="n"/>
      <c r="AN40" s="84" t="n"/>
      <c r="AO40" s="84" t="n"/>
      <c r="AP40" s="84" t="n"/>
    </row>
    <row r="41" ht="15" customHeight="1" s="65">
      <c r="A41" s="84" t="n"/>
      <c r="B41" s="111" t="n">
        <v>11</v>
      </c>
      <c r="C41" s="112">
        <f>IF(11&lt;=Dashboard!$W$5,Chart_Engine!V40,"")</f>
        <v/>
      </c>
      <c r="F41" s="113">
        <f>IF(11&lt;=Dashboard!$W$5,Chart_Engine!W40,0)</f>
        <v/>
      </c>
      <c r="H41" s="113">
        <f>IF(11&lt;=Dashboard!$W$5,Chart_Engine!X40,0)</f>
        <v/>
      </c>
      <c r="J41" s="114">
        <f>IF(11&lt;=Dashboard!$W$5,Chart_Engine!Y40,0)</f>
        <v/>
      </c>
      <c r="L41" s="115">
        <f>IF(11&lt;=Dashboard!$W$5,Chart_Engine!Z40,0)</f>
        <v/>
      </c>
      <c r="N41" s="84" t="n"/>
      <c r="O41" s="84" t="n"/>
      <c r="P41" s="84" t="n"/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  <c r="AA41" s="84" t="n"/>
      <c r="AB41" s="86">
        <f>Chart_Engine!AB34</f>
        <v/>
      </c>
      <c r="AC41" s="87">
        <f>Chart_Engine!AC34</f>
        <v/>
      </c>
      <c r="AD41" s="87">
        <f>Chart_Engine!AD34</f>
        <v/>
      </c>
      <c r="AE41" s="87">
        <f>Chart_Engine!AE34</f>
        <v/>
      </c>
      <c r="AF41" s="84" t="n"/>
      <c r="AG41" s="84" t="n"/>
      <c r="AH41" s="84" t="n"/>
      <c r="AI41" s="84" t="n"/>
      <c r="AJ41" s="84" t="n"/>
      <c r="AK41" s="84" t="n"/>
      <c r="AL41" s="84" t="n"/>
      <c r="AM41" s="84" t="n"/>
      <c r="AN41" s="84" t="n"/>
      <c r="AO41" s="84" t="n"/>
      <c r="AP41" s="84" t="n"/>
    </row>
    <row r="42" ht="15" customHeight="1" s="65">
      <c r="A42" s="84" t="n"/>
      <c r="B42" s="106" t="n">
        <v>12</v>
      </c>
      <c r="C42" s="107">
        <f>IF(12&lt;=Dashboard!$W$5,Chart_Engine!V41,"")</f>
        <v/>
      </c>
      <c r="F42" s="108">
        <f>IF(12&lt;=Dashboard!$W$5,Chart_Engine!W41,0)</f>
        <v/>
      </c>
      <c r="H42" s="108">
        <f>IF(12&lt;=Dashboard!$W$5,Chart_Engine!X41,0)</f>
        <v/>
      </c>
      <c r="J42" s="109">
        <f>IF(12&lt;=Dashboard!$W$5,Chart_Engine!Y41,0)</f>
        <v/>
      </c>
      <c r="L42" s="110">
        <f>IF(12&lt;=Dashboard!$W$5,Chart_Engine!Z41,0)</f>
        <v/>
      </c>
      <c r="N42" s="84" t="n"/>
      <c r="O42" s="84" t="n"/>
      <c r="P42" s="84" t="n"/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4" t="n"/>
      <c r="AB42" s="86">
        <f>Chart_Engine!AB35</f>
        <v/>
      </c>
      <c r="AC42" s="87">
        <f>Chart_Engine!AC35</f>
        <v/>
      </c>
      <c r="AD42" s="87">
        <f>Chart_Engine!AD35</f>
        <v/>
      </c>
      <c r="AE42" s="87">
        <f>Chart_Engine!AE35</f>
        <v/>
      </c>
      <c r="AF42" s="84" t="n"/>
      <c r="AG42" s="84" t="n"/>
      <c r="AH42" s="84" t="n"/>
      <c r="AI42" s="84" t="n"/>
      <c r="AJ42" s="84" t="n"/>
      <c r="AK42" s="84" t="n"/>
      <c r="AL42" s="84" t="n"/>
      <c r="AM42" s="84" t="n"/>
      <c r="AN42" s="84" t="n"/>
      <c r="AO42" s="84" t="n"/>
      <c r="AP42" s="84" t="n"/>
    </row>
    <row r="43" ht="15" customHeight="1" s="65">
      <c r="A43" s="84" t="n"/>
      <c r="B43" s="111" t="n">
        <v>13</v>
      </c>
      <c r="C43" s="112">
        <f>IF(13&lt;=Dashboard!$W$5,Chart_Engine!V42,"")</f>
        <v/>
      </c>
      <c r="F43" s="113">
        <f>IF(13&lt;=Dashboard!$W$5,Chart_Engine!W42,0)</f>
        <v/>
      </c>
      <c r="H43" s="113">
        <f>IF(13&lt;=Dashboard!$W$5,Chart_Engine!X42,0)</f>
        <v/>
      </c>
      <c r="J43" s="114">
        <f>IF(13&lt;=Dashboard!$W$5,Chart_Engine!Y42,0)</f>
        <v/>
      </c>
      <c r="L43" s="115">
        <f>IF(13&lt;=Dashboard!$W$5,Chart_Engine!Z42,0)</f>
        <v/>
      </c>
      <c r="N43" s="84" t="n"/>
      <c r="O43" s="84" t="n"/>
      <c r="P43" s="84" t="n"/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  <c r="AA43" s="84" t="n"/>
      <c r="AB43" s="84" t="n"/>
      <c r="AC43" s="84" t="n"/>
      <c r="AD43" s="84" t="n"/>
      <c r="AE43" s="84" t="n"/>
      <c r="AF43" s="84" t="n"/>
      <c r="AG43" s="84" t="n"/>
      <c r="AH43" s="84" t="n"/>
      <c r="AI43" s="84" t="n"/>
      <c r="AJ43" s="84" t="n"/>
      <c r="AK43" s="84" t="n"/>
      <c r="AL43" s="84" t="n"/>
      <c r="AM43" s="84" t="n"/>
      <c r="AN43" s="84" t="n"/>
      <c r="AO43" s="84" t="n"/>
      <c r="AP43" s="84" t="n"/>
    </row>
    <row r="44" ht="15" customHeight="1" s="65">
      <c r="A44" s="84" t="n"/>
      <c r="B44" s="106" t="n">
        <v>14</v>
      </c>
      <c r="C44" s="107">
        <f>IF(14&lt;=Dashboard!$W$5,Chart_Engine!V43,"")</f>
        <v/>
      </c>
      <c r="F44" s="108">
        <f>IF(14&lt;=Dashboard!$W$5,Chart_Engine!W43,0)</f>
        <v/>
      </c>
      <c r="H44" s="108">
        <f>IF(14&lt;=Dashboard!$W$5,Chart_Engine!X43,0)</f>
        <v/>
      </c>
      <c r="J44" s="109">
        <f>IF(14&lt;=Dashboard!$W$5,Chart_Engine!Y43,0)</f>
        <v/>
      </c>
      <c r="L44" s="110">
        <f>IF(14&lt;=Dashboard!$W$5,Chart_Engine!Z43,0)</f>
        <v/>
      </c>
      <c r="N44" s="84" t="n"/>
      <c r="O44" s="84" t="n"/>
      <c r="P44" s="84" t="n"/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  <c r="AA44" s="84" t="n"/>
      <c r="AB44" s="84" t="inlineStr">
        <is>
          <t>Service</t>
        </is>
      </c>
      <c r="AC44" s="84" t="inlineStr">
        <is>
          <t>Cost($)</t>
        </is>
      </c>
      <c r="AD44" s="84" t="n"/>
      <c r="AE44" s="84" t="n"/>
      <c r="AF44" s="84" t="n"/>
      <c r="AG44" s="84" t="n"/>
      <c r="AH44" s="84" t="n"/>
      <c r="AI44" s="84" t="n"/>
      <c r="AJ44" s="84" t="n"/>
      <c r="AK44" s="84" t="n"/>
      <c r="AL44" s="84" t="n"/>
      <c r="AM44" s="84" t="n"/>
      <c r="AN44" s="84" t="n"/>
      <c r="AO44" s="84" t="n"/>
      <c r="AP44" s="84" t="n"/>
    </row>
    <row r="45" ht="15" customHeight="1" s="65">
      <c r="A45" s="84" t="n"/>
      <c r="B45" s="111" t="n">
        <v>15</v>
      </c>
      <c r="C45" s="112">
        <f>IF(15&lt;=Dashboard!$W$5,Chart_Engine!V44,"")</f>
        <v/>
      </c>
      <c r="F45" s="113">
        <f>IF(15&lt;=Dashboard!$W$5,Chart_Engine!W44,0)</f>
        <v/>
      </c>
      <c r="H45" s="113">
        <f>IF(15&lt;=Dashboard!$W$5,Chart_Engine!X44,0)</f>
        <v/>
      </c>
      <c r="J45" s="114">
        <f>IF(15&lt;=Dashboard!$W$5,Chart_Engine!Y44,0)</f>
        <v/>
      </c>
      <c r="L45" s="115">
        <f>IF(15&lt;=Dashboard!$W$5,Chart_Engine!Z44,0)</f>
        <v/>
      </c>
      <c r="N45" s="84" t="n"/>
      <c r="O45" s="84" t="n"/>
      <c r="P45" s="84" t="n"/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  <c r="AA45" s="84" t="n"/>
      <c r="AB45" s="86">
        <f>Chart_Engine!AG30</f>
        <v/>
      </c>
      <c r="AC45" s="87">
        <f>Chart_Engine!AH30</f>
        <v/>
      </c>
      <c r="AD45" s="84" t="n"/>
      <c r="AE45" s="84" t="n"/>
      <c r="AF45" s="84" t="n"/>
      <c r="AG45" s="84" t="n"/>
      <c r="AH45" s="84" t="n"/>
      <c r="AI45" s="84" t="n"/>
      <c r="AJ45" s="84" t="n"/>
      <c r="AK45" s="84" t="n"/>
      <c r="AL45" s="84" t="n"/>
      <c r="AM45" s="84" t="n"/>
      <c r="AN45" s="84" t="n"/>
      <c r="AO45" s="84" t="n"/>
      <c r="AP45" s="84" t="n"/>
    </row>
    <row r="46" ht="21.75" customHeight="1" s="65">
      <c r="A46" s="84" t="n"/>
      <c r="B46" s="117" t="inlineStr">
        <is>
          <t>📉  Chart 3 of 5: Monthly Cost Trend — All Months (auto-expands as you add months)</t>
        </is>
      </c>
      <c r="Z46" s="84" t="n"/>
      <c r="AA46" s="84" t="n"/>
      <c r="AB46" s="86">
        <f>Chart_Engine!AG31</f>
        <v/>
      </c>
      <c r="AC46" s="87">
        <f>Chart_Engine!AH31</f>
        <v/>
      </c>
      <c r="AD46" s="84" t="n"/>
      <c r="AE46" s="84" t="n"/>
      <c r="AF46" s="84" t="n"/>
      <c r="AG46" s="84" t="n"/>
      <c r="AH46" s="84" t="n"/>
      <c r="AI46" s="84" t="n"/>
      <c r="AJ46" s="84" t="n"/>
      <c r="AK46" s="84" t="n"/>
      <c r="AL46" s="84" t="n"/>
      <c r="AM46" s="84" t="n"/>
      <c r="AN46" s="84" t="n"/>
      <c r="AO46" s="84" t="n"/>
      <c r="AP46" s="84" t="n"/>
    </row>
    <row r="47" ht="19.5" customHeight="1" s="65">
      <c r="A47" s="84" t="n"/>
      <c r="B47" s="93" t="inlineStr">
        <is>
          <t>Month</t>
        </is>
      </c>
      <c r="D47" s="93" t="inlineStr">
        <is>
          <t>Acct1 ($)</t>
        </is>
      </c>
      <c r="F47" s="93" t="inlineStr">
        <is>
          <t>Acct2 ($)</t>
        </is>
      </c>
      <c r="H47" s="93" t="inlineStr">
        <is>
          <t>Combined ($)</t>
        </is>
      </c>
      <c r="J47" s="93" t="inlineStr">
        <is>
          <t>Acct1 MoM%</t>
        </is>
      </c>
      <c r="L47" s="93" t="inlineStr">
        <is>
          <t>Acct2 MoM%</t>
        </is>
      </c>
      <c r="N47" s="84" t="n"/>
      <c r="O47" s="84" t="n"/>
      <c r="P47" s="84" t="n"/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  <c r="AA47" s="84" t="n"/>
      <c r="AB47" s="86">
        <f>Chart_Engine!AG32</f>
        <v/>
      </c>
      <c r="AC47" s="87">
        <f>Chart_Engine!AH32</f>
        <v/>
      </c>
      <c r="AD47" s="84" t="n"/>
      <c r="AE47" s="84" t="n"/>
      <c r="AF47" s="84" t="n"/>
      <c r="AG47" s="84" t="n"/>
      <c r="AH47" s="84" t="n"/>
      <c r="AI47" s="84" t="n"/>
      <c r="AJ47" s="84" t="n"/>
      <c r="AK47" s="84" t="n"/>
      <c r="AL47" s="84" t="n"/>
      <c r="AM47" s="84" t="n"/>
      <c r="AN47" s="84" t="n"/>
      <c r="AO47" s="84" t="n"/>
      <c r="AP47" s="84" t="n"/>
    </row>
    <row r="48" ht="15.75" customHeight="1" s="65">
      <c r="A48" s="84" t="n"/>
      <c r="B48" s="118">
        <f>Chart_Engine!AB30</f>
        <v/>
      </c>
      <c r="D48" s="108">
        <f>Chart_Engine!AC30</f>
        <v/>
      </c>
      <c r="F48" s="108">
        <f>Chart_Engine!AD30</f>
        <v/>
      </c>
      <c r="H48" s="108">
        <f>Chart_Engine!AE30</f>
        <v/>
      </c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6">
        <f>Chart_Engine!AG33</f>
        <v/>
      </c>
      <c r="AC48" s="87">
        <f>Chart_Engine!AH33</f>
        <v/>
      </c>
      <c r="AD48" s="84" t="n"/>
      <c r="AE48" s="84" t="n"/>
      <c r="AF48" s="84" t="n"/>
      <c r="AG48" s="84" t="n"/>
      <c r="AH48" s="84" t="n"/>
      <c r="AI48" s="84" t="n"/>
      <c r="AJ48" s="84" t="n"/>
      <c r="AK48" s="84" t="n"/>
      <c r="AL48" s="84" t="n"/>
      <c r="AM48" s="84" t="n"/>
      <c r="AN48" s="84" t="n"/>
      <c r="AO48" s="84" t="n"/>
      <c r="AP48" s="84" t="n"/>
    </row>
    <row r="49" ht="15.75" customHeight="1" s="65">
      <c r="A49" s="84" t="n"/>
      <c r="B49" s="119">
        <f>Chart_Engine!AB31</f>
        <v/>
      </c>
      <c r="D49" s="113">
        <f>Chart_Engine!AC31</f>
        <v/>
      </c>
      <c r="F49" s="113">
        <f>Chart_Engine!AD31</f>
        <v/>
      </c>
      <c r="H49" s="113">
        <f>Chart_Engine!AE31</f>
        <v/>
      </c>
      <c r="J49" s="115">
        <f>IFERROR((Chart_Engine!AC31-Chart_Engine!AC30)/Chart_Engine!AC30,0)</f>
        <v/>
      </c>
      <c r="L49" s="115">
        <f>IFERROR((Chart_Engine!AD31-Chart_Engine!AD30)/Chart_Engine!AD30,0)</f>
        <v/>
      </c>
      <c r="N49" s="84" t="n"/>
      <c r="O49" s="84" t="n"/>
      <c r="P49" s="84" t="n"/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6">
        <f>Chart_Engine!AG34</f>
        <v/>
      </c>
      <c r="AC49" s="87">
        <f>Chart_Engine!AH34</f>
        <v/>
      </c>
      <c r="AD49" s="84" t="n"/>
      <c r="AE49" s="84" t="n"/>
      <c r="AF49" s="84" t="n"/>
      <c r="AG49" s="84" t="n"/>
      <c r="AH49" s="84" t="n"/>
      <c r="AI49" s="84" t="n"/>
      <c r="AJ49" s="84" t="n"/>
      <c r="AK49" s="84" t="n"/>
      <c r="AL49" s="84" t="n"/>
      <c r="AM49" s="84" t="n"/>
      <c r="AN49" s="84" t="n"/>
      <c r="AO49" s="84" t="n"/>
      <c r="AP49" s="84" t="n"/>
    </row>
    <row r="50" ht="15.75" customHeight="1" s="65">
      <c r="A50" s="84" t="n"/>
      <c r="B50" s="118">
        <f>Chart_Engine!AB32</f>
        <v/>
      </c>
      <c r="D50" s="108">
        <f>Chart_Engine!AC32</f>
        <v/>
      </c>
      <c r="F50" s="108">
        <f>Chart_Engine!AD32</f>
        <v/>
      </c>
      <c r="H50" s="108">
        <f>Chart_Engine!AE32</f>
        <v/>
      </c>
      <c r="J50" s="110">
        <f>IFERROR((Chart_Engine!AC32-Chart_Engine!AC31)/Chart_Engine!AC31,0)</f>
        <v/>
      </c>
      <c r="L50" s="110">
        <f>IFERROR((Chart_Engine!AD32-Chart_Engine!AD31)/Chart_Engine!AD31,0)</f>
        <v/>
      </c>
      <c r="N50" s="84" t="n"/>
      <c r="O50" s="84" t="n"/>
      <c r="P50" s="84" t="n"/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6">
        <f>Chart_Engine!AG35</f>
        <v/>
      </c>
      <c r="AC50" s="87">
        <f>Chart_Engine!AH35</f>
        <v/>
      </c>
      <c r="AD50" s="84" t="n"/>
      <c r="AE50" s="84" t="n"/>
      <c r="AF50" s="84" t="n"/>
      <c r="AG50" s="84" t="n"/>
      <c r="AH50" s="84" t="n"/>
      <c r="AI50" s="84" t="n"/>
      <c r="AJ50" s="84" t="n"/>
      <c r="AK50" s="84" t="n"/>
      <c r="AL50" s="84" t="n"/>
      <c r="AM50" s="84" t="n"/>
      <c r="AN50" s="84" t="n"/>
      <c r="AO50" s="84" t="n"/>
      <c r="AP50" s="84" t="n"/>
    </row>
    <row r="51" ht="15.75" customHeight="1" s="65">
      <c r="A51" s="84" t="n"/>
      <c r="B51" s="119">
        <f>Chart_Engine!AB33</f>
        <v/>
      </c>
      <c r="D51" s="113">
        <f>Chart_Engine!AC33</f>
        <v/>
      </c>
      <c r="F51" s="113">
        <f>Chart_Engine!AD33</f>
        <v/>
      </c>
      <c r="H51" s="113">
        <f>Chart_Engine!AE33</f>
        <v/>
      </c>
      <c r="J51" s="115">
        <f>IFERROR((Chart_Engine!AC33-Chart_Engine!AC32)/Chart_Engine!AC32,0)</f>
        <v/>
      </c>
      <c r="L51" s="115">
        <f>IFERROR((Chart_Engine!AD33-Chart_Engine!AD32)/Chart_Engine!AD32,0)</f>
        <v/>
      </c>
      <c r="N51" s="84" t="n"/>
      <c r="O51" s="84" t="n"/>
      <c r="P51" s="84" t="n"/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6">
        <f>Chart_Engine!AG36</f>
        <v/>
      </c>
      <c r="AC51" s="87">
        <f>Chart_Engine!AH36</f>
        <v/>
      </c>
      <c r="AD51" s="84" t="n"/>
      <c r="AE51" s="84" t="n"/>
      <c r="AF51" s="84" t="n"/>
      <c r="AG51" s="84" t="n"/>
      <c r="AH51" s="84" t="n"/>
      <c r="AI51" s="84" t="n"/>
      <c r="AJ51" s="84" t="n"/>
      <c r="AK51" s="84" t="n"/>
      <c r="AL51" s="84" t="n"/>
      <c r="AM51" s="84" t="n"/>
      <c r="AN51" s="84" t="n"/>
      <c r="AO51" s="84" t="n"/>
      <c r="AP51" s="84" t="n"/>
    </row>
    <row r="52" ht="15.75" customHeight="1" s="65">
      <c r="A52" s="84" t="n"/>
      <c r="B52" s="118">
        <f>Chart_Engine!AB34</f>
        <v/>
      </c>
      <c r="D52" s="108">
        <f>Chart_Engine!AC34</f>
        <v/>
      </c>
      <c r="F52" s="108">
        <f>Chart_Engine!AD34</f>
        <v/>
      </c>
      <c r="H52" s="108">
        <f>Chart_Engine!AE34</f>
        <v/>
      </c>
      <c r="J52" s="110">
        <f>IFERROR((Chart_Engine!AC34-Chart_Engine!AC33)/Chart_Engine!AC33,0)</f>
        <v/>
      </c>
      <c r="L52" s="110">
        <f>IFERROR((Chart_Engine!AD34-Chart_Engine!AD33)/Chart_Engine!AD33,0)</f>
        <v/>
      </c>
      <c r="N52" s="84" t="n"/>
      <c r="O52" s="84" t="n"/>
      <c r="P52" s="84" t="n"/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  <c r="AA52" s="84" t="n"/>
      <c r="AB52" s="86">
        <f>Chart_Engine!AG37</f>
        <v/>
      </c>
      <c r="AC52" s="87">
        <f>Chart_Engine!AH37</f>
        <v/>
      </c>
      <c r="AD52" s="84" t="n"/>
      <c r="AE52" s="84" t="n"/>
      <c r="AF52" s="84" t="n"/>
      <c r="AG52" s="84" t="n"/>
      <c r="AH52" s="84" t="n"/>
      <c r="AI52" s="84" t="n"/>
      <c r="AJ52" s="84" t="n"/>
      <c r="AK52" s="84" t="n"/>
      <c r="AL52" s="84" t="n"/>
      <c r="AM52" s="84" t="n"/>
      <c r="AN52" s="84" t="n"/>
      <c r="AO52" s="84" t="n"/>
      <c r="AP52" s="84" t="n"/>
    </row>
    <row r="53" ht="15.75" customHeight="1" s="65">
      <c r="A53" s="84" t="n"/>
      <c r="B53" s="119">
        <f>Chart_Engine!AB35</f>
        <v/>
      </c>
      <c r="D53" s="113">
        <f>Chart_Engine!AC35</f>
        <v/>
      </c>
      <c r="F53" s="113">
        <f>Chart_Engine!AD35</f>
        <v/>
      </c>
      <c r="H53" s="113">
        <f>Chart_Engine!AE35</f>
        <v/>
      </c>
      <c r="J53" s="115">
        <f>IFERROR((Chart_Engine!AC35-Chart_Engine!AC34)/Chart_Engine!AC34,0)</f>
        <v/>
      </c>
      <c r="L53" s="115">
        <f>IFERROR((Chart_Engine!AD35-Chart_Engine!AD34)/Chart_Engine!AD34,0)</f>
        <v/>
      </c>
      <c r="N53" s="84" t="n"/>
      <c r="O53" s="84" t="n"/>
      <c r="P53" s="84" t="n"/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  <c r="AA53" s="84" t="n"/>
      <c r="AB53" s="86">
        <f>Chart_Engine!AG38</f>
        <v/>
      </c>
      <c r="AC53" s="87">
        <f>Chart_Engine!AH38</f>
        <v/>
      </c>
      <c r="AD53" s="84" t="n"/>
      <c r="AE53" s="84" t="n"/>
      <c r="AF53" s="84" t="n"/>
      <c r="AG53" s="84" t="n"/>
      <c r="AH53" s="84" t="n"/>
      <c r="AI53" s="84" t="n"/>
      <c r="AJ53" s="84" t="n"/>
      <c r="AK53" s="84" t="n"/>
      <c r="AL53" s="84" t="n"/>
      <c r="AM53" s="84" t="n"/>
      <c r="AN53" s="84" t="n"/>
      <c r="AO53" s="84" t="n"/>
      <c r="AP53" s="84" t="n"/>
    </row>
    <row r="54" ht="21.75" customHeight="1" s="65">
      <c r="A54" s="84" t="n"/>
      <c r="B54" s="120" t="inlineStr">
        <is>
          <t>🥧  Chart 4 of 5: Cost Share by Service — Top 9 + Other  (reflects all filters)</t>
        </is>
      </c>
      <c r="Z54" s="84" t="n"/>
      <c r="AA54" s="84" t="n"/>
      <c r="AB54" s="86">
        <f>Chart_Engine!AG39</f>
        <v/>
      </c>
      <c r="AC54" s="87">
        <f>Chart_Engine!AH39</f>
        <v/>
      </c>
      <c r="AD54" s="84" t="n"/>
      <c r="AE54" s="84" t="n"/>
      <c r="AF54" s="84" t="n"/>
      <c r="AG54" s="84" t="n"/>
      <c r="AH54" s="84" t="n"/>
      <c r="AI54" s="84" t="n"/>
      <c r="AJ54" s="84" t="n"/>
      <c r="AK54" s="84" t="n"/>
      <c r="AL54" s="84" t="n"/>
      <c r="AM54" s="84" t="n"/>
      <c r="AN54" s="84" t="n"/>
      <c r="AO54" s="84" t="n"/>
      <c r="AP54" s="84" t="n"/>
    </row>
    <row r="55" ht="19.5" customHeight="1" s="65">
      <c r="A55" s="84" t="n"/>
      <c r="B55" s="93" t="inlineStr">
        <is>
          <t>#</t>
        </is>
      </c>
      <c r="C55" s="93" t="inlineStr">
        <is>
          <t>Service</t>
        </is>
      </c>
      <c r="G55" s="93" t="inlineStr">
        <is>
          <t>Current ($)</t>
        </is>
      </c>
      <c r="J55" s="93" t="inlineStr">
        <is>
          <t>% of Total</t>
        </is>
      </c>
      <c r="M55" s="84" t="n"/>
      <c r="N55" s="84" t="n"/>
      <c r="O55" s="84" t="n"/>
      <c r="P55" s="84" t="n"/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  <c r="AA55" s="84" t="n"/>
      <c r="AB55" s="84" t="n"/>
      <c r="AC55" s="84" t="n"/>
      <c r="AD55" s="84" t="n"/>
      <c r="AE55" s="84" t="n"/>
      <c r="AF55" s="84" t="n"/>
      <c r="AG55" s="84" t="n"/>
      <c r="AH55" s="84" t="n"/>
      <c r="AI55" s="84" t="n"/>
      <c r="AJ55" s="84" t="n"/>
      <c r="AK55" s="84" t="n"/>
      <c r="AL55" s="84" t="n"/>
      <c r="AM55" s="84" t="n"/>
      <c r="AN55" s="84" t="n"/>
      <c r="AO55" s="84" t="n"/>
      <c r="AP55" s="84" t="n"/>
    </row>
    <row r="56" ht="15" customHeight="1" s="65">
      <c r="A56" s="84" t="n"/>
      <c r="B56" s="106" t="n">
        <v>1</v>
      </c>
      <c r="C56" s="107">
        <f>Chart_Engine!AG30</f>
        <v/>
      </c>
      <c r="G56" s="108">
        <f>Chart_Engine!AH30</f>
        <v/>
      </c>
      <c r="J56" s="121">
        <f>IFERROR(Chart_Engine!AH30/(SUM(Chart_Engine!AH30:AH39)),0)</f>
        <v/>
      </c>
      <c r="M56" s="84" t="n"/>
      <c r="N56" s="84" t="n"/>
      <c r="O56" s="84" t="n"/>
      <c r="P56" s="84" t="n"/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  <c r="AA56" s="84" t="n"/>
      <c r="AB56" s="84" t="inlineStr">
        <is>
          <t>Service</t>
        </is>
      </c>
      <c r="AC56" s="84" t="inlineStr">
        <is>
          <t>Acct1</t>
        </is>
      </c>
      <c r="AD56" s="84" t="inlineStr">
        <is>
          <t>Acct2</t>
        </is>
      </c>
      <c r="AE56" s="84" t="n"/>
      <c r="AF56" s="84" t="n"/>
      <c r="AG56" s="84" t="n"/>
      <c r="AH56" s="84" t="n"/>
      <c r="AI56" s="84" t="n"/>
      <c r="AJ56" s="84" t="n"/>
      <c r="AK56" s="84" t="n"/>
      <c r="AL56" s="84" t="n"/>
      <c r="AM56" s="84" t="n"/>
      <c r="AN56" s="84" t="n"/>
      <c r="AO56" s="84" t="n"/>
      <c r="AP56" s="84" t="n"/>
    </row>
    <row r="57" ht="15" customHeight="1" s="65">
      <c r="A57" s="84" t="n"/>
      <c r="B57" s="111" t="n">
        <v>2</v>
      </c>
      <c r="C57" s="112">
        <f>Chart_Engine!AG31</f>
        <v/>
      </c>
      <c r="G57" s="113">
        <f>Chart_Engine!AH31</f>
        <v/>
      </c>
      <c r="J57" s="122">
        <f>IFERROR(Chart_Engine!AH31/(SUM(Chart_Engine!AH30:AH39)),0)</f>
        <v/>
      </c>
      <c r="M57" s="84" t="n"/>
      <c r="N57" s="84" t="n"/>
      <c r="O57" s="84" t="n"/>
      <c r="P57" s="84" t="n"/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  <c r="AA57" s="84" t="n"/>
      <c r="AB57" s="86">
        <f>Chart_Engine!AJ30</f>
        <v/>
      </c>
      <c r="AC57" s="87">
        <f>Chart_Engine!AK30</f>
        <v/>
      </c>
      <c r="AD57" s="87">
        <f>Chart_Engine!AL30</f>
        <v/>
      </c>
      <c r="AE57" s="84" t="n"/>
      <c r="AF57" s="84" t="n"/>
      <c r="AG57" s="84" t="n"/>
      <c r="AH57" s="84" t="n"/>
      <c r="AI57" s="84" t="n"/>
      <c r="AJ57" s="84" t="n"/>
      <c r="AK57" s="84" t="n"/>
      <c r="AL57" s="84" t="n"/>
      <c r="AM57" s="84" t="n"/>
      <c r="AN57" s="84" t="n"/>
      <c r="AO57" s="84" t="n"/>
      <c r="AP57" s="84" t="n"/>
    </row>
    <row r="58" ht="15" customHeight="1" s="65">
      <c r="A58" s="84" t="n"/>
      <c r="B58" s="106" t="n">
        <v>3</v>
      </c>
      <c r="C58" s="107">
        <f>Chart_Engine!AG32</f>
        <v/>
      </c>
      <c r="G58" s="108">
        <f>Chart_Engine!AH32</f>
        <v/>
      </c>
      <c r="J58" s="121">
        <f>IFERROR(Chart_Engine!AH32/(SUM(Chart_Engine!AH30:AH39)),0)</f>
        <v/>
      </c>
      <c r="M58" s="84" t="n"/>
      <c r="N58" s="84" t="n"/>
      <c r="O58" s="84" t="n"/>
      <c r="P58" s="84" t="n"/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  <c r="AA58" s="84" t="n"/>
      <c r="AB58" s="86">
        <f>Chart_Engine!AJ31</f>
        <v/>
      </c>
      <c r="AC58" s="87">
        <f>Chart_Engine!AK31</f>
        <v/>
      </c>
      <c r="AD58" s="87">
        <f>Chart_Engine!AL31</f>
        <v/>
      </c>
      <c r="AE58" s="84" t="n"/>
      <c r="AF58" s="84" t="n"/>
      <c r="AG58" s="84" t="n"/>
      <c r="AH58" s="84" t="n"/>
      <c r="AI58" s="84" t="n"/>
      <c r="AJ58" s="84" t="n"/>
      <c r="AK58" s="84" t="n"/>
      <c r="AL58" s="84" t="n"/>
      <c r="AM58" s="84" t="n"/>
      <c r="AN58" s="84" t="n"/>
      <c r="AO58" s="84" t="n"/>
      <c r="AP58" s="84" t="n"/>
    </row>
    <row r="59" ht="15" customHeight="1" s="65">
      <c r="A59" s="84" t="n"/>
      <c r="B59" s="111" t="n">
        <v>4</v>
      </c>
      <c r="C59" s="112">
        <f>Chart_Engine!AG33</f>
        <v/>
      </c>
      <c r="G59" s="113">
        <f>Chart_Engine!AH33</f>
        <v/>
      </c>
      <c r="J59" s="122">
        <f>IFERROR(Chart_Engine!AH33/(SUM(Chart_Engine!AH30:AH39)),0)</f>
        <v/>
      </c>
      <c r="M59" s="84" t="n"/>
      <c r="N59" s="84" t="n"/>
      <c r="O59" s="84" t="n"/>
      <c r="P59" s="84" t="n"/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  <c r="AA59" s="84" t="n"/>
      <c r="AB59" s="86">
        <f>Chart_Engine!AJ32</f>
        <v/>
      </c>
      <c r="AC59" s="87">
        <f>Chart_Engine!AK32</f>
        <v/>
      </c>
      <c r="AD59" s="87">
        <f>Chart_Engine!AL32</f>
        <v/>
      </c>
      <c r="AE59" s="84" t="n"/>
      <c r="AF59" s="84" t="n"/>
      <c r="AG59" s="84" t="n"/>
      <c r="AH59" s="84" t="n"/>
      <c r="AI59" s="84" t="n"/>
      <c r="AJ59" s="84" t="n"/>
      <c r="AK59" s="84" t="n"/>
      <c r="AL59" s="84" t="n"/>
      <c r="AM59" s="84" t="n"/>
      <c r="AN59" s="84" t="n"/>
      <c r="AO59" s="84" t="n"/>
      <c r="AP59" s="84" t="n"/>
    </row>
    <row r="60" ht="15" customHeight="1" s="65">
      <c r="A60" s="84" t="n"/>
      <c r="B60" s="106" t="n">
        <v>5</v>
      </c>
      <c r="C60" s="107">
        <f>Chart_Engine!AG34</f>
        <v/>
      </c>
      <c r="G60" s="108">
        <f>Chart_Engine!AH34</f>
        <v/>
      </c>
      <c r="J60" s="121">
        <f>IFERROR(Chart_Engine!AH34/(SUM(Chart_Engine!AH30:AH39)),0)</f>
        <v/>
      </c>
      <c r="M60" s="84" t="n"/>
      <c r="N60" s="84" t="n"/>
      <c r="O60" s="84" t="n"/>
      <c r="P60" s="84" t="n"/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  <c r="AA60" s="84" t="n"/>
      <c r="AB60" s="86">
        <f>Chart_Engine!AJ33</f>
        <v/>
      </c>
      <c r="AC60" s="87">
        <f>Chart_Engine!AK33</f>
        <v/>
      </c>
      <c r="AD60" s="87">
        <f>Chart_Engine!AL33</f>
        <v/>
      </c>
      <c r="AE60" s="84" t="n"/>
      <c r="AF60" s="84" t="n"/>
      <c r="AG60" s="84" t="n"/>
      <c r="AH60" s="84" t="n"/>
      <c r="AI60" s="84" t="n"/>
      <c r="AJ60" s="84" t="n"/>
      <c r="AK60" s="84" t="n"/>
      <c r="AL60" s="84" t="n"/>
      <c r="AM60" s="84" t="n"/>
      <c r="AN60" s="84" t="n"/>
      <c r="AO60" s="84" t="n"/>
      <c r="AP60" s="84" t="n"/>
    </row>
    <row r="61" ht="15" customHeight="1" s="65">
      <c r="A61" s="84" t="n"/>
      <c r="B61" s="111" t="n">
        <v>6</v>
      </c>
      <c r="C61" s="112">
        <f>Chart_Engine!AG35</f>
        <v/>
      </c>
      <c r="G61" s="113">
        <f>Chart_Engine!AH35</f>
        <v/>
      </c>
      <c r="J61" s="122">
        <f>IFERROR(Chart_Engine!AH35/(SUM(Chart_Engine!AH30:AH39)),0)</f>
        <v/>
      </c>
      <c r="M61" s="84" t="n"/>
      <c r="N61" s="84" t="n"/>
      <c r="O61" s="84" t="n"/>
      <c r="P61" s="84" t="n"/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  <c r="AA61" s="84" t="n"/>
      <c r="AB61" s="86">
        <f>Chart_Engine!AJ34</f>
        <v/>
      </c>
      <c r="AC61" s="87">
        <f>Chart_Engine!AK34</f>
        <v/>
      </c>
      <c r="AD61" s="87">
        <f>Chart_Engine!AL34</f>
        <v/>
      </c>
      <c r="AE61" s="84" t="n"/>
      <c r="AF61" s="84" t="n"/>
      <c r="AG61" s="84" t="n"/>
      <c r="AH61" s="84" t="n"/>
      <c r="AI61" s="84" t="n"/>
      <c r="AJ61" s="84" t="n"/>
      <c r="AK61" s="84" t="n"/>
      <c r="AL61" s="84" t="n"/>
      <c r="AM61" s="84" t="n"/>
      <c r="AN61" s="84" t="n"/>
      <c r="AO61" s="84" t="n"/>
      <c r="AP61" s="84" t="n"/>
    </row>
    <row r="62" ht="15" customHeight="1" s="65">
      <c r="A62" s="84" t="n"/>
      <c r="B62" s="106" t="n">
        <v>7</v>
      </c>
      <c r="C62" s="107">
        <f>Chart_Engine!AG36</f>
        <v/>
      </c>
      <c r="G62" s="108">
        <f>Chart_Engine!AH36</f>
        <v/>
      </c>
      <c r="J62" s="121">
        <f>IFERROR(Chart_Engine!AH36/(SUM(Chart_Engine!AH30:AH39)),0)</f>
        <v/>
      </c>
      <c r="M62" s="84" t="n"/>
      <c r="N62" s="84" t="n"/>
      <c r="O62" s="84" t="n"/>
      <c r="P62" s="84" t="n"/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  <c r="AA62" s="84" t="n"/>
      <c r="AB62" s="86">
        <f>Chart_Engine!AJ35</f>
        <v/>
      </c>
      <c r="AC62" s="87">
        <f>Chart_Engine!AK35</f>
        <v/>
      </c>
      <c r="AD62" s="87">
        <f>Chart_Engine!AL35</f>
        <v/>
      </c>
      <c r="AE62" s="84" t="n"/>
      <c r="AF62" s="84" t="n"/>
      <c r="AG62" s="84" t="n"/>
      <c r="AH62" s="84" t="n"/>
      <c r="AI62" s="84" t="n"/>
      <c r="AJ62" s="84" t="n"/>
      <c r="AK62" s="84" t="n"/>
      <c r="AL62" s="84" t="n"/>
      <c r="AM62" s="84" t="n"/>
      <c r="AN62" s="84" t="n"/>
      <c r="AO62" s="84" t="n"/>
      <c r="AP62" s="84" t="n"/>
    </row>
    <row r="63" ht="15" customHeight="1" s="65">
      <c r="A63" s="84" t="n"/>
      <c r="B63" s="111" t="n">
        <v>8</v>
      </c>
      <c r="C63" s="112">
        <f>Chart_Engine!AG37</f>
        <v/>
      </c>
      <c r="G63" s="113">
        <f>Chart_Engine!AH37</f>
        <v/>
      </c>
      <c r="J63" s="122">
        <f>IFERROR(Chart_Engine!AH37/(SUM(Chart_Engine!AH30:AH39)),0)</f>
        <v/>
      </c>
      <c r="M63" s="84" t="n"/>
      <c r="N63" s="84" t="n"/>
      <c r="O63" s="84" t="n"/>
      <c r="P63" s="84" t="n"/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  <c r="AA63" s="84" t="n"/>
      <c r="AB63" s="86">
        <f>Chart_Engine!AJ36</f>
        <v/>
      </c>
      <c r="AC63" s="87">
        <f>Chart_Engine!AK36</f>
        <v/>
      </c>
      <c r="AD63" s="87">
        <f>Chart_Engine!AL36</f>
        <v/>
      </c>
      <c r="AE63" s="84" t="n"/>
      <c r="AF63" s="84" t="n"/>
      <c r="AG63" s="84" t="n"/>
      <c r="AH63" s="84" t="n"/>
      <c r="AI63" s="84" t="n"/>
      <c r="AJ63" s="84" t="n"/>
      <c r="AK63" s="84" t="n"/>
      <c r="AL63" s="84" t="n"/>
      <c r="AM63" s="84" t="n"/>
      <c r="AN63" s="84" t="n"/>
      <c r="AO63" s="84" t="n"/>
      <c r="AP63" s="84" t="n"/>
    </row>
    <row r="64" ht="15" customHeight="1" s="65">
      <c r="A64" s="84" t="n"/>
      <c r="B64" s="106" t="n">
        <v>9</v>
      </c>
      <c r="C64" s="107">
        <f>Chart_Engine!AG38</f>
        <v/>
      </c>
      <c r="G64" s="108">
        <f>Chart_Engine!AH38</f>
        <v/>
      </c>
      <c r="J64" s="121">
        <f>IFERROR(Chart_Engine!AH38/(SUM(Chart_Engine!AH30:AH39)),0)</f>
        <v/>
      </c>
      <c r="M64" s="84" t="n"/>
      <c r="N64" s="84" t="n"/>
      <c r="O64" s="84" t="n"/>
      <c r="P64" s="84" t="n"/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  <c r="AA64" s="84" t="n"/>
      <c r="AB64" s="86">
        <f>Chart_Engine!AJ37</f>
        <v/>
      </c>
      <c r="AC64" s="87">
        <f>Chart_Engine!AK37</f>
        <v/>
      </c>
      <c r="AD64" s="87">
        <f>Chart_Engine!AL37</f>
        <v/>
      </c>
      <c r="AE64" s="84" t="n"/>
      <c r="AF64" s="84" t="n"/>
      <c r="AG64" s="84" t="n"/>
      <c r="AH64" s="84" t="n"/>
      <c r="AI64" s="84" t="n"/>
      <c r="AJ64" s="84" t="n"/>
      <c r="AK64" s="84" t="n"/>
      <c r="AL64" s="84" t="n"/>
      <c r="AM64" s="84" t="n"/>
      <c r="AN64" s="84" t="n"/>
      <c r="AO64" s="84" t="n"/>
      <c r="AP64" s="84" t="n"/>
    </row>
    <row r="65" ht="15" customHeight="1" s="65">
      <c r="A65" s="84" t="n"/>
      <c r="B65" s="111" t="n">
        <v>10</v>
      </c>
      <c r="C65" s="112">
        <f>Chart_Engine!AG39</f>
        <v/>
      </c>
      <c r="G65" s="113">
        <f>Chart_Engine!AH39</f>
        <v/>
      </c>
      <c r="J65" s="122">
        <f>IFERROR(Chart_Engine!AH39/(SUM(Chart_Engine!AH30:AH39)),0)</f>
        <v/>
      </c>
      <c r="M65" s="84" t="n"/>
      <c r="N65" s="84" t="n"/>
      <c r="O65" s="84" t="n"/>
      <c r="P65" s="84" t="n"/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  <c r="AA65" s="84" t="n"/>
      <c r="AB65" s="86">
        <f>Chart_Engine!AJ38</f>
        <v/>
      </c>
      <c r="AC65" s="87">
        <f>Chart_Engine!AK38</f>
        <v/>
      </c>
      <c r="AD65" s="87">
        <f>Chart_Engine!AL38</f>
        <v/>
      </c>
      <c r="AE65" s="84" t="n"/>
      <c r="AF65" s="84" t="n"/>
      <c r="AG65" s="84" t="n"/>
      <c r="AH65" s="84" t="n"/>
      <c r="AI65" s="84" t="n"/>
      <c r="AJ65" s="84" t="n"/>
      <c r="AK65" s="84" t="n"/>
      <c r="AL65" s="84" t="n"/>
      <c r="AM65" s="84" t="n"/>
      <c r="AN65" s="84" t="n"/>
      <c r="AO65" s="84" t="n"/>
      <c r="AP65" s="84" t="n"/>
    </row>
    <row r="66" ht="21.75" customHeight="1" s="65">
      <c r="A66" s="84" t="n"/>
      <c r="B66" s="105" t="inlineStr">
        <is>
          <t>⚖️   Chart 5 of 5: Account Comparison — Acct1 vs Acct2  (Top N by Selected Account | Current Month)</t>
        </is>
      </c>
      <c r="Z66" s="84" t="n"/>
      <c r="AA66" s="84" t="n"/>
      <c r="AB66" s="86">
        <f>Chart_Engine!AJ39</f>
        <v/>
      </c>
      <c r="AC66" s="87">
        <f>Chart_Engine!AK39</f>
        <v/>
      </c>
      <c r="AD66" s="87">
        <f>Chart_Engine!AL39</f>
        <v/>
      </c>
      <c r="AE66" s="84" t="n"/>
      <c r="AF66" s="84" t="n"/>
      <c r="AG66" s="84" t="n"/>
      <c r="AH66" s="84" t="n"/>
      <c r="AI66" s="84" t="n"/>
      <c r="AJ66" s="84" t="n"/>
      <c r="AK66" s="84" t="n"/>
      <c r="AL66" s="84" t="n"/>
      <c r="AM66" s="84" t="n"/>
      <c r="AN66" s="84" t="n"/>
      <c r="AO66" s="84" t="n"/>
      <c r="AP66" s="84" t="n"/>
    </row>
    <row r="67" ht="19.5" customHeight="1" s="65">
      <c r="A67" s="84" t="n"/>
      <c r="B67" s="93" t="inlineStr">
        <is>
          <t>#</t>
        </is>
      </c>
      <c r="C67" s="93" t="inlineStr">
        <is>
          <t>Service</t>
        </is>
      </c>
      <c r="F67" s="93" t="inlineStr">
        <is>
          <t>Acct1 ($)</t>
        </is>
      </c>
      <c r="H67" s="93" t="inlineStr">
        <is>
          <t>Acct2 ($)</t>
        </is>
      </c>
      <c r="J67" s="93" t="inlineStr">
        <is>
          <t>Difference ($)</t>
        </is>
      </c>
      <c r="L67" s="93" t="inlineStr">
        <is>
          <t>Acct1 %</t>
        </is>
      </c>
      <c r="N67" s="84" t="n"/>
      <c r="O67" s="84" t="n"/>
      <c r="P67" s="84" t="n"/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  <c r="AA67" s="84" t="n"/>
      <c r="AB67" s="86">
        <f>Chart_Engine!AJ40</f>
        <v/>
      </c>
      <c r="AC67" s="87">
        <f>Chart_Engine!AK40</f>
        <v/>
      </c>
      <c r="AD67" s="87">
        <f>Chart_Engine!AL40</f>
        <v/>
      </c>
      <c r="AE67" s="84" t="n"/>
      <c r="AF67" s="84" t="n"/>
      <c r="AG67" s="84" t="n"/>
      <c r="AH67" s="84" t="n"/>
      <c r="AI67" s="84" t="n"/>
      <c r="AJ67" s="84" t="n"/>
      <c r="AK67" s="84" t="n"/>
      <c r="AL67" s="84" t="n"/>
      <c r="AM67" s="84" t="n"/>
      <c r="AN67" s="84" t="n"/>
      <c r="AO67" s="84" t="n"/>
      <c r="AP67" s="84" t="n"/>
    </row>
    <row r="68" ht="15" customHeight="1" s="65">
      <c r="A68" s="84" t="n"/>
      <c r="B68" s="106" t="n">
        <v>1</v>
      </c>
      <c r="C68" s="107">
        <f>IF(1&lt;=Dashboard!$W$5,Chart_Engine!AJ30,"")</f>
        <v/>
      </c>
      <c r="F68" s="108">
        <f>IF(1&lt;=Dashboard!$W$5,Chart_Engine!AK30,0)</f>
        <v/>
      </c>
      <c r="H68" s="108">
        <f>IF(1&lt;=Dashboard!$W$5,Chart_Engine!AL30,0)</f>
        <v/>
      </c>
      <c r="J68" s="109">
        <f>IF(1&lt;=Dashboard!$W$5,Chart_Engine!AK30-Chart_Engine!AL30,0)</f>
        <v/>
      </c>
      <c r="L68" s="121">
        <f>IF(1&lt;=Dashboard!$W$5,IFERROR(Chart_Engine!AK30/(Chart_Engine!AK30+Chart_Engine!AL30),0),0)</f>
        <v/>
      </c>
      <c r="N68" s="84" t="n"/>
      <c r="O68" s="84" t="n"/>
      <c r="P68" s="84" t="n"/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  <c r="AA68" s="84" t="n"/>
      <c r="AB68" s="86">
        <f>Chart_Engine!AJ41</f>
        <v/>
      </c>
      <c r="AC68" s="87">
        <f>Chart_Engine!AK41</f>
        <v/>
      </c>
      <c r="AD68" s="87">
        <f>Chart_Engine!AL41</f>
        <v/>
      </c>
      <c r="AE68" s="84" t="n"/>
      <c r="AF68" s="84" t="n"/>
      <c r="AG68" s="84" t="n"/>
      <c r="AH68" s="84" t="n"/>
      <c r="AI68" s="84" t="n"/>
      <c r="AJ68" s="84" t="n"/>
      <c r="AK68" s="84" t="n"/>
      <c r="AL68" s="84" t="n"/>
      <c r="AM68" s="84" t="n"/>
      <c r="AN68" s="84" t="n"/>
      <c r="AO68" s="84" t="n"/>
      <c r="AP68" s="84" t="n"/>
    </row>
    <row r="69" ht="15" customHeight="1" s="65">
      <c r="A69" s="84" t="n"/>
      <c r="B69" s="111" t="n">
        <v>2</v>
      </c>
      <c r="C69" s="112">
        <f>IF(2&lt;=Dashboard!$W$5,Chart_Engine!AJ31,"")</f>
        <v/>
      </c>
      <c r="F69" s="113">
        <f>IF(2&lt;=Dashboard!$W$5,Chart_Engine!AK31,0)</f>
        <v/>
      </c>
      <c r="H69" s="113">
        <f>IF(2&lt;=Dashboard!$W$5,Chart_Engine!AL31,0)</f>
        <v/>
      </c>
      <c r="J69" s="114">
        <f>IF(2&lt;=Dashboard!$W$5,Chart_Engine!AK31-Chart_Engine!AL31,0)</f>
        <v/>
      </c>
      <c r="L69" s="122">
        <f>IF(2&lt;=Dashboard!$W$5,IFERROR(Chart_Engine!AK31/(Chart_Engine!AK31+Chart_Engine!AL31),0),0)</f>
        <v/>
      </c>
      <c r="N69" s="84" t="n"/>
      <c r="O69" s="84" t="n"/>
      <c r="P69" s="84" t="n"/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  <c r="AA69" s="84" t="n"/>
      <c r="AB69" s="86">
        <f>Chart_Engine!AJ42</f>
        <v/>
      </c>
      <c r="AC69" s="87">
        <f>Chart_Engine!AK42</f>
        <v/>
      </c>
      <c r="AD69" s="87">
        <f>Chart_Engine!AL42</f>
        <v/>
      </c>
      <c r="AE69" s="84" t="n"/>
      <c r="AF69" s="84" t="n"/>
      <c r="AG69" s="84" t="n"/>
      <c r="AH69" s="84" t="n"/>
      <c r="AI69" s="84" t="n"/>
      <c r="AJ69" s="84" t="n"/>
      <c r="AK69" s="84" t="n"/>
      <c r="AL69" s="84" t="n"/>
      <c r="AM69" s="84" t="n"/>
      <c r="AN69" s="84" t="n"/>
      <c r="AO69" s="84" t="n"/>
      <c r="AP69" s="84" t="n"/>
    </row>
    <row r="70" ht="15" customHeight="1" s="65">
      <c r="A70" s="84" t="n"/>
      <c r="B70" s="106" t="n">
        <v>3</v>
      </c>
      <c r="C70" s="107">
        <f>IF(3&lt;=Dashboard!$W$5,Chart_Engine!AJ32,"")</f>
        <v/>
      </c>
      <c r="F70" s="108">
        <f>IF(3&lt;=Dashboard!$W$5,Chart_Engine!AK32,0)</f>
        <v/>
      </c>
      <c r="H70" s="108">
        <f>IF(3&lt;=Dashboard!$W$5,Chart_Engine!AL32,0)</f>
        <v/>
      </c>
      <c r="J70" s="109">
        <f>IF(3&lt;=Dashboard!$W$5,Chart_Engine!AK32-Chart_Engine!AL32,0)</f>
        <v/>
      </c>
      <c r="L70" s="121">
        <f>IF(3&lt;=Dashboard!$W$5,IFERROR(Chart_Engine!AK32/(Chart_Engine!AK32+Chart_Engine!AL32),0),0)</f>
        <v/>
      </c>
      <c r="N70" s="84" t="n"/>
      <c r="O70" s="84" t="n"/>
      <c r="P70" s="84" t="n"/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  <c r="AA70" s="84" t="n"/>
      <c r="AB70" s="86">
        <f>Chart_Engine!AJ43</f>
        <v/>
      </c>
      <c r="AC70" s="87">
        <f>Chart_Engine!AK43</f>
        <v/>
      </c>
      <c r="AD70" s="87">
        <f>Chart_Engine!AL43</f>
        <v/>
      </c>
      <c r="AE70" s="84" t="n"/>
      <c r="AF70" s="84" t="n"/>
      <c r="AG70" s="84" t="n"/>
      <c r="AH70" s="84" t="n"/>
      <c r="AI70" s="84" t="n"/>
      <c r="AJ70" s="84" t="n"/>
      <c r="AK70" s="84" t="n"/>
      <c r="AL70" s="84" t="n"/>
      <c r="AM70" s="84" t="n"/>
      <c r="AN70" s="84" t="n"/>
      <c r="AO70" s="84" t="n"/>
      <c r="AP70" s="84" t="n"/>
    </row>
    <row r="71" ht="15" customHeight="1" s="65">
      <c r="A71" s="84" t="n"/>
      <c r="B71" s="111" t="n">
        <v>4</v>
      </c>
      <c r="C71" s="112">
        <f>IF(4&lt;=Dashboard!$W$5,Chart_Engine!AJ33,"")</f>
        <v/>
      </c>
      <c r="F71" s="113">
        <f>IF(4&lt;=Dashboard!$W$5,Chart_Engine!AK33,0)</f>
        <v/>
      </c>
      <c r="H71" s="113">
        <f>IF(4&lt;=Dashboard!$W$5,Chart_Engine!AL33,0)</f>
        <v/>
      </c>
      <c r="J71" s="114">
        <f>IF(4&lt;=Dashboard!$W$5,Chart_Engine!AK33-Chart_Engine!AL33,0)</f>
        <v/>
      </c>
      <c r="L71" s="122">
        <f>IF(4&lt;=Dashboard!$W$5,IFERROR(Chart_Engine!AK33/(Chart_Engine!AK33+Chart_Engine!AL33),0),0)</f>
        <v/>
      </c>
      <c r="N71" s="84" t="n"/>
      <c r="O71" s="84" t="n"/>
      <c r="P71" s="84" t="n"/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  <c r="AA71" s="84" t="n"/>
      <c r="AB71" s="86">
        <f>Chart_Engine!AJ44</f>
        <v/>
      </c>
      <c r="AC71" s="87">
        <f>Chart_Engine!AK44</f>
        <v/>
      </c>
      <c r="AD71" s="87">
        <f>Chart_Engine!AL44</f>
        <v/>
      </c>
      <c r="AE71" s="84" t="n"/>
      <c r="AF71" s="84" t="n"/>
      <c r="AG71" s="84" t="n"/>
      <c r="AH71" s="84" t="n"/>
      <c r="AI71" s="84" t="n"/>
      <c r="AJ71" s="84" t="n"/>
      <c r="AK71" s="84" t="n"/>
      <c r="AL71" s="84" t="n"/>
      <c r="AM71" s="84" t="n"/>
      <c r="AN71" s="84" t="n"/>
      <c r="AO71" s="84" t="n"/>
      <c r="AP71" s="84" t="n"/>
    </row>
    <row r="72" ht="15" customHeight="1" s="65">
      <c r="A72" s="84" t="n"/>
      <c r="B72" s="106" t="n">
        <v>5</v>
      </c>
      <c r="C72" s="107">
        <f>IF(5&lt;=Dashboard!$W$5,Chart_Engine!AJ34,"")</f>
        <v/>
      </c>
      <c r="F72" s="108">
        <f>IF(5&lt;=Dashboard!$W$5,Chart_Engine!AK34,0)</f>
        <v/>
      </c>
      <c r="H72" s="108">
        <f>IF(5&lt;=Dashboard!$W$5,Chart_Engine!AL34,0)</f>
        <v/>
      </c>
      <c r="J72" s="109">
        <f>IF(5&lt;=Dashboard!$W$5,Chart_Engine!AK34-Chart_Engine!AL34,0)</f>
        <v/>
      </c>
      <c r="L72" s="121">
        <f>IF(5&lt;=Dashboard!$W$5,IFERROR(Chart_Engine!AK34/(Chart_Engine!AK34+Chart_Engine!AL34),0),0)</f>
        <v/>
      </c>
      <c r="N72" s="84" t="n"/>
      <c r="O72" s="84" t="n"/>
      <c r="P72" s="84" t="n"/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  <c r="AA72" s="84" t="n"/>
      <c r="AB72" s="84" t="n"/>
      <c r="AC72" s="84" t="n"/>
      <c r="AD72" s="84" t="n"/>
      <c r="AE72" s="84" t="n"/>
      <c r="AF72" s="84" t="n"/>
      <c r="AG72" s="84" t="n"/>
      <c r="AH72" s="84" t="n"/>
      <c r="AI72" s="84" t="n"/>
      <c r="AJ72" s="84" t="n"/>
      <c r="AK72" s="84" t="n"/>
      <c r="AL72" s="84" t="n"/>
      <c r="AM72" s="84" t="n"/>
      <c r="AN72" s="84" t="n"/>
      <c r="AO72" s="84" t="n"/>
      <c r="AP72" s="84" t="n"/>
    </row>
    <row r="73" ht="15" customHeight="1" s="65">
      <c r="A73" s="84" t="n"/>
      <c r="B73" s="111" t="n">
        <v>6</v>
      </c>
      <c r="C73" s="112">
        <f>IF(6&lt;=Dashboard!$W$5,Chart_Engine!AJ35,"")</f>
        <v/>
      </c>
      <c r="F73" s="113">
        <f>IF(6&lt;=Dashboard!$W$5,Chart_Engine!AK35,0)</f>
        <v/>
      </c>
      <c r="H73" s="113">
        <f>IF(6&lt;=Dashboard!$W$5,Chart_Engine!AL35,0)</f>
        <v/>
      </c>
      <c r="J73" s="114">
        <f>IF(6&lt;=Dashboard!$W$5,Chart_Engine!AK35-Chart_Engine!AL35,0)</f>
        <v/>
      </c>
      <c r="L73" s="122">
        <f>IF(6&lt;=Dashboard!$W$5,IFERROR(Chart_Engine!AK35/(Chart_Engine!AK35+Chart_Engine!AL35),0),0)</f>
        <v/>
      </c>
      <c r="N73" s="84" t="n"/>
      <c r="O73" s="84" t="n"/>
      <c r="P73" s="84" t="n"/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  <c r="AA73" s="84" t="n"/>
      <c r="AB73" s="84" t="n"/>
      <c r="AC73" s="84" t="n"/>
      <c r="AD73" s="84" t="n"/>
      <c r="AE73" s="84" t="n"/>
      <c r="AF73" s="84" t="n"/>
      <c r="AG73" s="84" t="n"/>
      <c r="AH73" s="84" t="n"/>
      <c r="AI73" s="84" t="n"/>
      <c r="AJ73" s="84" t="n"/>
      <c r="AK73" s="84" t="n"/>
      <c r="AL73" s="84" t="n"/>
      <c r="AM73" s="84" t="n"/>
      <c r="AN73" s="84" t="n"/>
      <c r="AO73" s="84" t="n"/>
      <c r="AP73" s="84" t="n"/>
    </row>
    <row r="74" ht="15" customHeight="1" s="65">
      <c r="A74" s="84" t="n"/>
      <c r="B74" s="106" t="n">
        <v>7</v>
      </c>
      <c r="C74" s="107">
        <f>IF(7&lt;=Dashboard!$W$5,Chart_Engine!AJ36,"")</f>
        <v/>
      </c>
      <c r="F74" s="108">
        <f>IF(7&lt;=Dashboard!$W$5,Chart_Engine!AK36,0)</f>
        <v/>
      </c>
      <c r="H74" s="108">
        <f>IF(7&lt;=Dashboard!$W$5,Chart_Engine!AL36,0)</f>
        <v/>
      </c>
      <c r="J74" s="109">
        <f>IF(7&lt;=Dashboard!$W$5,Chart_Engine!AK36-Chart_Engine!AL36,0)</f>
        <v/>
      </c>
      <c r="L74" s="121">
        <f>IF(7&lt;=Dashboard!$W$5,IFERROR(Chart_Engine!AK36/(Chart_Engine!AK36+Chart_Engine!AL36),0),0)</f>
        <v/>
      </c>
      <c r="N74" s="84" t="n"/>
      <c r="O74" s="84" t="n"/>
      <c r="P74" s="84" t="n"/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  <c r="AA74" s="84" t="n"/>
      <c r="AB74" s="84" t="n"/>
      <c r="AC74" s="84" t="n"/>
      <c r="AD74" s="84" t="n"/>
      <c r="AE74" s="84" t="n"/>
      <c r="AF74" s="84" t="n"/>
      <c r="AG74" s="84" t="n"/>
      <c r="AH74" s="84" t="n"/>
      <c r="AI74" s="84" t="n"/>
      <c r="AJ74" s="84" t="n"/>
      <c r="AK74" s="84" t="n"/>
      <c r="AL74" s="84" t="n"/>
      <c r="AM74" s="84" t="n"/>
      <c r="AN74" s="84" t="n"/>
      <c r="AO74" s="84" t="n"/>
      <c r="AP74" s="84" t="n"/>
    </row>
    <row r="75" ht="15" customHeight="1" s="65">
      <c r="A75" s="84" t="n"/>
      <c r="B75" s="111" t="n">
        <v>8</v>
      </c>
      <c r="C75" s="112">
        <f>IF(8&lt;=Dashboard!$W$5,Chart_Engine!AJ37,"")</f>
        <v/>
      </c>
      <c r="F75" s="113">
        <f>IF(8&lt;=Dashboard!$W$5,Chart_Engine!AK37,0)</f>
        <v/>
      </c>
      <c r="H75" s="113">
        <f>IF(8&lt;=Dashboard!$W$5,Chart_Engine!AL37,0)</f>
        <v/>
      </c>
      <c r="J75" s="114">
        <f>IF(8&lt;=Dashboard!$W$5,Chart_Engine!AK37-Chart_Engine!AL37,0)</f>
        <v/>
      </c>
      <c r="L75" s="122">
        <f>IF(8&lt;=Dashboard!$W$5,IFERROR(Chart_Engine!AK37/(Chart_Engine!AK37+Chart_Engine!AL37),0),0)</f>
        <v/>
      </c>
      <c r="N75" s="84" t="n"/>
      <c r="O75" s="84" t="n"/>
      <c r="P75" s="84" t="n"/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  <c r="AA75" s="84" t="n"/>
      <c r="AB75" s="84" t="n"/>
      <c r="AC75" s="84" t="n"/>
      <c r="AD75" s="84" t="n"/>
      <c r="AE75" s="84" t="n"/>
      <c r="AF75" s="84" t="n"/>
      <c r="AG75" s="84" t="n"/>
      <c r="AH75" s="84" t="n"/>
      <c r="AI75" s="84" t="n"/>
      <c r="AJ75" s="84" t="n"/>
      <c r="AK75" s="84" t="n"/>
      <c r="AL75" s="84" t="n"/>
      <c r="AM75" s="84" t="n"/>
      <c r="AN75" s="84" t="n"/>
      <c r="AO75" s="84" t="n"/>
      <c r="AP75" s="84" t="n"/>
    </row>
    <row r="76" ht="15" customHeight="1" s="65">
      <c r="A76" s="84" t="n"/>
      <c r="B76" s="106" t="n">
        <v>9</v>
      </c>
      <c r="C76" s="107">
        <f>IF(9&lt;=Dashboard!$W$5,Chart_Engine!AJ38,"")</f>
        <v/>
      </c>
      <c r="F76" s="108">
        <f>IF(9&lt;=Dashboard!$W$5,Chart_Engine!AK38,0)</f>
        <v/>
      </c>
      <c r="H76" s="108">
        <f>IF(9&lt;=Dashboard!$W$5,Chart_Engine!AL38,0)</f>
        <v/>
      </c>
      <c r="J76" s="109">
        <f>IF(9&lt;=Dashboard!$W$5,Chart_Engine!AK38-Chart_Engine!AL38,0)</f>
        <v/>
      </c>
      <c r="L76" s="121">
        <f>IF(9&lt;=Dashboard!$W$5,IFERROR(Chart_Engine!AK38/(Chart_Engine!AK38+Chart_Engine!AL38),0),0)</f>
        <v/>
      </c>
      <c r="N76" s="84" t="n"/>
      <c r="O76" s="84" t="n"/>
      <c r="P76" s="84" t="n"/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  <c r="AA76" s="84" t="n"/>
      <c r="AB76" s="84" t="n"/>
      <c r="AC76" s="84" t="n"/>
      <c r="AD76" s="84" t="n"/>
      <c r="AE76" s="84" t="n"/>
      <c r="AF76" s="84" t="n"/>
      <c r="AG76" s="84" t="n"/>
      <c r="AH76" s="84" t="n"/>
      <c r="AI76" s="84" t="n"/>
      <c r="AJ76" s="84" t="n"/>
      <c r="AK76" s="84" t="n"/>
      <c r="AL76" s="84" t="n"/>
      <c r="AM76" s="84" t="n"/>
      <c r="AN76" s="84" t="n"/>
      <c r="AO76" s="84" t="n"/>
      <c r="AP76" s="84" t="n"/>
    </row>
    <row r="77" ht="15" customHeight="1" s="65">
      <c r="A77" s="84" t="n"/>
      <c r="B77" s="111" t="n">
        <v>10</v>
      </c>
      <c r="C77" s="112">
        <f>IF(10&lt;=Dashboard!$W$5,Chart_Engine!AJ39,"")</f>
        <v/>
      </c>
      <c r="F77" s="113">
        <f>IF(10&lt;=Dashboard!$W$5,Chart_Engine!AK39,0)</f>
        <v/>
      </c>
      <c r="H77" s="113">
        <f>IF(10&lt;=Dashboard!$W$5,Chart_Engine!AL39,0)</f>
        <v/>
      </c>
      <c r="J77" s="114">
        <f>IF(10&lt;=Dashboard!$W$5,Chart_Engine!AK39-Chart_Engine!AL39,0)</f>
        <v/>
      </c>
      <c r="L77" s="122">
        <f>IF(10&lt;=Dashboard!$W$5,IFERROR(Chart_Engine!AK39/(Chart_Engine!AK39+Chart_Engine!AL39),0),0)</f>
        <v/>
      </c>
      <c r="N77" s="84" t="n"/>
      <c r="O77" s="84" t="n"/>
      <c r="P77" s="84" t="n"/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  <c r="AA77" s="84" t="n"/>
      <c r="AB77" s="84" t="n"/>
      <c r="AC77" s="84" t="n"/>
      <c r="AD77" s="84" t="n"/>
      <c r="AE77" s="84" t="n"/>
      <c r="AF77" s="84" t="n"/>
      <c r="AG77" s="84" t="n"/>
      <c r="AH77" s="84" t="n"/>
      <c r="AI77" s="84" t="n"/>
      <c r="AJ77" s="84" t="n"/>
      <c r="AK77" s="84" t="n"/>
      <c r="AL77" s="84" t="n"/>
      <c r="AM77" s="84" t="n"/>
      <c r="AN77" s="84" t="n"/>
      <c r="AO77" s="84" t="n"/>
      <c r="AP77" s="84" t="n"/>
    </row>
    <row r="78" ht="15" customHeight="1" s="65">
      <c r="A78" s="84" t="n"/>
      <c r="B78" s="106" t="n">
        <v>11</v>
      </c>
      <c r="C78" s="107">
        <f>IF(11&lt;=Dashboard!$W$5,Chart_Engine!AJ40,"")</f>
        <v/>
      </c>
      <c r="F78" s="108">
        <f>IF(11&lt;=Dashboard!$W$5,Chart_Engine!AK40,0)</f>
        <v/>
      </c>
      <c r="H78" s="108">
        <f>IF(11&lt;=Dashboard!$W$5,Chart_Engine!AL40,0)</f>
        <v/>
      </c>
      <c r="J78" s="109">
        <f>IF(11&lt;=Dashboard!$W$5,Chart_Engine!AK40-Chart_Engine!AL40,0)</f>
        <v/>
      </c>
      <c r="L78" s="121">
        <f>IF(11&lt;=Dashboard!$W$5,IFERROR(Chart_Engine!AK40/(Chart_Engine!AK40+Chart_Engine!AL40),0),0)</f>
        <v/>
      </c>
      <c r="N78" s="84" t="n"/>
      <c r="O78" s="84" t="n"/>
      <c r="P78" s="84" t="n"/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  <c r="AA78" s="84" t="n"/>
      <c r="AB78" s="84" t="n"/>
      <c r="AC78" s="84" t="n"/>
      <c r="AD78" s="84" t="n"/>
      <c r="AE78" s="84" t="n"/>
      <c r="AF78" s="84" t="n"/>
      <c r="AG78" s="84" t="n"/>
      <c r="AH78" s="84" t="n"/>
      <c r="AI78" s="84" t="n"/>
      <c r="AJ78" s="84" t="n"/>
      <c r="AK78" s="84" t="n"/>
      <c r="AL78" s="84" t="n"/>
      <c r="AM78" s="84" t="n"/>
      <c r="AN78" s="84" t="n"/>
      <c r="AO78" s="84" t="n"/>
      <c r="AP78" s="84" t="n"/>
    </row>
    <row r="79" ht="15" customHeight="1" s="65">
      <c r="A79" s="84" t="n"/>
      <c r="B79" s="111" t="n">
        <v>12</v>
      </c>
      <c r="C79" s="112">
        <f>IF(12&lt;=Dashboard!$W$5,Chart_Engine!AJ41,"")</f>
        <v/>
      </c>
      <c r="F79" s="113">
        <f>IF(12&lt;=Dashboard!$W$5,Chart_Engine!AK41,0)</f>
        <v/>
      </c>
      <c r="H79" s="113">
        <f>IF(12&lt;=Dashboard!$W$5,Chart_Engine!AL41,0)</f>
        <v/>
      </c>
      <c r="J79" s="114">
        <f>IF(12&lt;=Dashboard!$W$5,Chart_Engine!AK41-Chart_Engine!AL41,0)</f>
        <v/>
      </c>
      <c r="L79" s="122">
        <f>IF(12&lt;=Dashboard!$W$5,IFERROR(Chart_Engine!AK41/(Chart_Engine!AK41+Chart_Engine!AL41),0),0)</f>
        <v/>
      </c>
      <c r="N79" s="84" t="n"/>
      <c r="O79" s="84" t="n"/>
      <c r="P79" s="84" t="n"/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4" t="n"/>
      <c r="AB79" s="84" t="n"/>
      <c r="AC79" s="84" t="n"/>
      <c r="AD79" s="84" t="n"/>
      <c r="AE79" s="84" t="n"/>
      <c r="AF79" s="84" t="n"/>
      <c r="AG79" s="84" t="n"/>
      <c r="AH79" s="84" t="n"/>
      <c r="AI79" s="84" t="n"/>
      <c r="AJ79" s="84" t="n"/>
      <c r="AK79" s="84" t="n"/>
      <c r="AL79" s="84" t="n"/>
      <c r="AM79" s="84" t="n"/>
      <c r="AN79" s="84" t="n"/>
      <c r="AO79" s="84" t="n"/>
      <c r="AP79" s="84" t="n"/>
    </row>
    <row r="80" ht="15" customHeight="1" s="65">
      <c r="A80" s="84" t="n"/>
      <c r="B80" s="106" t="n">
        <v>13</v>
      </c>
      <c r="C80" s="107">
        <f>IF(13&lt;=Dashboard!$W$5,Chart_Engine!AJ42,"")</f>
        <v/>
      </c>
      <c r="F80" s="108">
        <f>IF(13&lt;=Dashboard!$W$5,Chart_Engine!AK42,0)</f>
        <v/>
      </c>
      <c r="H80" s="108">
        <f>IF(13&lt;=Dashboard!$W$5,Chart_Engine!AL42,0)</f>
        <v/>
      </c>
      <c r="J80" s="109">
        <f>IF(13&lt;=Dashboard!$W$5,Chart_Engine!AK42-Chart_Engine!AL42,0)</f>
        <v/>
      </c>
      <c r="L80" s="121">
        <f>IF(13&lt;=Dashboard!$W$5,IFERROR(Chart_Engine!AK42/(Chart_Engine!AK42+Chart_Engine!AL42),0),0)</f>
        <v/>
      </c>
      <c r="N80" s="84" t="n"/>
      <c r="O80" s="84" t="n"/>
      <c r="P80" s="84" t="n"/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  <c r="AA80" s="84" t="n"/>
      <c r="AB80" s="84" t="n"/>
      <c r="AC80" s="84" t="n"/>
      <c r="AD80" s="84" t="n"/>
      <c r="AE80" s="84" t="n"/>
      <c r="AF80" s="84" t="n"/>
      <c r="AG80" s="84" t="n"/>
      <c r="AH80" s="84" t="n"/>
      <c r="AI80" s="84" t="n"/>
      <c r="AJ80" s="84" t="n"/>
      <c r="AK80" s="84" t="n"/>
      <c r="AL80" s="84" t="n"/>
      <c r="AM80" s="84" t="n"/>
      <c r="AN80" s="84" t="n"/>
      <c r="AO80" s="84" t="n"/>
      <c r="AP80" s="84" t="n"/>
    </row>
    <row r="81" ht="15" customHeight="1" s="65">
      <c r="A81" s="84" t="n"/>
      <c r="B81" s="111" t="n">
        <v>14</v>
      </c>
      <c r="C81" s="112">
        <f>IF(14&lt;=Dashboard!$W$5,Chart_Engine!AJ43,"")</f>
        <v/>
      </c>
      <c r="F81" s="113">
        <f>IF(14&lt;=Dashboard!$W$5,Chart_Engine!AK43,0)</f>
        <v/>
      </c>
      <c r="H81" s="113">
        <f>IF(14&lt;=Dashboard!$W$5,Chart_Engine!AL43,0)</f>
        <v/>
      </c>
      <c r="J81" s="114">
        <f>IF(14&lt;=Dashboard!$W$5,Chart_Engine!AK43-Chart_Engine!AL43,0)</f>
        <v/>
      </c>
      <c r="L81" s="122">
        <f>IF(14&lt;=Dashboard!$W$5,IFERROR(Chart_Engine!AK43/(Chart_Engine!AK43+Chart_Engine!AL43),0),0)</f>
        <v/>
      </c>
      <c r="N81" s="84" t="n"/>
      <c r="O81" s="84" t="n"/>
      <c r="P81" s="84" t="n"/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  <c r="AA81" s="84" t="n"/>
      <c r="AB81" s="84" t="n"/>
      <c r="AC81" s="84" t="n"/>
      <c r="AD81" s="84" t="n"/>
      <c r="AE81" s="84" t="n"/>
      <c r="AF81" s="84" t="n"/>
      <c r="AG81" s="84" t="n"/>
      <c r="AH81" s="84" t="n"/>
      <c r="AI81" s="84" t="n"/>
      <c r="AJ81" s="84" t="n"/>
      <c r="AK81" s="84" t="n"/>
      <c r="AL81" s="84" t="n"/>
      <c r="AM81" s="84" t="n"/>
      <c r="AN81" s="84" t="n"/>
      <c r="AO81" s="84" t="n"/>
      <c r="AP81" s="84" t="n"/>
    </row>
    <row r="82" ht="15" customHeight="1" s="65">
      <c r="A82" s="84" t="n"/>
      <c r="B82" s="106" t="n">
        <v>15</v>
      </c>
      <c r="C82" s="107">
        <f>IF(15&lt;=Dashboard!$W$5,Chart_Engine!AJ44,"")</f>
        <v/>
      </c>
      <c r="F82" s="108">
        <f>IF(15&lt;=Dashboard!$W$5,Chart_Engine!AK44,0)</f>
        <v/>
      </c>
      <c r="H82" s="108">
        <f>IF(15&lt;=Dashboard!$W$5,Chart_Engine!AL44,0)</f>
        <v/>
      </c>
      <c r="J82" s="109">
        <f>IF(15&lt;=Dashboard!$W$5,Chart_Engine!AK44-Chart_Engine!AL44,0)</f>
        <v/>
      </c>
      <c r="L82" s="121">
        <f>IF(15&lt;=Dashboard!$W$5,IFERROR(Chart_Engine!AK44/(Chart_Engine!AK44+Chart_Engine!AL44),0),0)</f>
        <v/>
      </c>
      <c r="N82" s="84" t="n"/>
      <c r="O82" s="84" t="n"/>
      <c r="P82" s="84" t="n"/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  <c r="AA82" s="84" t="n"/>
      <c r="AB82" s="84" t="n"/>
      <c r="AC82" s="84" t="n"/>
      <c r="AD82" s="84" t="n"/>
      <c r="AE82" s="84" t="n"/>
      <c r="AF82" s="84" t="n"/>
      <c r="AG82" s="84" t="n"/>
      <c r="AH82" s="84" t="n"/>
      <c r="AI82" s="84" t="n"/>
      <c r="AJ82" s="84" t="n"/>
      <c r="AK82" s="84" t="n"/>
      <c r="AL82" s="84" t="n"/>
      <c r="AM82" s="84" t="n"/>
      <c r="AN82" s="84" t="n"/>
      <c r="AO82" s="84" t="n"/>
      <c r="AP82" s="84" t="n"/>
    </row>
    <row r="83" ht="21.75" customHeight="1" s="65">
      <c r="A83" s="84" t="n"/>
      <c r="B83" s="105" t="inlineStr">
        <is>
          <t>📋  MONTHLY REFRESH CHECKLIST</t>
        </is>
      </c>
      <c r="Z83" s="84" t="n"/>
      <c r="AA83" s="84" t="n"/>
      <c r="AB83" s="84" t="n"/>
      <c r="AC83" s="84" t="n"/>
      <c r="AD83" s="84" t="n"/>
      <c r="AE83" s="84" t="n"/>
      <c r="AF83" s="84" t="n"/>
      <c r="AG83" s="84" t="n"/>
      <c r="AH83" s="84" t="n"/>
      <c r="AI83" s="84" t="n"/>
      <c r="AJ83" s="84" t="n"/>
      <c r="AK83" s="84" t="n"/>
      <c r="AL83" s="84" t="n"/>
      <c r="AM83" s="84" t="n"/>
      <c r="AN83" s="84" t="n"/>
      <c r="AO83" s="84" t="n"/>
      <c r="AP83" s="84" t="n"/>
    </row>
    <row r="84" ht="16.5" customHeight="1" s="65">
      <c r="A84" s="84" t="n"/>
      <c r="B84" s="123" t="inlineStr">
        <is>
          <t>1. ☐  Download CSV from AWS Cost Explorer for Acct1 (Wide format, Monthly granularity)</t>
        </is>
      </c>
      <c r="Z84" s="84" t="n"/>
      <c r="AA84" s="84" t="n"/>
      <c r="AB84" s="84" t="n"/>
      <c r="AC84" s="84" t="n"/>
      <c r="AD84" s="84" t="n"/>
      <c r="AE84" s="84" t="n"/>
      <c r="AF84" s="84" t="n"/>
      <c r="AG84" s="84" t="n"/>
      <c r="AH84" s="84" t="n"/>
      <c r="AI84" s="84" t="n"/>
      <c r="AJ84" s="84" t="n"/>
      <c r="AK84" s="84" t="n"/>
      <c r="AL84" s="84" t="n"/>
      <c r="AM84" s="84" t="n"/>
      <c r="AN84" s="84" t="n"/>
      <c r="AO84" s="84" t="n"/>
      <c r="AP84" s="84" t="n"/>
    </row>
    <row r="85" ht="16.5" customHeight="1" s="65">
      <c r="A85" s="84" t="n"/>
      <c r="B85" s="124" t="inlineStr">
        <is>
          <t>2. ☐  Acct1_Raw → select all rows BELOW the header (row 1) → Delete → Paste new CSV data</t>
        </is>
      </c>
      <c r="Z85" s="84" t="n"/>
      <c r="AA85" s="84" t="n"/>
      <c r="AB85" s="84" t="n"/>
      <c r="AC85" s="84" t="n"/>
      <c r="AD85" s="84" t="n"/>
      <c r="AE85" s="84" t="n"/>
      <c r="AF85" s="84" t="n"/>
      <c r="AG85" s="84" t="n"/>
      <c r="AH85" s="84" t="n"/>
      <c r="AI85" s="84" t="n"/>
      <c r="AJ85" s="84" t="n"/>
      <c r="AK85" s="84" t="n"/>
      <c r="AL85" s="84" t="n"/>
      <c r="AM85" s="84" t="n"/>
      <c r="AN85" s="84" t="n"/>
      <c r="AO85" s="84" t="n"/>
      <c r="AP85" s="84" t="n"/>
    </row>
    <row r="86" ht="16.5" customHeight="1" s="65">
      <c r="A86" s="84" t="n"/>
      <c r="B86" s="123" t="inlineStr">
        <is>
          <t>3. ☐  Repeat for Acct2 → Acct2_Raw</t>
        </is>
      </c>
      <c r="Z86" s="84" t="n"/>
      <c r="AA86" s="84" t="n"/>
      <c r="AB86" s="84" t="n"/>
      <c r="AC86" s="84" t="n"/>
      <c r="AD86" s="84" t="n"/>
      <c r="AE86" s="84" t="n"/>
      <c r="AF86" s="84" t="n"/>
      <c r="AG86" s="84" t="n"/>
      <c r="AH86" s="84" t="n"/>
      <c r="AI86" s="84" t="n"/>
      <c r="AJ86" s="84" t="n"/>
      <c r="AK86" s="84" t="n"/>
      <c r="AL86" s="84" t="n"/>
      <c r="AM86" s="84" t="n"/>
      <c r="AN86" s="84" t="n"/>
      <c r="AO86" s="84" t="n"/>
      <c r="AP86" s="84" t="n"/>
    </row>
    <row r="87" ht="16.5" customHeight="1" s="65">
      <c r="A87" s="84" t="n"/>
      <c r="B87" s="124" t="inlineStr">
        <is>
          <t>4. ☐  Cmd+Option+F9 (Mac) or Ctrl+Alt+F5 (Windows) — Months_Ref auto-reads new dates</t>
        </is>
      </c>
      <c r="Z87" s="84" t="n"/>
      <c r="AA87" s="84" t="n"/>
      <c r="AB87" s="84" t="n"/>
      <c r="AC87" s="84" t="n"/>
      <c r="AD87" s="84" t="n"/>
      <c r="AE87" s="84" t="n"/>
      <c r="AF87" s="84" t="n"/>
      <c r="AG87" s="84" t="n"/>
      <c r="AH87" s="84" t="n"/>
      <c r="AI87" s="84" t="n"/>
      <c r="AJ87" s="84" t="n"/>
      <c r="AK87" s="84" t="n"/>
      <c r="AL87" s="84" t="n"/>
      <c r="AM87" s="84" t="n"/>
      <c r="AN87" s="84" t="n"/>
      <c r="AO87" s="84" t="n"/>
      <c r="AP87" s="84" t="n"/>
    </row>
    <row r="88" ht="16.5" customHeight="1" s="65">
      <c r="A88" s="84" t="n"/>
      <c r="B88" s="123" t="inlineStr">
        <is>
          <t>5. ☐  Update E5 (Account), K5 (Current Month), Q5 (Prior Month), W5 (Top N) dropdowns</t>
        </is>
      </c>
      <c r="Z88" s="84" t="n"/>
      <c r="AA88" s="84" t="n"/>
      <c r="AB88" s="84" t="n"/>
      <c r="AC88" s="84" t="n"/>
      <c r="AD88" s="84" t="n"/>
      <c r="AE88" s="84" t="n"/>
      <c r="AF88" s="84" t="n"/>
      <c r="AG88" s="84" t="n"/>
      <c r="AH88" s="84" t="n"/>
      <c r="AI88" s="84" t="n"/>
      <c r="AJ88" s="84" t="n"/>
      <c r="AK88" s="84" t="n"/>
      <c r="AL88" s="84" t="n"/>
      <c r="AM88" s="84" t="n"/>
      <c r="AN88" s="84" t="n"/>
      <c r="AO88" s="84" t="n"/>
      <c r="AP88" s="84" t="n"/>
    </row>
    <row r="89" ht="16.5" customHeight="1" s="65">
      <c r="A89" s="84" t="n"/>
      <c r="B89" s="124" t="inlineStr">
        <is>
          <t>6. ☐  If new month not in dropdowns: Data → Data Validation → add new month to K5/Q5 source</t>
        </is>
      </c>
      <c r="Z89" s="84" t="n"/>
      <c r="AA89" s="84" t="n"/>
      <c r="AB89" s="84" t="n"/>
      <c r="AC89" s="84" t="n"/>
      <c r="AD89" s="84" t="n"/>
      <c r="AE89" s="84" t="n"/>
      <c r="AF89" s="84" t="n"/>
      <c r="AG89" s="84" t="n"/>
      <c r="AH89" s="84" t="n"/>
      <c r="AI89" s="84" t="n"/>
      <c r="AJ89" s="84" t="n"/>
      <c r="AK89" s="84" t="n"/>
      <c r="AL89" s="84" t="n"/>
      <c r="AM89" s="84" t="n"/>
      <c r="AN89" s="84" t="n"/>
      <c r="AO89" s="84" t="n"/>
      <c r="AP89" s="84" t="n"/>
    </row>
    <row r="90" ht="16.5" customHeight="1" s="65">
      <c r="A90" s="84" t="n"/>
      <c r="B90" s="123" t="inlineStr">
        <is>
          <t>7. ☐  All 5 charts, KPIs, and tables now reflect the new data  ✓</t>
        </is>
      </c>
      <c r="Z90" s="84" t="n"/>
      <c r="AA90" s="84" t="n"/>
      <c r="AB90" s="84" t="n"/>
      <c r="AC90" s="84" t="n"/>
      <c r="AD90" s="84" t="n"/>
      <c r="AE90" s="84" t="n"/>
      <c r="AF90" s="84" t="n"/>
      <c r="AG90" s="84" t="n"/>
      <c r="AH90" s="84" t="n"/>
      <c r="AI90" s="84" t="n"/>
      <c r="AJ90" s="84" t="n"/>
      <c r="AK90" s="84" t="n"/>
      <c r="AL90" s="84" t="n"/>
      <c r="AM90" s="84" t="n"/>
      <c r="AN90" s="84" t="n"/>
      <c r="AO90" s="84" t="n"/>
      <c r="AP90" s="84" t="n"/>
    </row>
    <row r="91" ht="15" customHeight="1" s="65">
      <c r="A91" s="84" t="n"/>
      <c r="B91" s="84" t="n"/>
      <c r="C91" s="84" t="n"/>
      <c r="D91" s="84" t="n"/>
      <c r="E91" s="84" t="n"/>
      <c r="F91" s="84" t="n"/>
      <c r="G91" s="84" t="n"/>
      <c r="H91" s="84" t="n"/>
      <c r="I91" s="84" t="n"/>
      <c r="J91" s="84" t="n"/>
      <c r="K91" s="84" t="n"/>
      <c r="L91" s="84" t="n"/>
      <c r="M91" s="84" t="n"/>
      <c r="N91" s="84" t="n"/>
      <c r="O91" s="84" t="n"/>
      <c r="P91" s="84" t="n"/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  <c r="AA91" s="84" t="n"/>
      <c r="AB91" s="84" t="n"/>
      <c r="AC91" s="84" t="n"/>
      <c r="AD91" s="84" t="n"/>
      <c r="AE91" s="84" t="n"/>
      <c r="AF91" s="84" t="n"/>
      <c r="AG91" s="84" t="n"/>
      <c r="AH91" s="84" t="n"/>
      <c r="AI91" s="84" t="n"/>
      <c r="AJ91" s="84" t="n"/>
      <c r="AK91" s="84" t="n"/>
      <c r="AL91" s="84" t="n"/>
      <c r="AM91" s="84" t="n"/>
      <c r="AN91" s="84" t="n"/>
      <c r="AO91" s="84" t="n"/>
      <c r="AP91" s="84" t="n"/>
    </row>
    <row r="92" ht="15" customHeight="1" s="65">
      <c r="A92" s="84" t="n"/>
      <c r="B92" s="84" t="n"/>
      <c r="C92" s="84" t="n"/>
      <c r="D92" s="84" t="n"/>
      <c r="E92" s="84" t="n"/>
      <c r="F92" s="84" t="n"/>
      <c r="G92" s="84" t="n"/>
      <c r="H92" s="84" t="n"/>
      <c r="I92" s="84" t="n"/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  <c r="AA92" s="84" t="n"/>
      <c r="AB92" s="84" t="n"/>
      <c r="AC92" s="84" t="n"/>
      <c r="AD92" s="84" t="n"/>
      <c r="AE92" s="84" t="n"/>
      <c r="AF92" s="84" t="n"/>
      <c r="AG92" s="84" t="n"/>
      <c r="AH92" s="84" t="n"/>
      <c r="AI92" s="84" t="n"/>
      <c r="AJ92" s="84" t="n"/>
      <c r="AK92" s="84" t="n"/>
      <c r="AL92" s="84" t="n"/>
      <c r="AM92" s="84" t="n"/>
      <c r="AN92" s="84" t="n"/>
      <c r="AO92" s="84" t="n"/>
      <c r="AP92" s="84" t="n"/>
    </row>
    <row r="93" ht="15" customHeight="1" s="65">
      <c r="A93" s="84" t="n"/>
      <c r="B93" s="84" t="n"/>
      <c r="C93" s="84" t="n"/>
      <c r="D93" s="84" t="n"/>
      <c r="E93" s="84" t="n"/>
      <c r="F93" s="84" t="n"/>
      <c r="G93" s="84" t="n"/>
      <c r="H93" s="84" t="n"/>
      <c r="I93" s="84" t="n"/>
      <c r="J93" s="84" t="n"/>
      <c r="K93" s="84" t="n"/>
      <c r="L93" s="84" t="n"/>
      <c r="M93" s="84" t="n"/>
      <c r="N93" s="84" t="n"/>
      <c r="O93" s="84" t="n"/>
      <c r="P93" s="84" t="n"/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  <c r="AA93" s="84" t="n"/>
      <c r="AB93" s="84" t="n"/>
      <c r="AC93" s="84" t="n"/>
      <c r="AD93" s="84" t="n"/>
      <c r="AE93" s="84" t="n"/>
      <c r="AF93" s="84" t="n"/>
      <c r="AG93" s="84" t="n"/>
      <c r="AH93" s="84" t="n"/>
      <c r="AI93" s="84" t="n"/>
      <c r="AJ93" s="84" t="n"/>
      <c r="AK93" s="84" t="n"/>
      <c r="AL93" s="84" t="n"/>
      <c r="AM93" s="84" t="n"/>
      <c r="AN93" s="84" t="n"/>
      <c r="AO93" s="84" t="n"/>
      <c r="AP93" s="84" t="n"/>
    </row>
    <row r="94" ht="15" customHeight="1" s="65">
      <c r="A94" s="84" t="n"/>
      <c r="B94" s="84" t="n"/>
      <c r="C94" s="84" t="n"/>
      <c r="D94" s="84" t="n"/>
      <c r="E94" s="84" t="n"/>
      <c r="F94" s="84" t="n"/>
      <c r="G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  <c r="AA94" s="84" t="n"/>
      <c r="AB94" s="84" t="n"/>
      <c r="AC94" s="84" t="n"/>
      <c r="AD94" s="84" t="n"/>
      <c r="AE94" s="84" t="n"/>
      <c r="AF94" s="84" t="n"/>
      <c r="AG94" s="84" t="n"/>
      <c r="AH94" s="84" t="n"/>
      <c r="AI94" s="84" t="n"/>
      <c r="AJ94" s="84" t="n"/>
      <c r="AK94" s="84" t="n"/>
      <c r="AL94" s="84" t="n"/>
      <c r="AM94" s="84" t="n"/>
      <c r="AN94" s="84" t="n"/>
      <c r="AO94" s="84" t="n"/>
      <c r="AP94" s="84" t="n"/>
    </row>
    <row r="95" ht="15" customHeight="1" s="65">
      <c r="A95" s="84" t="n"/>
      <c r="B95" s="84" t="n"/>
      <c r="C95" s="84" t="n"/>
      <c r="D95" s="84" t="n"/>
      <c r="E95" s="84" t="n"/>
      <c r="F95" s="84" t="n"/>
      <c r="G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  <c r="AA95" s="84" t="n"/>
      <c r="AB95" s="84" t="n"/>
      <c r="AC95" s="84" t="n"/>
      <c r="AD95" s="84" t="n"/>
      <c r="AE95" s="84" t="n"/>
      <c r="AF95" s="84" t="n"/>
      <c r="AG95" s="84" t="n"/>
      <c r="AH95" s="84" t="n"/>
      <c r="AI95" s="84" t="n"/>
      <c r="AJ95" s="84" t="n"/>
      <c r="AK95" s="84" t="n"/>
      <c r="AL95" s="84" t="n"/>
      <c r="AM95" s="84" t="n"/>
      <c r="AN95" s="84" t="n"/>
      <c r="AO95" s="84" t="n"/>
      <c r="AP95" s="84" t="n"/>
    </row>
    <row r="96" ht="15" customHeight="1" s="65">
      <c r="A96" s="84" t="n"/>
      <c r="B96" s="84" t="n"/>
      <c r="C96" s="84" t="n"/>
      <c r="D96" s="84" t="n"/>
      <c r="E96" s="84" t="n"/>
      <c r="F96" s="84" t="n"/>
      <c r="G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  <c r="AA96" s="84" t="n"/>
      <c r="AB96" s="84" t="n"/>
      <c r="AC96" s="84" t="n"/>
      <c r="AD96" s="84" t="n"/>
      <c r="AE96" s="84" t="n"/>
      <c r="AF96" s="84" t="n"/>
      <c r="AG96" s="84" t="n"/>
      <c r="AH96" s="84" t="n"/>
      <c r="AI96" s="84" t="n"/>
      <c r="AJ96" s="84" t="n"/>
      <c r="AK96" s="84" t="n"/>
      <c r="AL96" s="84" t="n"/>
      <c r="AM96" s="84" t="n"/>
      <c r="AN96" s="84" t="n"/>
      <c r="AO96" s="84" t="n"/>
      <c r="AP96" s="84" t="n"/>
    </row>
    <row r="97" ht="15" customHeight="1" s="65">
      <c r="A97" s="84" t="n"/>
      <c r="B97" s="84" t="n"/>
      <c r="C97" s="84" t="n"/>
      <c r="D97" s="84" t="n"/>
      <c r="E97" s="84" t="n"/>
      <c r="F97" s="84" t="n"/>
      <c r="G97" s="84" t="n"/>
      <c r="H97" s="84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  <c r="AA97" s="84" t="n"/>
      <c r="AB97" s="84" t="n"/>
      <c r="AC97" s="84" t="n"/>
      <c r="AD97" s="84" t="n"/>
      <c r="AE97" s="84" t="n"/>
      <c r="AF97" s="84" t="n"/>
      <c r="AG97" s="84" t="n"/>
      <c r="AH97" s="84" t="n"/>
      <c r="AI97" s="84" t="n"/>
      <c r="AJ97" s="84" t="n"/>
      <c r="AK97" s="84" t="n"/>
      <c r="AL97" s="84" t="n"/>
      <c r="AM97" s="84" t="n"/>
      <c r="AN97" s="84" t="n"/>
      <c r="AO97" s="84" t="n"/>
      <c r="AP97" s="84" t="n"/>
    </row>
    <row r="98" ht="15" customHeight="1" s="65">
      <c r="A98" s="84" t="n"/>
      <c r="B98" s="84" t="n"/>
      <c r="C98" s="84" t="n"/>
      <c r="D98" s="84" t="n"/>
      <c r="E98" s="84" t="n"/>
      <c r="F98" s="84" t="n"/>
      <c r="G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  <c r="AA98" s="84" t="n"/>
      <c r="AB98" s="84" t="n"/>
      <c r="AC98" s="84" t="n"/>
      <c r="AD98" s="84" t="n"/>
      <c r="AE98" s="84" t="n"/>
      <c r="AF98" s="84" t="n"/>
      <c r="AG98" s="84" t="n"/>
      <c r="AH98" s="84" t="n"/>
      <c r="AI98" s="84" t="n"/>
      <c r="AJ98" s="84" t="n"/>
      <c r="AK98" s="84" t="n"/>
      <c r="AL98" s="84" t="n"/>
      <c r="AM98" s="84" t="n"/>
      <c r="AN98" s="84" t="n"/>
      <c r="AO98" s="84" t="n"/>
      <c r="AP98" s="84" t="n"/>
    </row>
    <row r="99" ht="15" customHeight="1" s="65">
      <c r="A99" s="84" t="n"/>
      <c r="B99" s="84" t="n"/>
      <c r="C99" s="84" t="n"/>
      <c r="D99" s="84" t="n"/>
      <c r="E99" s="84" t="n"/>
      <c r="F99" s="84" t="n"/>
      <c r="G99" s="84" t="n"/>
      <c r="H99" s="84" t="n"/>
      <c r="I99" s="84" t="n"/>
      <c r="J99" s="84" t="n"/>
      <c r="K99" s="84" t="n"/>
      <c r="L99" s="84" t="n"/>
      <c r="M99" s="84" t="n"/>
      <c r="N99" s="84" t="n"/>
      <c r="O99" s="84" t="n"/>
      <c r="P99" s="84" t="n"/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  <c r="AA99" s="84" t="n"/>
      <c r="AB99" s="84" t="n"/>
      <c r="AC99" s="84" t="n"/>
      <c r="AD99" s="84" t="n"/>
      <c r="AE99" s="84" t="n"/>
      <c r="AF99" s="84" t="n"/>
      <c r="AG99" s="84" t="n"/>
      <c r="AH99" s="84" t="n"/>
      <c r="AI99" s="84" t="n"/>
      <c r="AJ99" s="84" t="n"/>
      <c r="AK99" s="84" t="n"/>
      <c r="AL99" s="84" t="n"/>
      <c r="AM99" s="84" t="n"/>
      <c r="AN99" s="84" t="n"/>
      <c r="AO99" s="84" t="n"/>
      <c r="AP99" s="84" t="n"/>
    </row>
    <row r="100" ht="15" customHeight="1" s="65">
      <c r="A100" s="84" t="n"/>
      <c r="B100" s="84" t="n"/>
      <c r="C100" s="84" t="n"/>
      <c r="D100" s="84" t="n"/>
      <c r="E100" s="84" t="n"/>
      <c r="F100" s="84" t="n"/>
      <c r="G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  <c r="AA100" s="84" t="n"/>
      <c r="AB100" s="84" t="n"/>
      <c r="AC100" s="84" t="n"/>
      <c r="AD100" s="84" t="n"/>
      <c r="AE100" s="84" t="n"/>
      <c r="AF100" s="84" t="n"/>
      <c r="AG100" s="84" t="n"/>
      <c r="AH100" s="84" t="n"/>
      <c r="AI100" s="84" t="n"/>
      <c r="AJ100" s="84" t="n"/>
      <c r="AK100" s="84" t="n"/>
      <c r="AL100" s="84" t="n"/>
      <c r="AM100" s="84" t="n"/>
      <c r="AN100" s="84" t="n"/>
      <c r="AO100" s="84" t="n"/>
      <c r="AP100" s="84" t="n"/>
    </row>
    <row r="101" ht="15" customHeight="1" s="65">
      <c r="A101" s="84" t="n"/>
      <c r="B101" s="84" t="n"/>
      <c r="C101" s="84" t="n"/>
      <c r="D101" s="84" t="n"/>
      <c r="E101" s="84" t="n"/>
      <c r="F101" s="84" t="n"/>
      <c r="G101" s="84" t="n"/>
      <c r="H101" s="84" t="n"/>
      <c r="I101" s="84" t="n"/>
      <c r="J101" s="84" t="n"/>
      <c r="K101" s="84" t="n"/>
      <c r="L101" s="84" t="n"/>
      <c r="M101" s="84" t="n"/>
      <c r="N101" s="84" t="n"/>
      <c r="O101" s="84" t="n"/>
      <c r="P101" s="84" t="n"/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  <c r="AA101" s="84" t="n"/>
      <c r="AB101" s="84" t="n"/>
      <c r="AC101" s="84" t="n"/>
      <c r="AD101" s="84" t="n"/>
      <c r="AE101" s="84" t="n"/>
      <c r="AF101" s="84" t="n"/>
      <c r="AG101" s="84" t="n"/>
      <c r="AH101" s="84" t="n"/>
      <c r="AI101" s="84" t="n"/>
      <c r="AJ101" s="84" t="n"/>
      <c r="AK101" s="84" t="n"/>
      <c r="AL101" s="84" t="n"/>
      <c r="AM101" s="84" t="n"/>
      <c r="AN101" s="84" t="n"/>
      <c r="AO101" s="84" t="n"/>
      <c r="AP101" s="84" t="n"/>
    </row>
    <row r="102" ht="15" customHeight="1" s="65">
      <c r="A102" s="84" t="n"/>
      <c r="B102" s="84" t="n"/>
      <c r="C102" s="84" t="n"/>
      <c r="D102" s="84" t="n"/>
      <c r="E102" s="84" t="n"/>
      <c r="F102" s="84" t="n"/>
      <c r="G102" s="84" t="n"/>
      <c r="H102" s="84" t="n"/>
      <c r="I102" s="84" t="n"/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  <c r="AA102" s="84" t="n"/>
      <c r="AB102" s="84" t="n"/>
      <c r="AC102" s="84" t="n"/>
      <c r="AD102" s="84" t="n"/>
      <c r="AE102" s="84" t="n"/>
      <c r="AF102" s="84" t="n"/>
      <c r="AG102" s="84" t="n"/>
      <c r="AH102" s="84" t="n"/>
      <c r="AI102" s="84" t="n"/>
      <c r="AJ102" s="84" t="n"/>
      <c r="AK102" s="84" t="n"/>
      <c r="AL102" s="84" t="n"/>
      <c r="AM102" s="84" t="n"/>
      <c r="AN102" s="84" t="n"/>
      <c r="AO102" s="84" t="n"/>
      <c r="AP102" s="84" t="n"/>
    </row>
    <row r="103" ht="15" customHeight="1" s="65">
      <c r="A103" s="84" t="n"/>
      <c r="B103" s="84" t="n"/>
      <c r="C103" s="84" t="n"/>
      <c r="D103" s="84" t="n"/>
      <c r="E103" s="84" t="n"/>
      <c r="F103" s="84" t="n"/>
      <c r="G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  <c r="AA103" s="84" t="n"/>
      <c r="AB103" s="84" t="n"/>
      <c r="AC103" s="84" t="n"/>
      <c r="AD103" s="84" t="n"/>
      <c r="AE103" s="84" t="n"/>
      <c r="AF103" s="84" t="n"/>
      <c r="AG103" s="84" t="n"/>
      <c r="AH103" s="84" t="n"/>
      <c r="AI103" s="84" t="n"/>
      <c r="AJ103" s="84" t="n"/>
      <c r="AK103" s="84" t="n"/>
      <c r="AL103" s="84" t="n"/>
      <c r="AM103" s="84" t="n"/>
      <c r="AN103" s="84" t="n"/>
      <c r="AO103" s="84" t="n"/>
      <c r="AP103" s="84" t="n"/>
    </row>
    <row r="104" ht="15" customHeight="1" s="65">
      <c r="A104" s="84" t="n"/>
      <c r="B104" s="84" t="n"/>
      <c r="C104" s="84" t="n"/>
      <c r="D104" s="84" t="n"/>
      <c r="E104" s="84" t="n"/>
      <c r="F104" s="84" t="n"/>
      <c r="G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  <c r="AA104" s="84" t="n"/>
      <c r="AB104" s="84" t="n"/>
      <c r="AC104" s="84" t="n"/>
      <c r="AD104" s="84" t="n"/>
      <c r="AE104" s="84" t="n"/>
      <c r="AF104" s="84" t="n"/>
      <c r="AG104" s="84" t="n"/>
      <c r="AH104" s="84" t="n"/>
      <c r="AI104" s="84" t="n"/>
      <c r="AJ104" s="84" t="n"/>
      <c r="AK104" s="84" t="n"/>
      <c r="AL104" s="84" t="n"/>
      <c r="AM104" s="84" t="n"/>
      <c r="AN104" s="84" t="n"/>
      <c r="AO104" s="84" t="n"/>
      <c r="AP104" s="84" t="n"/>
    </row>
    <row r="105" ht="15" customHeight="1" s="65">
      <c r="A105" s="84" t="n"/>
      <c r="B105" s="84" t="n"/>
      <c r="C105" s="84" t="n"/>
      <c r="D105" s="84" t="n"/>
      <c r="E105" s="84" t="n"/>
      <c r="F105" s="84" t="n"/>
      <c r="G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  <c r="AA105" s="84" t="n"/>
      <c r="AB105" s="84" t="n"/>
      <c r="AC105" s="84" t="n"/>
      <c r="AD105" s="84" t="n"/>
      <c r="AE105" s="84" t="n"/>
      <c r="AF105" s="84" t="n"/>
      <c r="AG105" s="84" t="n"/>
      <c r="AH105" s="84" t="n"/>
      <c r="AI105" s="84" t="n"/>
      <c r="AJ105" s="84" t="n"/>
      <c r="AK105" s="84" t="n"/>
      <c r="AL105" s="84" t="n"/>
      <c r="AM105" s="84" t="n"/>
      <c r="AN105" s="84" t="n"/>
      <c r="AO105" s="84" t="n"/>
      <c r="AP105" s="84" t="n"/>
    </row>
    <row r="106" ht="15" customHeight="1" s="65">
      <c r="A106" s="84" t="n"/>
      <c r="B106" s="84" t="n"/>
      <c r="C106" s="84" t="n"/>
      <c r="D106" s="84" t="n"/>
      <c r="E106" s="84" t="n"/>
      <c r="F106" s="84" t="n"/>
      <c r="G106" s="84" t="n"/>
      <c r="H106" s="84" t="n"/>
      <c r="I106" s="84" t="n"/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  <c r="AA106" s="84" t="n"/>
      <c r="AB106" s="84" t="n"/>
      <c r="AC106" s="84" t="n"/>
      <c r="AD106" s="84" t="n"/>
      <c r="AE106" s="84" t="n"/>
      <c r="AF106" s="84" t="n"/>
      <c r="AG106" s="84" t="n"/>
      <c r="AH106" s="84" t="n"/>
      <c r="AI106" s="84" t="n"/>
      <c r="AJ106" s="84" t="n"/>
      <c r="AK106" s="84" t="n"/>
      <c r="AL106" s="84" t="n"/>
      <c r="AM106" s="84" t="n"/>
      <c r="AN106" s="84" t="n"/>
      <c r="AO106" s="84" t="n"/>
      <c r="AP106" s="84" t="n"/>
    </row>
    <row r="107" ht="15" customHeight="1" s="65">
      <c r="A107" s="84" t="n"/>
      <c r="B107" s="84" t="n"/>
      <c r="C107" s="84" t="n"/>
      <c r="D107" s="84" t="n"/>
      <c r="E107" s="84" t="n"/>
      <c r="F107" s="84" t="n"/>
      <c r="G107" s="84" t="n"/>
      <c r="H107" s="84" t="n"/>
      <c r="I107" s="84" t="n"/>
      <c r="J107" s="84" t="n"/>
      <c r="K107" s="84" t="n"/>
      <c r="L107" s="84" t="n"/>
      <c r="M107" s="84" t="n"/>
      <c r="N107" s="84" t="n"/>
      <c r="O107" s="84" t="n"/>
      <c r="P107" s="84" t="n"/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  <c r="AA107" s="84" t="n"/>
      <c r="AB107" s="84" t="n"/>
      <c r="AC107" s="84" t="n"/>
      <c r="AD107" s="84" t="n"/>
      <c r="AE107" s="84" t="n"/>
      <c r="AF107" s="84" t="n"/>
      <c r="AG107" s="84" t="n"/>
      <c r="AH107" s="84" t="n"/>
      <c r="AI107" s="84" t="n"/>
      <c r="AJ107" s="84" t="n"/>
      <c r="AK107" s="84" t="n"/>
      <c r="AL107" s="84" t="n"/>
      <c r="AM107" s="84" t="n"/>
      <c r="AN107" s="84" t="n"/>
      <c r="AO107" s="84" t="n"/>
      <c r="AP107" s="84" t="n"/>
    </row>
    <row r="108" ht="15" customHeight="1" s="65">
      <c r="A108" s="84" t="n"/>
      <c r="B108" s="84" t="n"/>
      <c r="C108" s="84" t="n"/>
      <c r="D108" s="84" t="n"/>
      <c r="E108" s="84" t="n"/>
      <c r="F108" s="84" t="n"/>
      <c r="G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  <c r="AA108" s="84" t="n"/>
      <c r="AB108" s="84" t="n"/>
      <c r="AC108" s="84" t="n"/>
      <c r="AD108" s="84" t="n"/>
      <c r="AE108" s="84" t="n"/>
      <c r="AF108" s="84" t="n"/>
      <c r="AG108" s="84" t="n"/>
      <c r="AH108" s="84" t="n"/>
      <c r="AI108" s="84" t="n"/>
      <c r="AJ108" s="84" t="n"/>
      <c r="AK108" s="84" t="n"/>
      <c r="AL108" s="84" t="n"/>
      <c r="AM108" s="84" t="n"/>
      <c r="AN108" s="84" t="n"/>
      <c r="AO108" s="84" t="n"/>
      <c r="AP108" s="84" t="n"/>
    </row>
    <row r="109" ht="15" customHeight="1" s="65">
      <c r="A109" s="84" t="n"/>
      <c r="B109" s="84" t="n"/>
      <c r="C109" s="84" t="n"/>
      <c r="D109" s="84" t="n"/>
      <c r="E109" s="84" t="n"/>
      <c r="F109" s="84" t="n"/>
      <c r="G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  <c r="AA109" s="84" t="n"/>
      <c r="AB109" s="84" t="n"/>
      <c r="AC109" s="84" t="n"/>
      <c r="AD109" s="84" t="n"/>
      <c r="AE109" s="84" t="n"/>
      <c r="AF109" s="84" t="n"/>
      <c r="AG109" s="84" t="n"/>
      <c r="AH109" s="84" t="n"/>
      <c r="AI109" s="84" t="n"/>
      <c r="AJ109" s="84" t="n"/>
      <c r="AK109" s="84" t="n"/>
      <c r="AL109" s="84" t="n"/>
      <c r="AM109" s="84" t="n"/>
      <c r="AN109" s="84" t="n"/>
      <c r="AO109" s="84" t="n"/>
      <c r="AP109" s="84" t="n"/>
    </row>
    <row r="110" ht="15" customHeight="1" s="65">
      <c r="A110" s="84" t="n"/>
      <c r="B110" s="84" t="n"/>
      <c r="C110" s="84" t="n"/>
      <c r="D110" s="84" t="n"/>
      <c r="E110" s="84" t="n"/>
      <c r="F110" s="84" t="n"/>
      <c r="G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  <c r="AA110" s="84" t="n"/>
      <c r="AB110" s="84" t="n"/>
      <c r="AC110" s="84" t="n"/>
      <c r="AD110" s="84" t="n"/>
      <c r="AE110" s="84" t="n"/>
      <c r="AF110" s="84" t="n"/>
      <c r="AG110" s="84" t="n"/>
      <c r="AH110" s="84" t="n"/>
      <c r="AI110" s="84" t="n"/>
      <c r="AJ110" s="84" t="n"/>
      <c r="AK110" s="84" t="n"/>
      <c r="AL110" s="84" t="n"/>
      <c r="AM110" s="84" t="n"/>
      <c r="AN110" s="84" t="n"/>
      <c r="AO110" s="84" t="n"/>
      <c r="AP110" s="84" t="n"/>
    </row>
    <row r="111" ht="15" customHeight="1" s="65">
      <c r="A111" s="84" t="n"/>
      <c r="B111" s="84" t="n"/>
      <c r="C111" s="84" t="n"/>
      <c r="D111" s="84" t="n"/>
      <c r="E111" s="84" t="n"/>
      <c r="F111" s="84" t="n"/>
      <c r="G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  <c r="AA111" s="84" t="n"/>
      <c r="AB111" s="84" t="n"/>
      <c r="AC111" s="84" t="n"/>
      <c r="AD111" s="84" t="n"/>
      <c r="AE111" s="84" t="n"/>
      <c r="AF111" s="84" t="n"/>
      <c r="AG111" s="84" t="n"/>
      <c r="AH111" s="84" t="n"/>
      <c r="AI111" s="84" t="n"/>
      <c r="AJ111" s="84" t="n"/>
      <c r="AK111" s="84" t="n"/>
      <c r="AL111" s="84" t="n"/>
      <c r="AM111" s="84" t="n"/>
      <c r="AN111" s="84" t="n"/>
      <c r="AO111" s="84" t="n"/>
      <c r="AP111" s="84" t="n"/>
    </row>
    <row r="112" ht="15" customHeight="1" s="65">
      <c r="A112" s="84" t="n"/>
      <c r="B112" s="84" t="n"/>
      <c r="C112" s="84" t="n"/>
      <c r="D112" s="84" t="n"/>
      <c r="E112" s="84" t="n"/>
      <c r="F112" s="84" t="n"/>
      <c r="G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  <c r="AA112" s="84" t="n"/>
      <c r="AB112" s="84" t="n"/>
      <c r="AC112" s="84" t="n"/>
      <c r="AD112" s="84" t="n"/>
      <c r="AE112" s="84" t="n"/>
      <c r="AF112" s="84" t="n"/>
      <c r="AG112" s="84" t="n"/>
      <c r="AH112" s="84" t="n"/>
      <c r="AI112" s="84" t="n"/>
      <c r="AJ112" s="84" t="n"/>
      <c r="AK112" s="84" t="n"/>
      <c r="AL112" s="84" t="n"/>
      <c r="AM112" s="84" t="n"/>
      <c r="AN112" s="84" t="n"/>
      <c r="AO112" s="84" t="n"/>
      <c r="AP112" s="84" t="n"/>
    </row>
    <row r="113" ht="15" customHeight="1" s="65">
      <c r="A113" s="84" t="n"/>
      <c r="B113" s="84" t="n"/>
      <c r="C113" s="84" t="n"/>
      <c r="D113" s="84" t="n"/>
      <c r="E113" s="84" t="n"/>
      <c r="F113" s="84" t="n"/>
      <c r="G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  <c r="AA113" s="84" t="n"/>
      <c r="AB113" s="84" t="n"/>
      <c r="AC113" s="84" t="n"/>
      <c r="AD113" s="84" t="n"/>
      <c r="AE113" s="84" t="n"/>
      <c r="AF113" s="84" t="n"/>
      <c r="AG113" s="84" t="n"/>
      <c r="AH113" s="84" t="n"/>
      <c r="AI113" s="84" t="n"/>
      <c r="AJ113" s="84" t="n"/>
      <c r="AK113" s="84" t="n"/>
      <c r="AL113" s="84" t="n"/>
      <c r="AM113" s="84" t="n"/>
      <c r="AN113" s="84" t="n"/>
      <c r="AO113" s="84" t="n"/>
      <c r="AP113" s="84" t="n"/>
    </row>
    <row r="114" ht="15" customHeight="1" s="65">
      <c r="A114" s="84" t="n"/>
      <c r="B114" s="84" t="n"/>
      <c r="C114" s="84" t="n"/>
      <c r="D114" s="84" t="n"/>
      <c r="E114" s="84" t="n"/>
      <c r="F114" s="84" t="n"/>
      <c r="G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  <c r="AA114" s="84" t="n"/>
      <c r="AB114" s="84" t="n"/>
      <c r="AC114" s="84" t="n"/>
      <c r="AD114" s="84" t="n"/>
      <c r="AE114" s="84" t="n"/>
      <c r="AF114" s="84" t="n"/>
      <c r="AG114" s="84" t="n"/>
      <c r="AH114" s="84" t="n"/>
      <c r="AI114" s="84" t="n"/>
      <c r="AJ114" s="84" t="n"/>
      <c r="AK114" s="84" t="n"/>
      <c r="AL114" s="84" t="n"/>
      <c r="AM114" s="84" t="n"/>
      <c r="AN114" s="84" t="n"/>
      <c r="AO114" s="84" t="n"/>
      <c r="AP114" s="84" t="n"/>
    </row>
    <row r="115" ht="15" customHeight="1" s="65">
      <c r="A115" s="84" t="n"/>
      <c r="B115" s="84" t="n"/>
      <c r="C115" s="84" t="n"/>
      <c r="D115" s="84" t="n"/>
      <c r="E115" s="84" t="n"/>
      <c r="F115" s="84" t="n"/>
      <c r="G115" s="84" t="n"/>
      <c r="H115" s="84" t="n"/>
      <c r="I115" s="84" t="n"/>
      <c r="J115" s="84" t="n"/>
      <c r="K115" s="84" t="n"/>
      <c r="L115" s="84" t="n"/>
      <c r="M115" s="84" t="n"/>
      <c r="N115" s="84" t="n"/>
      <c r="O115" s="84" t="n"/>
      <c r="P115" s="84" t="n"/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  <c r="AA115" s="84" t="n"/>
      <c r="AB115" s="84" t="n"/>
      <c r="AC115" s="84" t="n"/>
      <c r="AD115" s="84" t="n"/>
      <c r="AE115" s="84" t="n"/>
      <c r="AF115" s="84" t="n"/>
      <c r="AG115" s="84" t="n"/>
      <c r="AH115" s="84" t="n"/>
      <c r="AI115" s="84" t="n"/>
      <c r="AJ115" s="84" t="n"/>
      <c r="AK115" s="84" t="n"/>
      <c r="AL115" s="84" t="n"/>
      <c r="AM115" s="84" t="n"/>
      <c r="AN115" s="84" t="n"/>
      <c r="AO115" s="84" t="n"/>
      <c r="AP115" s="84" t="n"/>
    </row>
    <row r="116" ht="15" customHeight="1" s="65">
      <c r="A116" s="84" t="n"/>
      <c r="B116" s="84" t="n"/>
      <c r="C116" s="84" t="n"/>
      <c r="D116" s="84" t="n"/>
      <c r="E116" s="84" t="n"/>
      <c r="F116" s="84" t="n"/>
      <c r="G116" s="84" t="n"/>
      <c r="H116" s="84" t="n"/>
      <c r="I116" s="84" t="n"/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  <c r="AA116" s="84" t="n"/>
      <c r="AB116" s="84" t="n"/>
      <c r="AC116" s="84" t="n"/>
      <c r="AD116" s="84" t="n"/>
      <c r="AE116" s="84" t="n"/>
      <c r="AF116" s="84" t="n"/>
      <c r="AG116" s="84" t="n"/>
      <c r="AH116" s="84" t="n"/>
      <c r="AI116" s="84" t="n"/>
      <c r="AJ116" s="84" t="n"/>
      <c r="AK116" s="84" t="n"/>
      <c r="AL116" s="84" t="n"/>
      <c r="AM116" s="84" t="n"/>
      <c r="AN116" s="84" t="n"/>
      <c r="AO116" s="84" t="n"/>
      <c r="AP116" s="84" t="n"/>
    </row>
    <row r="117" ht="15" customHeight="1" s="65">
      <c r="A117" s="84" t="n"/>
      <c r="B117" s="84" t="n"/>
      <c r="C117" s="84" t="n"/>
      <c r="D117" s="84" t="n"/>
      <c r="E117" s="84" t="n"/>
      <c r="F117" s="84" t="n"/>
      <c r="G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  <c r="AA117" s="84" t="n"/>
      <c r="AB117" s="84" t="n"/>
      <c r="AC117" s="84" t="n"/>
      <c r="AD117" s="84" t="n"/>
      <c r="AE117" s="84" t="n"/>
      <c r="AF117" s="84" t="n"/>
      <c r="AG117" s="84" t="n"/>
      <c r="AH117" s="84" t="n"/>
      <c r="AI117" s="84" t="n"/>
      <c r="AJ117" s="84" t="n"/>
      <c r="AK117" s="84" t="n"/>
      <c r="AL117" s="84" t="n"/>
      <c r="AM117" s="84" t="n"/>
      <c r="AN117" s="84" t="n"/>
      <c r="AO117" s="84" t="n"/>
      <c r="AP117" s="84" t="n"/>
    </row>
    <row r="118" ht="15" customHeight="1" s="65">
      <c r="A118" s="84" t="n"/>
      <c r="B118" s="84" t="n"/>
      <c r="C118" s="84" t="n"/>
      <c r="D118" s="84" t="n"/>
      <c r="E118" s="84" t="n"/>
      <c r="F118" s="84" t="n"/>
      <c r="G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  <c r="AA118" s="84" t="n"/>
      <c r="AB118" s="84" t="n"/>
      <c r="AC118" s="84" t="n"/>
      <c r="AD118" s="84" t="n"/>
      <c r="AE118" s="84" t="n"/>
      <c r="AF118" s="84" t="n"/>
      <c r="AG118" s="84" t="n"/>
      <c r="AH118" s="84" t="n"/>
      <c r="AI118" s="84" t="n"/>
      <c r="AJ118" s="84" t="n"/>
      <c r="AK118" s="84" t="n"/>
      <c r="AL118" s="84" t="n"/>
      <c r="AM118" s="84" t="n"/>
      <c r="AN118" s="84" t="n"/>
      <c r="AO118" s="84" t="n"/>
      <c r="AP118" s="84" t="n"/>
    </row>
    <row r="119" ht="15" customHeight="1" s="65">
      <c r="A119" s="84" t="n"/>
      <c r="B119" s="84" t="n"/>
      <c r="C119" s="84" t="n"/>
      <c r="D119" s="84" t="n"/>
      <c r="E119" s="84" t="n"/>
      <c r="F119" s="84" t="n"/>
      <c r="G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  <c r="AA119" s="84" t="n"/>
      <c r="AB119" s="84" t="n"/>
      <c r="AC119" s="84" t="n"/>
      <c r="AD119" s="84" t="n"/>
      <c r="AE119" s="84" t="n"/>
      <c r="AF119" s="84" t="n"/>
      <c r="AG119" s="84" t="n"/>
      <c r="AH119" s="84" t="n"/>
      <c r="AI119" s="84" t="n"/>
      <c r="AJ119" s="84" t="n"/>
      <c r="AK119" s="84" t="n"/>
      <c r="AL119" s="84" t="n"/>
      <c r="AM119" s="84" t="n"/>
      <c r="AN119" s="84" t="n"/>
      <c r="AO119" s="84" t="n"/>
      <c r="AP119" s="84" t="n"/>
    </row>
    <row r="120" ht="15" customHeight="1" s="65">
      <c r="A120" s="84" t="n"/>
      <c r="B120" s="84" t="n"/>
      <c r="C120" s="84" t="n"/>
      <c r="D120" s="84" t="n"/>
      <c r="E120" s="84" t="n"/>
      <c r="F120" s="84" t="n"/>
      <c r="G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84" t="n"/>
      <c r="AB120" s="84" t="n"/>
      <c r="AC120" s="84" t="n"/>
      <c r="AD120" s="84" t="n"/>
      <c r="AE120" s="84" t="n"/>
      <c r="AF120" s="84" t="n"/>
      <c r="AG120" s="84" t="n"/>
      <c r="AH120" s="84" t="n"/>
      <c r="AI120" s="84" t="n"/>
      <c r="AJ120" s="84" t="n"/>
      <c r="AK120" s="84" t="n"/>
      <c r="AL120" s="84" t="n"/>
      <c r="AM120" s="84" t="n"/>
      <c r="AN120" s="84" t="n"/>
      <c r="AO120" s="84" t="n"/>
      <c r="AP120" s="84" t="n"/>
    </row>
    <row r="121" ht="15" customHeight="1" s="65">
      <c r="A121" s="84" t="n"/>
      <c r="B121" s="84" t="n"/>
      <c r="C121" s="84" t="n"/>
      <c r="D121" s="84" t="n"/>
      <c r="E121" s="84" t="n"/>
      <c r="F121" s="84" t="n"/>
      <c r="G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  <c r="AA121" s="84" t="n"/>
      <c r="AB121" s="84" t="n"/>
      <c r="AC121" s="84" t="n"/>
      <c r="AD121" s="84" t="n"/>
      <c r="AE121" s="84" t="n"/>
      <c r="AF121" s="84" t="n"/>
      <c r="AG121" s="84" t="n"/>
      <c r="AH121" s="84" t="n"/>
      <c r="AI121" s="84" t="n"/>
      <c r="AJ121" s="84" t="n"/>
      <c r="AK121" s="84" t="n"/>
      <c r="AL121" s="84" t="n"/>
      <c r="AM121" s="84" t="n"/>
      <c r="AN121" s="84" t="n"/>
      <c r="AO121" s="84" t="n"/>
      <c r="AP121" s="84" t="n"/>
    </row>
    <row r="122" ht="15" customHeight="1" s="65">
      <c r="A122" s="84" t="n"/>
      <c r="B122" s="84" t="n"/>
      <c r="C122" s="84" t="n"/>
      <c r="D122" s="84" t="n"/>
      <c r="E122" s="84" t="n"/>
      <c r="F122" s="84" t="n"/>
      <c r="G122" s="84" t="n"/>
      <c r="H122" s="84" t="n"/>
      <c r="I122" s="84" t="n"/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  <c r="AA122" s="84" t="n"/>
      <c r="AB122" s="84" t="n"/>
      <c r="AC122" s="84" t="n"/>
      <c r="AD122" s="84" t="n"/>
      <c r="AE122" s="84" t="n"/>
      <c r="AF122" s="84" t="n"/>
      <c r="AG122" s="84" t="n"/>
      <c r="AH122" s="84" t="n"/>
      <c r="AI122" s="84" t="n"/>
      <c r="AJ122" s="84" t="n"/>
      <c r="AK122" s="84" t="n"/>
      <c r="AL122" s="84" t="n"/>
      <c r="AM122" s="84" t="n"/>
      <c r="AN122" s="84" t="n"/>
      <c r="AO122" s="84" t="n"/>
      <c r="AP122" s="84" t="n"/>
    </row>
    <row r="123" ht="15" customHeight="1" s="65">
      <c r="A123" s="84" t="n"/>
      <c r="B123" s="84" t="n"/>
      <c r="C123" s="84" t="n"/>
      <c r="D123" s="84" t="n"/>
      <c r="E123" s="84" t="n"/>
      <c r="F123" s="84" t="n"/>
      <c r="G123" s="84" t="n"/>
      <c r="H123" s="84" t="n"/>
      <c r="I123" s="84" t="n"/>
      <c r="J123" s="84" t="n"/>
      <c r="K123" s="84" t="n"/>
      <c r="L123" s="84" t="n"/>
      <c r="M123" s="84" t="n"/>
      <c r="N123" s="84" t="n"/>
      <c r="O123" s="84" t="n"/>
      <c r="P123" s="84" t="n"/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  <c r="AA123" s="84" t="n"/>
      <c r="AB123" s="84" t="n"/>
      <c r="AC123" s="84" t="n"/>
      <c r="AD123" s="84" t="n"/>
      <c r="AE123" s="84" t="n"/>
      <c r="AF123" s="84" t="n"/>
      <c r="AG123" s="84" t="n"/>
      <c r="AH123" s="84" t="n"/>
      <c r="AI123" s="84" t="n"/>
      <c r="AJ123" s="84" t="n"/>
      <c r="AK123" s="84" t="n"/>
      <c r="AL123" s="84" t="n"/>
      <c r="AM123" s="84" t="n"/>
      <c r="AN123" s="84" t="n"/>
      <c r="AO123" s="84" t="n"/>
      <c r="AP123" s="84" t="n"/>
    </row>
    <row r="124" ht="15" customHeight="1" s="65">
      <c r="A124" s="84" t="n"/>
      <c r="B124" s="84" t="n"/>
      <c r="C124" s="84" t="n"/>
      <c r="D124" s="84" t="n"/>
      <c r="E124" s="84" t="n"/>
      <c r="F124" s="84" t="n"/>
      <c r="G124" s="84" t="n"/>
      <c r="H124" s="84" t="n"/>
      <c r="I124" s="84" t="n"/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  <c r="AA124" s="84" t="n"/>
      <c r="AB124" s="84" t="n"/>
      <c r="AC124" s="84" t="n"/>
      <c r="AD124" s="84" t="n"/>
      <c r="AE124" s="84" t="n"/>
      <c r="AF124" s="84" t="n"/>
      <c r="AG124" s="84" t="n"/>
      <c r="AH124" s="84" t="n"/>
      <c r="AI124" s="84" t="n"/>
      <c r="AJ124" s="84" t="n"/>
      <c r="AK124" s="84" t="n"/>
      <c r="AL124" s="84" t="n"/>
      <c r="AM124" s="84" t="n"/>
      <c r="AN124" s="84" t="n"/>
      <c r="AO124" s="84" t="n"/>
      <c r="AP124" s="84" t="n"/>
    </row>
    <row r="125" ht="15" customHeight="1" s="65">
      <c r="A125" s="84" t="n"/>
      <c r="B125" s="84" t="n"/>
      <c r="C125" s="84" t="n"/>
      <c r="D125" s="84" t="n"/>
      <c r="E125" s="84" t="n"/>
      <c r="F125" s="84" t="n"/>
      <c r="G125" s="84" t="n"/>
      <c r="H125" s="84" t="n"/>
      <c r="I125" s="84" t="n"/>
      <c r="J125" s="84" t="n"/>
      <c r="K125" s="84" t="n"/>
      <c r="L125" s="84" t="n"/>
      <c r="M125" s="84" t="n"/>
      <c r="N125" s="84" t="n"/>
      <c r="O125" s="84" t="n"/>
      <c r="P125" s="84" t="n"/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  <c r="AA125" s="84" t="n"/>
      <c r="AB125" s="84" t="n"/>
      <c r="AC125" s="84" t="n"/>
      <c r="AD125" s="84" t="n"/>
      <c r="AE125" s="84" t="n"/>
      <c r="AF125" s="84" t="n"/>
      <c r="AG125" s="84" t="n"/>
      <c r="AH125" s="84" t="n"/>
      <c r="AI125" s="84" t="n"/>
      <c r="AJ125" s="84" t="n"/>
      <c r="AK125" s="84" t="n"/>
      <c r="AL125" s="84" t="n"/>
      <c r="AM125" s="84" t="n"/>
      <c r="AN125" s="84" t="n"/>
      <c r="AO125" s="84" t="n"/>
      <c r="AP125" s="84" t="n"/>
    </row>
    <row r="126" ht="15" customHeight="1" s="65">
      <c r="A126" s="84" t="n"/>
      <c r="B126" s="84" t="n"/>
      <c r="C126" s="84" t="n"/>
      <c r="D126" s="84" t="n"/>
      <c r="E126" s="84" t="n"/>
      <c r="F126" s="84" t="n"/>
      <c r="G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84" t="n"/>
      <c r="AC126" s="84" t="n"/>
      <c r="AD126" s="84" t="n"/>
      <c r="AE126" s="84" t="n"/>
      <c r="AF126" s="84" t="n"/>
      <c r="AG126" s="84" t="n"/>
      <c r="AH126" s="84" t="n"/>
      <c r="AI126" s="84" t="n"/>
      <c r="AJ126" s="84" t="n"/>
      <c r="AK126" s="84" t="n"/>
      <c r="AL126" s="84" t="n"/>
      <c r="AM126" s="84" t="n"/>
      <c r="AN126" s="84" t="n"/>
      <c r="AO126" s="84" t="n"/>
      <c r="AP126" s="84" t="n"/>
    </row>
    <row r="127" ht="15" customHeight="1" s="65">
      <c r="A127" s="84" t="n"/>
      <c r="B127" s="84" t="n"/>
      <c r="C127" s="84" t="n"/>
      <c r="D127" s="84" t="n"/>
      <c r="E127" s="84" t="n"/>
      <c r="F127" s="84" t="n"/>
      <c r="G127" s="84" t="n"/>
      <c r="H127" s="84" t="n"/>
      <c r="I127" s="84" t="n"/>
      <c r="J127" s="84" t="n"/>
      <c r="K127" s="84" t="n"/>
      <c r="L127" s="84" t="n"/>
      <c r="M127" s="84" t="n"/>
      <c r="N127" s="84" t="n"/>
      <c r="O127" s="84" t="n"/>
      <c r="P127" s="84" t="n"/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84" t="n"/>
      <c r="AC127" s="84" t="n"/>
      <c r="AD127" s="84" t="n"/>
      <c r="AE127" s="84" t="n"/>
      <c r="AF127" s="84" t="n"/>
      <c r="AG127" s="84" t="n"/>
      <c r="AH127" s="84" t="n"/>
      <c r="AI127" s="84" t="n"/>
      <c r="AJ127" s="84" t="n"/>
      <c r="AK127" s="84" t="n"/>
      <c r="AL127" s="84" t="n"/>
      <c r="AM127" s="84" t="n"/>
      <c r="AN127" s="84" t="n"/>
      <c r="AO127" s="84" t="n"/>
      <c r="AP127" s="84" t="n"/>
    </row>
    <row r="128" ht="15" customHeight="1" s="65">
      <c r="A128" s="84" t="n"/>
      <c r="B128" s="84" t="n"/>
      <c r="C128" s="84" t="n"/>
      <c r="D128" s="84" t="n"/>
      <c r="E128" s="84" t="n"/>
      <c r="F128" s="84" t="n"/>
      <c r="G128" s="84" t="n"/>
      <c r="H128" s="84" t="n"/>
      <c r="I128" s="84" t="n"/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4" t="n"/>
      <c r="AE128" s="84" t="n"/>
      <c r="AF128" s="84" t="n"/>
      <c r="AG128" s="84" t="n"/>
      <c r="AH128" s="84" t="n"/>
      <c r="AI128" s="84" t="n"/>
      <c r="AJ128" s="84" t="n"/>
      <c r="AK128" s="84" t="n"/>
      <c r="AL128" s="84" t="n"/>
      <c r="AM128" s="84" t="n"/>
      <c r="AN128" s="84" t="n"/>
      <c r="AO128" s="84" t="n"/>
      <c r="AP128" s="84" t="n"/>
    </row>
    <row r="129" ht="15" customHeight="1" s="65">
      <c r="A129" s="84" t="n"/>
      <c r="B129" s="84" t="n"/>
      <c r="C129" s="84" t="n"/>
      <c r="D129" s="84" t="n"/>
      <c r="E129" s="84" t="n"/>
      <c r="F129" s="84" t="n"/>
      <c r="G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  <c r="AA129" s="84" t="n"/>
      <c r="AB129" s="84" t="n"/>
      <c r="AC129" s="84" t="n"/>
      <c r="AD129" s="84" t="n"/>
      <c r="AE129" s="84" t="n"/>
      <c r="AF129" s="84" t="n"/>
      <c r="AG129" s="84" t="n"/>
      <c r="AH129" s="84" t="n"/>
      <c r="AI129" s="84" t="n"/>
      <c r="AJ129" s="84" t="n"/>
      <c r="AK129" s="84" t="n"/>
      <c r="AL129" s="84" t="n"/>
      <c r="AM129" s="84" t="n"/>
      <c r="AN129" s="84" t="n"/>
      <c r="AO129" s="84" t="n"/>
      <c r="AP129" s="84" t="n"/>
    </row>
    <row r="130" ht="15" customHeight="1" s="65">
      <c r="A130" s="84" t="n"/>
      <c r="B130" s="84" t="n"/>
      <c r="C130" s="84" t="n"/>
      <c r="D130" s="84" t="n"/>
      <c r="E130" s="84" t="n"/>
      <c r="F130" s="84" t="n"/>
      <c r="G130" s="84" t="n"/>
      <c r="H130" s="84" t="n"/>
      <c r="I130" s="84" t="n"/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  <c r="AA130" s="84" t="n"/>
      <c r="AB130" s="84" t="n"/>
      <c r="AC130" s="84" t="n"/>
      <c r="AD130" s="84" t="n"/>
      <c r="AE130" s="84" t="n"/>
      <c r="AF130" s="84" t="n"/>
      <c r="AG130" s="84" t="n"/>
      <c r="AH130" s="84" t="n"/>
      <c r="AI130" s="84" t="n"/>
      <c r="AJ130" s="84" t="n"/>
      <c r="AK130" s="84" t="n"/>
      <c r="AL130" s="84" t="n"/>
      <c r="AM130" s="84" t="n"/>
      <c r="AN130" s="84" t="n"/>
      <c r="AO130" s="84" t="n"/>
      <c r="AP130" s="84" t="n"/>
    </row>
    <row r="131" ht="15" customHeight="1" s="65">
      <c r="A131" s="84" t="n"/>
      <c r="B131" s="84" t="n"/>
      <c r="C131" s="84" t="n"/>
      <c r="D131" s="84" t="n"/>
      <c r="E131" s="84" t="n"/>
      <c r="F131" s="84" t="n"/>
      <c r="G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  <c r="AA131" s="84" t="n"/>
      <c r="AB131" s="84" t="n"/>
      <c r="AC131" s="84" t="n"/>
      <c r="AD131" s="84" t="n"/>
      <c r="AE131" s="84" t="n"/>
      <c r="AF131" s="84" t="n"/>
      <c r="AG131" s="84" t="n"/>
      <c r="AH131" s="84" t="n"/>
      <c r="AI131" s="84" t="n"/>
      <c r="AJ131" s="84" t="n"/>
      <c r="AK131" s="84" t="n"/>
      <c r="AL131" s="84" t="n"/>
      <c r="AM131" s="84" t="n"/>
      <c r="AN131" s="84" t="n"/>
      <c r="AO131" s="84" t="n"/>
      <c r="AP131" s="84" t="n"/>
    </row>
    <row r="132" ht="15" customHeight="1" s="65">
      <c r="A132" s="84" t="n"/>
      <c r="B132" s="84" t="n"/>
      <c r="C132" s="84" t="n"/>
      <c r="D132" s="84" t="n"/>
      <c r="E132" s="84" t="n"/>
      <c r="F132" s="84" t="n"/>
      <c r="G132" s="84" t="n"/>
      <c r="H132" s="84" t="n"/>
      <c r="I132" s="84" t="n"/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  <c r="AA132" s="84" t="n"/>
      <c r="AB132" s="84" t="n"/>
      <c r="AC132" s="84" t="n"/>
      <c r="AD132" s="84" t="n"/>
      <c r="AE132" s="84" t="n"/>
      <c r="AF132" s="84" t="n"/>
      <c r="AG132" s="84" t="n"/>
      <c r="AH132" s="84" t="n"/>
      <c r="AI132" s="84" t="n"/>
      <c r="AJ132" s="84" t="n"/>
      <c r="AK132" s="84" t="n"/>
      <c r="AL132" s="84" t="n"/>
      <c r="AM132" s="84" t="n"/>
      <c r="AN132" s="84" t="n"/>
      <c r="AO132" s="84" t="n"/>
      <c r="AP132" s="84" t="n"/>
    </row>
    <row r="133" ht="15" customHeight="1" s="65">
      <c r="A133" s="84" t="n"/>
      <c r="B133" s="84" t="n"/>
      <c r="C133" s="84" t="n"/>
      <c r="D133" s="84" t="n"/>
      <c r="E133" s="84" t="n"/>
      <c r="F133" s="84" t="n"/>
      <c r="G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  <c r="AA133" s="84" t="n"/>
      <c r="AB133" s="84" t="n"/>
      <c r="AC133" s="84" t="n"/>
      <c r="AD133" s="84" t="n"/>
      <c r="AE133" s="84" t="n"/>
      <c r="AF133" s="84" t="n"/>
      <c r="AG133" s="84" t="n"/>
      <c r="AH133" s="84" t="n"/>
      <c r="AI133" s="84" t="n"/>
      <c r="AJ133" s="84" t="n"/>
      <c r="AK133" s="84" t="n"/>
      <c r="AL133" s="84" t="n"/>
      <c r="AM133" s="84" t="n"/>
      <c r="AN133" s="84" t="n"/>
      <c r="AO133" s="84" t="n"/>
      <c r="AP133" s="84" t="n"/>
    </row>
    <row r="134" ht="15" customHeight="1" s="65">
      <c r="A134" s="84" t="n"/>
      <c r="B134" s="84" t="n"/>
      <c r="C134" s="84" t="n"/>
      <c r="D134" s="84" t="n"/>
      <c r="E134" s="84" t="n"/>
      <c r="F134" s="84" t="n"/>
      <c r="G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  <c r="AA134" s="84" t="n"/>
      <c r="AB134" s="84" t="n"/>
      <c r="AC134" s="84" t="n"/>
      <c r="AD134" s="84" t="n"/>
      <c r="AE134" s="84" t="n"/>
      <c r="AF134" s="84" t="n"/>
      <c r="AG134" s="84" t="n"/>
      <c r="AH134" s="84" t="n"/>
      <c r="AI134" s="84" t="n"/>
      <c r="AJ134" s="84" t="n"/>
      <c r="AK134" s="84" t="n"/>
      <c r="AL134" s="84" t="n"/>
      <c r="AM134" s="84" t="n"/>
      <c r="AN134" s="84" t="n"/>
      <c r="AO134" s="84" t="n"/>
      <c r="AP134" s="84" t="n"/>
    </row>
    <row r="135" ht="15" customHeight="1" s="65">
      <c r="A135" s="84" t="n"/>
      <c r="B135" s="84" t="n"/>
      <c r="C135" s="84" t="n"/>
      <c r="D135" s="84" t="n"/>
      <c r="E135" s="84" t="n"/>
      <c r="F135" s="84" t="n"/>
      <c r="G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  <c r="AA135" s="84" t="n"/>
      <c r="AB135" s="84" t="n"/>
      <c r="AC135" s="84" t="n"/>
      <c r="AD135" s="84" t="n"/>
      <c r="AE135" s="84" t="n"/>
      <c r="AF135" s="84" t="n"/>
      <c r="AG135" s="84" t="n"/>
      <c r="AH135" s="84" t="n"/>
      <c r="AI135" s="84" t="n"/>
      <c r="AJ135" s="84" t="n"/>
      <c r="AK135" s="84" t="n"/>
      <c r="AL135" s="84" t="n"/>
      <c r="AM135" s="84" t="n"/>
      <c r="AN135" s="84" t="n"/>
      <c r="AO135" s="84" t="n"/>
      <c r="AP135" s="84" t="n"/>
    </row>
    <row r="136" ht="15" customHeight="1" s="65">
      <c r="A136" s="84" t="n"/>
      <c r="B136" s="84" t="n"/>
      <c r="C136" s="84" t="n"/>
      <c r="D136" s="84" t="n"/>
      <c r="E136" s="84" t="n"/>
      <c r="F136" s="84" t="n"/>
      <c r="G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  <c r="AA136" s="84" t="n"/>
      <c r="AB136" s="84" t="n"/>
      <c r="AC136" s="84" t="n"/>
      <c r="AD136" s="84" t="n"/>
      <c r="AE136" s="84" t="n"/>
      <c r="AF136" s="84" t="n"/>
      <c r="AG136" s="84" t="n"/>
      <c r="AH136" s="84" t="n"/>
      <c r="AI136" s="84" t="n"/>
      <c r="AJ136" s="84" t="n"/>
      <c r="AK136" s="84" t="n"/>
      <c r="AL136" s="84" t="n"/>
      <c r="AM136" s="84" t="n"/>
      <c r="AN136" s="84" t="n"/>
      <c r="AO136" s="84" t="n"/>
      <c r="AP136" s="84" t="n"/>
    </row>
    <row r="137" ht="15" customHeight="1" s="65">
      <c r="A137" s="84" t="n"/>
      <c r="B137" s="84" t="n"/>
      <c r="C137" s="84" t="n"/>
      <c r="D137" s="84" t="n"/>
      <c r="E137" s="84" t="n"/>
      <c r="F137" s="84" t="n"/>
      <c r="G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  <c r="AA137" s="84" t="n"/>
      <c r="AB137" s="84" t="n"/>
      <c r="AC137" s="84" t="n"/>
      <c r="AD137" s="84" t="n"/>
      <c r="AE137" s="84" t="n"/>
      <c r="AF137" s="84" t="n"/>
      <c r="AG137" s="84" t="n"/>
      <c r="AH137" s="84" t="n"/>
      <c r="AI137" s="84" t="n"/>
      <c r="AJ137" s="84" t="n"/>
      <c r="AK137" s="84" t="n"/>
      <c r="AL137" s="84" t="n"/>
      <c r="AM137" s="84" t="n"/>
      <c r="AN137" s="84" t="n"/>
      <c r="AO137" s="84" t="n"/>
      <c r="AP137" s="84" t="n"/>
    </row>
    <row r="138" ht="15" customHeight="1" s="65">
      <c r="A138" s="84" t="n"/>
      <c r="B138" s="84" t="n"/>
      <c r="C138" s="84" t="n"/>
      <c r="D138" s="84" t="n"/>
      <c r="E138" s="84" t="n"/>
      <c r="F138" s="84" t="n"/>
      <c r="G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  <c r="AA138" s="84" t="n"/>
      <c r="AB138" s="84" t="n"/>
      <c r="AC138" s="84" t="n"/>
      <c r="AD138" s="84" t="n"/>
      <c r="AE138" s="84" t="n"/>
      <c r="AF138" s="84" t="n"/>
      <c r="AG138" s="84" t="n"/>
      <c r="AH138" s="84" t="n"/>
      <c r="AI138" s="84" t="n"/>
      <c r="AJ138" s="84" t="n"/>
      <c r="AK138" s="84" t="n"/>
      <c r="AL138" s="84" t="n"/>
      <c r="AM138" s="84" t="n"/>
      <c r="AN138" s="84" t="n"/>
      <c r="AO138" s="84" t="n"/>
      <c r="AP138" s="84" t="n"/>
    </row>
    <row r="139" ht="15" customHeight="1" s="65">
      <c r="A139" s="84" t="n"/>
      <c r="B139" s="84" t="n"/>
      <c r="C139" s="84" t="n"/>
      <c r="D139" s="84" t="n"/>
      <c r="E139" s="84" t="n"/>
      <c r="F139" s="84" t="n"/>
      <c r="G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  <c r="AA139" s="84" t="n"/>
      <c r="AB139" s="84" t="n"/>
      <c r="AC139" s="84" t="n"/>
      <c r="AD139" s="84" t="n"/>
      <c r="AE139" s="84" t="n"/>
      <c r="AF139" s="84" t="n"/>
      <c r="AG139" s="84" t="n"/>
      <c r="AH139" s="84" t="n"/>
      <c r="AI139" s="84" t="n"/>
      <c r="AJ139" s="84" t="n"/>
      <c r="AK139" s="84" t="n"/>
      <c r="AL139" s="84" t="n"/>
      <c r="AM139" s="84" t="n"/>
      <c r="AN139" s="84" t="n"/>
      <c r="AO139" s="84" t="n"/>
      <c r="AP139" s="84" t="n"/>
    </row>
    <row r="140" ht="15" customHeight="1" s="65">
      <c r="A140" s="84" t="n"/>
      <c r="B140" s="84" t="n"/>
      <c r="C140" s="84" t="n"/>
      <c r="D140" s="84" t="n"/>
      <c r="E140" s="84" t="n"/>
      <c r="F140" s="84" t="n"/>
      <c r="G140" s="84" t="n"/>
      <c r="H140" s="84" t="n"/>
      <c r="I140" s="84" t="n"/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  <c r="AA140" s="84" t="n"/>
      <c r="AB140" s="84" t="n"/>
      <c r="AC140" s="84" t="n"/>
      <c r="AD140" s="84" t="n"/>
      <c r="AE140" s="84" t="n"/>
      <c r="AF140" s="84" t="n"/>
      <c r="AG140" s="84" t="n"/>
      <c r="AH140" s="84" t="n"/>
      <c r="AI140" s="84" t="n"/>
      <c r="AJ140" s="84" t="n"/>
      <c r="AK140" s="84" t="n"/>
      <c r="AL140" s="84" t="n"/>
      <c r="AM140" s="84" t="n"/>
      <c r="AN140" s="84" t="n"/>
      <c r="AO140" s="84" t="n"/>
      <c r="AP140" s="84" t="n"/>
    </row>
    <row r="141" ht="15" customHeight="1" s="65">
      <c r="A141" s="84" t="n"/>
      <c r="B141" s="84" t="n"/>
      <c r="C141" s="84" t="n"/>
      <c r="D141" s="84" t="n"/>
      <c r="E141" s="84" t="n"/>
      <c r="F141" s="84" t="n"/>
      <c r="G141" s="84" t="n"/>
      <c r="H141" s="84" t="n"/>
      <c r="I141" s="84" t="n"/>
      <c r="J141" s="84" t="n"/>
      <c r="K141" s="84" t="n"/>
      <c r="L141" s="84" t="n"/>
      <c r="M141" s="84" t="n"/>
      <c r="N141" s="84" t="n"/>
      <c r="O141" s="84" t="n"/>
      <c r="P141" s="84" t="n"/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  <c r="AA141" s="84" t="n"/>
      <c r="AB141" s="84" t="n"/>
      <c r="AC141" s="84" t="n"/>
      <c r="AD141" s="84" t="n"/>
      <c r="AE141" s="84" t="n"/>
      <c r="AF141" s="84" t="n"/>
      <c r="AG141" s="84" t="n"/>
      <c r="AH141" s="84" t="n"/>
      <c r="AI141" s="84" t="n"/>
      <c r="AJ141" s="84" t="n"/>
      <c r="AK141" s="84" t="n"/>
      <c r="AL141" s="84" t="n"/>
      <c r="AM141" s="84" t="n"/>
      <c r="AN141" s="84" t="n"/>
      <c r="AO141" s="84" t="n"/>
      <c r="AP141" s="84" t="n"/>
    </row>
    <row r="142" ht="15" customHeight="1" s="65">
      <c r="A142" s="84" t="n"/>
      <c r="B142" s="84" t="n"/>
      <c r="C142" s="84" t="n"/>
      <c r="D142" s="84" t="n"/>
      <c r="E142" s="84" t="n"/>
      <c r="F142" s="84" t="n"/>
      <c r="G142" s="84" t="n"/>
      <c r="H142" s="84" t="n"/>
      <c r="I142" s="84" t="n"/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  <c r="AA142" s="84" t="n"/>
      <c r="AB142" s="84" t="n"/>
      <c r="AC142" s="84" t="n"/>
      <c r="AD142" s="84" t="n"/>
      <c r="AE142" s="84" t="n"/>
      <c r="AF142" s="84" t="n"/>
      <c r="AG142" s="84" t="n"/>
      <c r="AH142" s="84" t="n"/>
      <c r="AI142" s="84" t="n"/>
      <c r="AJ142" s="84" t="n"/>
      <c r="AK142" s="84" t="n"/>
      <c r="AL142" s="84" t="n"/>
      <c r="AM142" s="84" t="n"/>
      <c r="AN142" s="84" t="n"/>
      <c r="AO142" s="84" t="n"/>
      <c r="AP142" s="84" t="n"/>
    </row>
    <row r="143" ht="15" customHeight="1" s="65">
      <c r="A143" s="84" t="n"/>
      <c r="B143" s="84" t="n"/>
      <c r="C143" s="84" t="n"/>
      <c r="D143" s="84" t="n"/>
      <c r="E143" s="84" t="n"/>
      <c r="F143" s="84" t="n"/>
      <c r="G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  <c r="AA143" s="84" t="n"/>
      <c r="AB143" s="84" t="n"/>
      <c r="AC143" s="84" t="n"/>
      <c r="AD143" s="84" t="n"/>
      <c r="AE143" s="84" t="n"/>
      <c r="AF143" s="84" t="n"/>
      <c r="AG143" s="84" t="n"/>
      <c r="AH143" s="84" t="n"/>
      <c r="AI143" s="84" t="n"/>
      <c r="AJ143" s="84" t="n"/>
      <c r="AK143" s="84" t="n"/>
      <c r="AL143" s="84" t="n"/>
      <c r="AM143" s="84" t="n"/>
      <c r="AN143" s="84" t="n"/>
      <c r="AO143" s="84" t="n"/>
      <c r="AP143" s="84" t="n"/>
    </row>
    <row r="144" ht="15" customHeight="1" s="65">
      <c r="A144" s="84" t="n"/>
      <c r="B144" s="84" t="n"/>
      <c r="C144" s="84" t="n"/>
      <c r="D144" s="84" t="n"/>
      <c r="E144" s="84" t="n"/>
      <c r="F144" s="84" t="n"/>
      <c r="G144" s="84" t="n"/>
      <c r="H144" s="84" t="n"/>
      <c r="I144" s="84" t="n"/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  <c r="AA144" s="84" t="n"/>
      <c r="AB144" s="84" t="n"/>
      <c r="AC144" s="84" t="n"/>
      <c r="AD144" s="84" t="n"/>
      <c r="AE144" s="84" t="n"/>
      <c r="AF144" s="84" t="n"/>
      <c r="AG144" s="84" t="n"/>
      <c r="AH144" s="84" t="n"/>
      <c r="AI144" s="84" t="n"/>
      <c r="AJ144" s="84" t="n"/>
      <c r="AK144" s="84" t="n"/>
      <c r="AL144" s="84" t="n"/>
      <c r="AM144" s="84" t="n"/>
      <c r="AN144" s="84" t="n"/>
      <c r="AO144" s="84" t="n"/>
      <c r="AP144" s="84" t="n"/>
    </row>
    <row r="145" ht="15" customHeight="1" s="65">
      <c r="A145" s="84" t="n"/>
      <c r="B145" s="84" t="n"/>
      <c r="C145" s="84" t="n"/>
      <c r="D145" s="84" t="n"/>
      <c r="E145" s="84" t="n"/>
      <c r="F145" s="84" t="n"/>
      <c r="G145" s="84" t="n"/>
      <c r="H145" s="84" t="n"/>
      <c r="I145" s="84" t="n"/>
      <c r="J145" s="84" t="n"/>
      <c r="K145" s="84" t="n"/>
      <c r="L145" s="84" t="n"/>
      <c r="M145" s="84" t="n"/>
      <c r="N145" s="84" t="n"/>
      <c r="O145" s="84" t="n"/>
      <c r="P145" s="84" t="n"/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  <c r="AA145" s="84" t="n"/>
      <c r="AB145" s="84" t="n"/>
      <c r="AC145" s="84" t="n"/>
      <c r="AD145" s="84" t="n"/>
      <c r="AE145" s="84" t="n"/>
      <c r="AF145" s="84" t="n"/>
      <c r="AG145" s="84" t="n"/>
      <c r="AH145" s="84" t="n"/>
      <c r="AI145" s="84" t="n"/>
      <c r="AJ145" s="84" t="n"/>
      <c r="AK145" s="84" t="n"/>
      <c r="AL145" s="84" t="n"/>
      <c r="AM145" s="84" t="n"/>
      <c r="AN145" s="84" t="n"/>
      <c r="AO145" s="84" t="n"/>
      <c r="AP145" s="84" t="n"/>
    </row>
    <row r="146" ht="15" customHeight="1" s="65">
      <c r="A146" s="84" t="n"/>
      <c r="B146" s="84" t="n"/>
      <c r="C146" s="84" t="n"/>
      <c r="D146" s="84" t="n"/>
      <c r="E146" s="84" t="n"/>
      <c r="F146" s="84" t="n"/>
      <c r="G146" s="84" t="n"/>
      <c r="H146" s="84" t="n"/>
      <c r="I146" s="84" t="n"/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  <c r="AA146" s="84" t="n"/>
      <c r="AB146" s="84" t="n"/>
      <c r="AC146" s="84" t="n"/>
      <c r="AD146" s="84" t="n"/>
      <c r="AE146" s="84" t="n"/>
      <c r="AF146" s="84" t="n"/>
      <c r="AG146" s="84" t="n"/>
      <c r="AH146" s="84" t="n"/>
      <c r="AI146" s="84" t="n"/>
      <c r="AJ146" s="84" t="n"/>
      <c r="AK146" s="84" t="n"/>
      <c r="AL146" s="84" t="n"/>
      <c r="AM146" s="84" t="n"/>
      <c r="AN146" s="84" t="n"/>
      <c r="AO146" s="84" t="n"/>
      <c r="AP146" s="84" t="n"/>
    </row>
    <row r="147" ht="15" customHeight="1" s="65">
      <c r="A147" s="84" t="n"/>
      <c r="B147" s="84" t="n"/>
      <c r="C147" s="84" t="n"/>
      <c r="D147" s="84" t="n"/>
      <c r="E147" s="84" t="n"/>
      <c r="F147" s="84" t="n"/>
      <c r="G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  <c r="AA147" s="84" t="n"/>
      <c r="AB147" s="84" t="n"/>
      <c r="AC147" s="84" t="n"/>
      <c r="AD147" s="84" t="n"/>
      <c r="AE147" s="84" t="n"/>
      <c r="AF147" s="84" t="n"/>
      <c r="AG147" s="84" t="n"/>
      <c r="AH147" s="84" t="n"/>
      <c r="AI147" s="84" t="n"/>
      <c r="AJ147" s="84" t="n"/>
      <c r="AK147" s="84" t="n"/>
      <c r="AL147" s="84" t="n"/>
      <c r="AM147" s="84" t="n"/>
      <c r="AN147" s="84" t="n"/>
      <c r="AO147" s="84" t="n"/>
      <c r="AP147" s="84" t="n"/>
    </row>
    <row r="148" ht="15" customHeight="1" s="65">
      <c r="A148" s="84" t="n"/>
      <c r="B148" s="84" t="n"/>
      <c r="C148" s="84" t="n"/>
      <c r="D148" s="84" t="n"/>
      <c r="E148" s="84" t="n"/>
      <c r="F148" s="84" t="n"/>
      <c r="G148" s="84" t="n"/>
      <c r="H148" s="84" t="n"/>
      <c r="I148" s="84" t="n"/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  <c r="AA148" s="84" t="n"/>
      <c r="AB148" s="84" t="n"/>
      <c r="AC148" s="84" t="n"/>
      <c r="AD148" s="84" t="n"/>
      <c r="AE148" s="84" t="n"/>
      <c r="AF148" s="84" t="n"/>
      <c r="AG148" s="84" t="n"/>
      <c r="AH148" s="84" t="n"/>
      <c r="AI148" s="84" t="n"/>
      <c r="AJ148" s="84" t="n"/>
      <c r="AK148" s="84" t="n"/>
      <c r="AL148" s="84" t="n"/>
      <c r="AM148" s="84" t="n"/>
      <c r="AN148" s="84" t="n"/>
      <c r="AO148" s="84" t="n"/>
      <c r="AP148" s="84" t="n"/>
    </row>
    <row r="149" ht="15" customHeight="1" s="65">
      <c r="A149" s="84" t="n"/>
      <c r="B149" s="84" t="n"/>
      <c r="C149" s="84" t="n"/>
      <c r="D149" s="84" t="n"/>
      <c r="E149" s="84" t="n"/>
      <c r="F149" s="84" t="n"/>
      <c r="G149" s="84" t="n"/>
      <c r="H149" s="84" t="n"/>
      <c r="I149" s="84" t="n"/>
      <c r="J149" s="84" t="n"/>
      <c r="K149" s="84" t="n"/>
      <c r="L149" s="84" t="n"/>
      <c r="M149" s="84" t="n"/>
      <c r="N149" s="84" t="n"/>
      <c r="O149" s="84" t="n"/>
      <c r="P149" s="84" t="n"/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  <c r="AA149" s="84" t="n"/>
      <c r="AB149" s="84" t="n"/>
      <c r="AC149" s="84" t="n"/>
      <c r="AD149" s="84" t="n"/>
      <c r="AE149" s="84" t="n"/>
      <c r="AF149" s="84" t="n"/>
      <c r="AG149" s="84" t="n"/>
      <c r="AH149" s="84" t="n"/>
      <c r="AI149" s="84" t="n"/>
      <c r="AJ149" s="84" t="n"/>
      <c r="AK149" s="84" t="n"/>
      <c r="AL149" s="84" t="n"/>
      <c r="AM149" s="84" t="n"/>
      <c r="AN149" s="84" t="n"/>
      <c r="AO149" s="84" t="n"/>
      <c r="AP149" s="84" t="n"/>
    </row>
    <row r="150" ht="15" customHeight="1" s="65">
      <c r="A150" s="84" t="n"/>
      <c r="B150" s="84" t="n"/>
      <c r="C150" s="84" t="n"/>
      <c r="D150" s="84" t="n"/>
      <c r="E150" s="84" t="n"/>
      <c r="F150" s="84" t="n"/>
      <c r="G150" s="84" t="n"/>
      <c r="H150" s="84" t="n"/>
      <c r="I150" s="84" t="n"/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  <c r="AA150" s="84" t="n"/>
      <c r="AB150" s="84" t="n"/>
      <c r="AC150" s="84" t="n"/>
      <c r="AD150" s="84" t="n"/>
      <c r="AE150" s="84" t="n"/>
      <c r="AF150" s="84" t="n"/>
      <c r="AG150" s="84" t="n"/>
      <c r="AH150" s="84" t="n"/>
      <c r="AI150" s="84" t="n"/>
      <c r="AJ150" s="84" t="n"/>
      <c r="AK150" s="84" t="n"/>
      <c r="AL150" s="84" t="n"/>
      <c r="AM150" s="84" t="n"/>
      <c r="AN150" s="84" t="n"/>
      <c r="AO150" s="84" t="n"/>
      <c r="AP150" s="84" t="n"/>
    </row>
    <row r="151" ht="15" customHeight="1" s="65">
      <c r="A151" s="84" t="n"/>
      <c r="B151" s="84" t="n"/>
      <c r="C151" s="84" t="n"/>
      <c r="D151" s="84" t="n"/>
      <c r="E151" s="84" t="n"/>
      <c r="F151" s="84" t="n"/>
      <c r="G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  <c r="AA151" s="84" t="n"/>
      <c r="AB151" s="84" t="n"/>
      <c r="AC151" s="84" t="n"/>
      <c r="AD151" s="84" t="n"/>
      <c r="AE151" s="84" t="n"/>
      <c r="AF151" s="84" t="n"/>
      <c r="AG151" s="84" t="n"/>
      <c r="AH151" s="84" t="n"/>
      <c r="AI151" s="84" t="n"/>
      <c r="AJ151" s="84" t="n"/>
      <c r="AK151" s="84" t="n"/>
      <c r="AL151" s="84" t="n"/>
      <c r="AM151" s="84" t="n"/>
      <c r="AN151" s="84" t="n"/>
      <c r="AO151" s="84" t="n"/>
      <c r="AP151" s="84" t="n"/>
    </row>
    <row r="152" ht="15" customHeight="1" s="65">
      <c r="A152" s="84" t="n"/>
      <c r="B152" s="84" t="n"/>
      <c r="C152" s="84" t="n"/>
      <c r="D152" s="84" t="n"/>
      <c r="E152" s="84" t="n"/>
      <c r="F152" s="84" t="n"/>
      <c r="G152" s="84" t="n"/>
      <c r="H152" s="84" t="n"/>
      <c r="I152" s="84" t="n"/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  <c r="AA152" s="84" t="n"/>
      <c r="AB152" s="84" t="n"/>
      <c r="AC152" s="84" t="n"/>
      <c r="AD152" s="84" t="n"/>
      <c r="AE152" s="84" t="n"/>
      <c r="AF152" s="84" t="n"/>
      <c r="AG152" s="84" t="n"/>
      <c r="AH152" s="84" t="n"/>
      <c r="AI152" s="84" t="n"/>
      <c r="AJ152" s="84" t="n"/>
      <c r="AK152" s="84" t="n"/>
      <c r="AL152" s="84" t="n"/>
      <c r="AM152" s="84" t="n"/>
      <c r="AN152" s="84" t="n"/>
      <c r="AO152" s="84" t="n"/>
      <c r="AP152" s="84" t="n"/>
    </row>
    <row r="153" ht="15" customHeight="1" s="65">
      <c r="A153" s="84" t="n"/>
      <c r="B153" s="84" t="n"/>
      <c r="C153" s="84" t="n"/>
      <c r="D153" s="84" t="n"/>
      <c r="E153" s="84" t="n"/>
      <c r="F153" s="84" t="n"/>
      <c r="G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  <c r="AA153" s="84" t="n"/>
      <c r="AB153" s="84" t="n"/>
      <c r="AC153" s="84" t="n"/>
      <c r="AD153" s="84" t="n"/>
      <c r="AE153" s="84" t="n"/>
      <c r="AF153" s="84" t="n"/>
      <c r="AG153" s="84" t="n"/>
      <c r="AH153" s="84" t="n"/>
      <c r="AI153" s="84" t="n"/>
      <c r="AJ153" s="84" t="n"/>
      <c r="AK153" s="84" t="n"/>
      <c r="AL153" s="84" t="n"/>
      <c r="AM153" s="84" t="n"/>
      <c r="AN153" s="84" t="n"/>
      <c r="AO153" s="84" t="n"/>
      <c r="AP153" s="84" t="n"/>
    </row>
    <row r="154" ht="15" customHeight="1" s="65">
      <c r="A154" s="84" t="n"/>
      <c r="B154" s="84" t="n"/>
      <c r="C154" s="84" t="n"/>
      <c r="D154" s="84" t="n"/>
      <c r="E154" s="84" t="n"/>
      <c r="F154" s="84" t="n"/>
      <c r="G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  <c r="AA154" s="84" t="n"/>
      <c r="AB154" s="84" t="n"/>
      <c r="AC154" s="84" t="n"/>
      <c r="AD154" s="84" t="n"/>
      <c r="AE154" s="84" t="n"/>
      <c r="AF154" s="84" t="n"/>
      <c r="AG154" s="84" t="n"/>
      <c r="AH154" s="84" t="n"/>
      <c r="AI154" s="84" t="n"/>
      <c r="AJ154" s="84" t="n"/>
      <c r="AK154" s="84" t="n"/>
      <c r="AL154" s="84" t="n"/>
      <c r="AM154" s="84" t="n"/>
      <c r="AN154" s="84" t="n"/>
      <c r="AO154" s="84" t="n"/>
      <c r="AP154" s="84" t="n"/>
    </row>
    <row r="155" ht="15" customHeight="1" s="65">
      <c r="A155" s="84" t="n"/>
      <c r="B155" s="84" t="n"/>
      <c r="C155" s="84" t="n"/>
      <c r="D155" s="84" t="n"/>
      <c r="E155" s="84" t="n"/>
      <c r="F155" s="84" t="n"/>
      <c r="G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  <c r="AA155" s="84" t="n"/>
      <c r="AB155" s="84" t="n"/>
      <c r="AC155" s="84" t="n"/>
      <c r="AD155" s="84" t="n"/>
      <c r="AE155" s="84" t="n"/>
      <c r="AF155" s="84" t="n"/>
      <c r="AG155" s="84" t="n"/>
      <c r="AH155" s="84" t="n"/>
      <c r="AI155" s="84" t="n"/>
      <c r="AJ155" s="84" t="n"/>
      <c r="AK155" s="84" t="n"/>
      <c r="AL155" s="84" t="n"/>
      <c r="AM155" s="84" t="n"/>
      <c r="AN155" s="84" t="n"/>
      <c r="AO155" s="84" t="n"/>
      <c r="AP155" s="84" t="n"/>
    </row>
    <row r="156" ht="15" customHeight="1" s="65">
      <c r="A156" s="84" t="n"/>
      <c r="B156" s="84" t="n"/>
      <c r="C156" s="84" t="n"/>
      <c r="D156" s="84" t="n"/>
      <c r="E156" s="84" t="n"/>
      <c r="F156" s="84" t="n"/>
      <c r="G156" s="84" t="n"/>
      <c r="H156" s="84" t="n"/>
      <c r="I156" s="84" t="n"/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  <c r="AA156" s="84" t="n"/>
      <c r="AB156" s="84" t="n"/>
      <c r="AC156" s="84" t="n"/>
      <c r="AD156" s="84" t="n"/>
      <c r="AE156" s="84" t="n"/>
      <c r="AF156" s="84" t="n"/>
      <c r="AG156" s="84" t="n"/>
      <c r="AH156" s="84" t="n"/>
      <c r="AI156" s="84" t="n"/>
      <c r="AJ156" s="84" t="n"/>
      <c r="AK156" s="84" t="n"/>
      <c r="AL156" s="84" t="n"/>
      <c r="AM156" s="84" t="n"/>
      <c r="AN156" s="84" t="n"/>
      <c r="AO156" s="84" t="n"/>
      <c r="AP156" s="84" t="n"/>
    </row>
    <row r="157" ht="15" customHeight="1" s="65">
      <c r="A157" s="84" t="n"/>
      <c r="B157" s="84" t="n"/>
      <c r="C157" s="84" t="n"/>
      <c r="D157" s="84" t="n"/>
      <c r="E157" s="84" t="n"/>
      <c r="F157" s="84" t="n"/>
      <c r="G157" s="84" t="n"/>
      <c r="H157" s="84" t="n"/>
      <c r="I157" s="84" t="n"/>
      <c r="J157" s="84" t="n"/>
      <c r="K157" s="84" t="n"/>
      <c r="L157" s="84" t="n"/>
      <c r="M157" s="84" t="n"/>
      <c r="N157" s="84" t="n"/>
      <c r="O157" s="84" t="n"/>
      <c r="P157" s="84" t="n"/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  <c r="AA157" s="84" t="n"/>
      <c r="AB157" s="84" t="n"/>
      <c r="AC157" s="84" t="n"/>
      <c r="AD157" s="84" t="n"/>
      <c r="AE157" s="84" t="n"/>
      <c r="AF157" s="84" t="n"/>
      <c r="AG157" s="84" t="n"/>
      <c r="AH157" s="84" t="n"/>
      <c r="AI157" s="84" t="n"/>
      <c r="AJ157" s="84" t="n"/>
      <c r="AK157" s="84" t="n"/>
      <c r="AL157" s="84" t="n"/>
      <c r="AM157" s="84" t="n"/>
      <c r="AN157" s="84" t="n"/>
      <c r="AO157" s="84" t="n"/>
      <c r="AP157" s="84" t="n"/>
    </row>
    <row r="158" ht="15" customHeight="1" s="65">
      <c r="A158" s="84" t="n"/>
      <c r="B158" s="84" t="n"/>
      <c r="C158" s="84" t="n"/>
      <c r="D158" s="84" t="n"/>
      <c r="E158" s="84" t="n"/>
      <c r="F158" s="84" t="n"/>
      <c r="G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  <c r="AA158" s="84" t="n"/>
      <c r="AB158" s="84" t="n"/>
      <c r="AC158" s="84" t="n"/>
      <c r="AD158" s="84" t="n"/>
      <c r="AE158" s="84" t="n"/>
      <c r="AF158" s="84" t="n"/>
      <c r="AG158" s="84" t="n"/>
      <c r="AH158" s="84" t="n"/>
      <c r="AI158" s="84" t="n"/>
      <c r="AJ158" s="84" t="n"/>
      <c r="AK158" s="84" t="n"/>
      <c r="AL158" s="84" t="n"/>
      <c r="AM158" s="84" t="n"/>
      <c r="AN158" s="84" t="n"/>
      <c r="AO158" s="84" t="n"/>
      <c r="AP158" s="84" t="n"/>
    </row>
    <row r="159" ht="15" customHeight="1" s="65">
      <c r="A159" s="84" t="n"/>
      <c r="B159" s="84" t="n"/>
      <c r="C159" s="84" t="n"/>
      <c r="D159" s="84" t="n"/>
      <c r="E159" s="84" t="n"/>
      <c r="F159" s="84" t="n"/>
      <c r="G159" s="84" t="n"/>
      <c r="H159" s="84" t="n"/>
      <c r="I159" s="84" t="n"/>
      <c r="J159" s="84" t="n"/>
      <c r="K159" s="84" t="n"/>
      <c r="L159" s="84" t="n"/>
      <c r="M159" s="84" t="n"/>
      <c r="N159" s="84" t="n"/>
      <c r="O159" s="84" t="n"/>
      <c r="P159" s="84" t="n"/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  <c r="AA159" s="84" t="n"/>
      <c r="AB159" s="84" t="n"/>
      <c r="AC159" s="84" t="n"/>
      <c r="AD159" s="84" t="n"/>
      <c r="AE159" s="84" t="n"/>
      <c r="AF159" s="84" t="n"/>
      <c r="AG159" s="84" t="n"/>
      <c r="AH159" s="84" t="n"/>
      <c r="AI159" s="84" t="n"/>
      <c r="AJ159" s="84" t="n"/>
      <c r="AK159" s="84" t="n"/>
      <c r="AL159" s="84" t="n"/>
      <c r="AM159" s="84" t="n"/>
      <c r="AN159" s="84" t="n"/>
      <c r="AO159" s="84" t="n"/>
      <c r="AP159" s="84" t="n"/>
    </row>
    <row r="160" ht="15" customHeight="1" s="65">
      <c r="A160" s="84" t="n"/>
      <c r="B160" s="84" t="n"/>
      <c r="C160" s="84" t="n"/>
      <c r="D160" s="84" t="n"/>
      <c r="E160" s="84" t="n"/>
      <c r="F160" s="84" t="n"/>
      <c r="G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84" t="n"/>
      <c r="AC160" s="84" t="n"/>
      <c r="AD160" s="84" t="n"/>
      <c r="AE160" s="84" t="n"/>
      <c r="AF160" s="84" t="n"/>
      <c r="AG160" s="84" t="n"/>
      <c r="AH160" s="84" t="n"/>
      <c r="AI160" s="84" t="n"/>
      <c r="AJ160" s="84" t="n"/>
      <c r="AK160" s="84" t="n"/>
      <c r="AL160" s="84" t="n"/>
      <c r="AM160" s="84" t="n"/>
      <c r="AN160" s="84" t="n"/>
      <c r="AO160" s="84" t="n"/>
      <c r="AP160" s="84" t="n"/>
    </row>
    <row r="161" ht="15" customHeight="1" s="65">
      <c r="A161" s="84" t="n"/>
      <c r="B161" s="84" t="n"/>
      <c r="C161" s="84" t="n"/>
      <c r="D161" s="84" t="n"/>
      <c r="E161" s="84" t="n"/>
      <c r="F161" s="84" t="n"/>
      <c r="G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  <c r="AA161" s="84" t="n"/>
      <c r="AB161" s="84" t="n"/>
      <c r="AC161" s="84" t="n"/>
      <c r="AD161" s="84" t="n"/>
      <c r="AE161" s="84" t="n"/>
      <c r="AF161" s="84" t="n"/>
      <c r="AG161" s="84" t="n"/>
      <c r="AH161" s="84" t="n"/>
      <c r="AI161" s="84" t="n"/>
      <c r="AJ161" s="84" t="n"/>
      <c r="AK161" s="84" t="n"/>
      <c r="AL161" s="84" t="n"/>
      <c r="AM161" s="84" t="n"/>
      <c r="AN161" s="84" t="n"/>
      <c r="AO161" s="84" t="n"/>
      <c r="AP161" s="84" t="n"/>
    </row>
    <row r="162" ht="15" customHeight="1" s="65">
      <c r="A162" s="84" t="n"/>
      <c r="B162" s="84" t="n"/>
      <c r="C162" s="84" t="n"/>
      <c r="D162" s="84" t="n"/>
      <c r="E162" s="84" t="n"/>
      <c r="F162" s="84" t="n"/>
      <c r="G162" s="84" t="n"/>
      <c r="H162" s="84" t="n"/>
      <c r="I162" s="84" t="n"/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  <c r="AA162" s="84" t="n"/>
      <c r="AB162" s="84" t="n"/>
      <c r="AC162" s="84" t="n"/>
      <c r="AD162" s="84" t="n"/>
      <c r="AE162" s="84" t="n"/>
      <c r="AF162" s="84" t="n"/>
      <c r="AG162" s="84" t="n"/>
      <c r="AH162" s="84" t="n"/>
      <c r="AI162" s="84" t="n"/>
      <c r="AJ162" s="84" t="n"/>
      <c r="AK162" s="84" t="n"/>
      <c r="AL162" s="84" t="n"/>
      <c r="AM162" s="84" t="n"/>
      <c r="AN162" s="84" t="n"/>
      <c r="AO162" s="84" t="n"/>
      <c r="AP162" s="84" t="n"/>
    </row>
    <row r="163" ht="15" customHeight="1" s="65">
      <c r="A163" s="84" t="n"/>
      <c r="B163" s="84" t="n"/>
      <c r="C163" s="84" t="n"/>
      <c r="D163" s="84" t="n"/>
      <c r="E163" s="84" t="n"/>
      <c r="F163" s="84" t="n"/>
      <c r="G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  <c r="AA163" s="84" t="n"/>
      <c r="AB163" s="84" t="n"/>
      <c r="AC163" s="84" t="n"/>
      <c r="AD163" s="84" t="n"/>
      <c r="AE163" s="84" t="n"/>
      <c r="AF163" s="84" t="n"/>
      <c r="AG163" s="84" t="n"/>
      <c r="AH163" s="84" t="n"/>
      <c r="AI163" s="84" t="n"/>
      <c r="AJ163" s="84" t="n"/>
      <c r="AK163" s="84" t="n"/>
      <c r="AL163" s="84" t="n"/>
      <c r="AM163" s="84" t="n"/>
      <c r="AN163" s="84" t="n"/>
      <c r="AO163" s="84" t="n"/>
      <c r="AP163" s="84" t="n"/>
    </row>
    <row r="164" ht="15" customHeight="1" s="65">
      <c r="A164" s="84" t="n"/>
      <c r="B164" s="84" t="n"/>
      <c r="C164" s="84" t="n"/>
      <c r="D164" s="84" t="n"/>
      <c r="E164" s="84" t="n"/>
      <c r="F164" s="84" t="n"/>
      <c r="G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  <c r="AA164" s="84" t="n"/>
      <c r="AB164" s="84" t="n"/>
      <c r="AC164" s="84" t="n"/>
      <c r="AD164" s="84" t="n"/>
      <c r="AE164" s="84" t="n"/>
      <c r="AF164" s="84" t="n"/>
      <c r="AG164" s="84" t="n"/>
      <c r="AH164" s="84" t="n"/>
      <c r="AI164" s="84" t="n"/>
      <c r="AJ164" s="84" t="n"/>
      <c r="AK164" s="84" t="n"/>
      <c r="AL164" s="84" t="n"/>
      <c r="AM164" s="84" t="n"/>
      <c r="AN164" s="84" t="n"/>
      <c r="AO164" s="84" t="n"/>
      <c r="AP164" s="84" t="n"/>
    </row>
    <row r="165" ht="15" customHeight="1" s="65">
      <c r="A165" s="84" t="n"/>
      <c r="B165" s="84" t="n"/>
      <c r="C165" s="84" t="n"/>
      <c r="D165" s="84" t="n"/>
      <c r="E165" s="84" t="n"/>
      <c r="F165" s="84" t="n"/>
      <c r="G165" s="84" t="n"/>
      <c r="H165" s="84" t="n"/>
      <c r="I165" s="84" t="n"/>
      <c r="J165" s="84" t="n"/>
      <c r="K165" s="84" t="n"/>
      <c r="L165" s="84" t="n"/>
      <c r="M165" s="84" t="n"/>
      <c r="N165" s="84" t="n"/>
      <c r="O165" s="84" t="n"/>
      <c r="P165" s="84" t="n"/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  <c r="AA165" s="84" t="n"/>
      <c r="AB165" s="84" t="n"/>
      <c r="AC165" s="84" t="n"/>
      <c r="AD165" s="84" t="n"/>
      <c r="AE165" s="84" t="n"/>
      <c r="AF165" s="84" t="n"/>
      <c r="AG165" s="84" t="n"/>
      <c r="AH165" s="84" t="n"/>
      <c r="AI165" s="84" t="n"/>
      <c r="AJ165" s="84" t="n"/>
      <c r="AK165" s="84" t="n"/>
      <c r="AL165" s="84" t="n"/>
      <c r="AM165" s="84" t="n"/>
      <c r="AN165" s="84" t="n"/>
      <c r="AO165" s="84" t="n"/>
      <c r="AP165" s="84" t="n"/>
    </row>
    <row r="166" ht="15" customHeight="1" s="65">
      <c r="A166" s="84" t="n"/>
      <c r="B166" s="84" t="n"/>
      <c r="C166" s="84" t="n"/>
      <c r="D166" s="84" t="n"/>
      <c r="E166" s="84" t="n"/>
      <c r="F166" s="84" t="n"/>
      <c r="G166" s="84" t="n"/>
      <c r="H166" s="84" t="n"/>
      <c r="I166" s="84" t="n"/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  <c r="AA166" s="84" t="n"/>
      <c r="AB166" s="84" t="n"/>
      <c r="AC166" s="84" t="n"/>
      <c r="AD166" s="84" t="n"/>
      <c r="AE166" s="84" t="n"/>
      <c r="AF166" s="84" t="n"/>
      <c r="AG166" s="84" t="n"/>
      <c r="AH166" s="84" t="n"/>
      <c r="AI166" s="84" t="n"/>
      <c r="AJ166" s="84" t="n"/>
      <c r="AK166" s="84" t="n"/>
      <c r="AL166" s="84" t="n"/>
      <c r="AM166" s="84" t="n"/>
      <c r="AN166" s="84" t="n"/>
      <c r="AO166" s="84" t="n"/>
      <c r="AP166" s="84" t="n"/>
    </row>
    <row r="167" ht="15" customHeight="1" s="65">
      <c r="A167" s="84" t="n"/>
      <c r="B167" s="84" t="n"/>
      <c r="C167" s="84" t="n"/>
      <c r="D167" s="84" t="n"/>
      <c r="E167" s="84" t="n"/>
      <c r="F167" s="84" t="n"/>
      <c r="G167" s="84" t="n"/>
      <c r="H167" s="84" t="n"/>
      <c r="I167" s="84" t="n"/>
      <c r="J167" s="84" t="n"/>
      <c r="K167" s="84" t="n"/>
      <c r="L167" s="84" t="n"/>
      <c r="M167" s="84" t="n"/>
      <c r="N167" s="84" t="n"/>
      <c r="O167" s="84" t="n"/>
      <c r="P167" s="84" t="n"/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  <c r="AA167" s="84" t="n"/>
      <c r="AB167" s="84" t="n"/>
      <c r="AC167" s="84" t="n"/>
      <c r="AD167" s="84" t="n"/>
      <c r="AE167" s="84" t="n"/>
      <c r="AF167" s="84" t="n"/>
      <c r="AG167" s="84" t="n"/>
      <c r="AH167" s="84" t="n"/>
      <c r="AI167" s="84" t="n"/>
      <c r="AJ167" s="84" t="n"/>
      <c r="AK167" s="84" t="n"/>
      <c r="AL167" s="84" t="n"/>
      <c r="AM167" s="84" t="n"/>
      <c r="AN167" s="84" t="n"/>
      <c r="AO167" s="84" t="n"/>
      <c r="AP167" s="84" t="n"/>
    </row>
    <row r="168" ht="15" customHeight="1" s="65">
      <c r="A168" s="84" t="n"/>
      <c r="B168" s="84" t="n"/>
      <c r="C168" s="84" t="n"/>
      <c r="D168" s="84" t="n"/>
      <c r="E168" s="84" t="n"/>
      <c r="F168" s="84" t="n"/>
      <c r="G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  <c r="AA168" s="84" t="n"/>
      <c r="AB168" s="84" t="n"/>
      <c r="AC168" s="84" t="n"/>
      <c r="AD168" s="84" t="n"/>
      <c r="AE168" s="84" t="n"/>
      <c r="AF168" s="84" t="n"/>
      <c r="AG168" s="84" t="n"/>
      <c r="AH168" s="84" t="n"/>
      <c r="AI168" s="84" t="n"/>
      <c r="AJ168" s="84" t="n"/>
      <c r="AK168" s="84" t="n"/>
      <c r="AL168" s="84" t="n"/>
      <c r="AM168" s="84" t="n"/>
      <c r="AN168" s="84" t="n"/>
      <c r="AO168" s="84" t="n"/>
      <c r="AP168" s="84" t="n"/>
    </row>
    <row r="169" ht="15" customHeight="1" s="65">
      <c r="A169" s="84" t="n"/>
      <c r="B169" s="84" t="n"/>
      <c r="C169" s="84" t="n"/>
      <c r="D169" s="84" t="n"/>
      <c r="E169" s="84" t="n"/>
      <c r="F169" s="84" t="n"/>
      <c r="G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  <c r="AA169" s="84" t="n"/>
      <c r="AB169" s="84" t="n"/>
      <c r="AC169" s="84" t="n"/>
      <c r="AD169" s="84" t="n"/>
      <c r="AE169" s="84" t="n"/>
      <c r="AF169" s="84" t="n"/>
      <c r="AG169" s="84" t="n"/>
      <c r="AH169" s="84" t="n"/>
      <c r="AI169" s="84" t="n"/>
      <c r="AJ169" s="84" t="n"/>
      <c r="AK169" s="84" t="n"/>
      <c r="AL169" s="84" t="n"/>
      <c r="AM169" s="84" t="n"/>
      <c r="AN169" s="84" t="n"/>
      <c r="AO169" s="84" t="n"/>
      <c r="AP169" s="84" t="n"/>
    </row>
    <row r="170" ht="15" customHeight="1" s="65">
      <c r="A170" s="84" t="n"/>
      <c r="B170" s="84" t="n"/>
      <c r="C170" s="84" t="n"/>
      <c r="D170" s="84" t="n"/>
      <c r="E170" s="84" t="n"/>
      <c r="F170" s="84" t="n"/>
      <c r="G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  <c r="AA170" s="84" t="n"/>
      <c r="AB170" s="84" t="n"/>
      <c r="AC170" s="84" t="n"/>
      <c r="AD170" s="84" t="n"/>
      <c r="AE170" s="84" t="n"/>
      <c r="AF170" s="84" t="n"/>
      <c r="AG170" s="84" t="n"/>
      <c r="AH170" s="84" t="n"/>
      <c r="AI170" s="84" t="n"/>
      <c r="AJ170" s="84" t="n"/>
      <c r="AK170" s="84" t="n"/>
      <c r="AL170" s="84" t="n"/>
      <c r="AM170" s="84" t="n"/>
      <c r="AN170" s="84" t="n"/>
      <c r="AO170" s="84" t="n"/>
      <c r="AP170" s="84" t="n"/>
    </row>
    <row r="171" ht="15" customHeight="1" s="65">
      <c r="A171" s="84" t="n"/>
      <c r="B171" s="84" t="n"/>
      <c r="C171" s="84" t="n"/>
      <c r="D171" s="84" t="n"/>
      <c r="E171" s="84" t="n"/>
      <c r="F171" s="84" t="n"/>
      <c r="G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  <c r="AA171" s="84" t="n"/>
      <c r="AB171" s="84" t="n"/>
      <c r="AC171" s="84" t="n"/>
      <c r="AD171" s="84" t="n"/>
      <c r="AE171" s="84" t="n"/>
      <c r="AF171" s="84" t="n"/>
      <c r="AG171" s="84" t="n"/>
      <c r="AH171" s="84" t="n"/>
      <c r="AI171" s="84" t="n"/>
      <c r="AJ171" s="84" t="n"/>
      <c r="AK171" s="84" t="n"/>
      <c r="AL171" s="84" t="n"/>
      <c r="AM171" s="84" t="n"/>
      <c r="AN171" s="84" t="n"/>
      <c r="AO171" s="84" t="n"/>
      <c r="AP171" s="84" t="n"/>
    </row>
    <row r="172" ht="15" customHeight="1" s="65">
      <c r="A172" s="84" t="n"/>
      <c r="B172" s="84" t="n"/>
      <c r="C172" s="84" t="n"/>
      <c r="D172" s="84" t="n"/>
      <c r="E172" s="84" t="n"/>
      <c r="F172" s="84" t="n"/>
      <c r="G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  <c r="AA172" s="84" t="n"/>
      <c r="AB172" s="84" t="n"/>
      <c r="AC172" s="84" t="n"/>
      <c r="AD172" s="84" t="n"/>
      <c r="AE172" s="84" t="n"/>
      <c r="AF172" s="84" t="n"/>
      <c r="AG172" s="84" t="n"/>
      <c r="AH172" s="84" t="n"/>
      <c r="AI172" s="84" t="n"/>
      <c r="AJ172" s="84" t="n"/>
      <c r="AK172" s="84" t="n"/>
      <c r="AL172" s="84" t="n"/>
      <c r="AM172" s="84" t="n"/>
      <c r="AN172" s="84" t="n"/>
      <c r="AO172" s="84" t="n"/>
      <c r="AP172" s="84" t="n"/>
    </row>
    <row r="173" ht="15" customHeight="1" s="65">
      <c r="A173" s="84" t="n"/>
      <c r="B173" s="84" t="n"/>
      <c r="C173" s="84" t="n"/>
      <c r="D173" s="84" t="n"/>
      <c r="E173" s="84" t="n"/>
      <c r="F173" s="84" t="n"/>
      <c r="G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  <c r="AA173" s="84" t="n"/>
      <c r="AB173" s="84" t="n"/>
      <c r="AC173" s="84" t="n"/>
      <c r="AD173" s="84" t="n"/>
      <c r="AE173" s="84" t="n"/>
      <c r="AF173" s="84" t="n"/>
      <c r="AG173" s="84" t="n"/>
      <c r="AH173" s="84" t="n"/>
      <c r="AI173" s="84" t="n"/>
      <c r="AJ173" s="84" t="n"/>
      <c r="AK173" s="84" t="n"/>
      <c r="AL173" s="84" t="n"/>
      <c r="AM173" s="84" t="n"/>
      <c r="AN173" s="84" t="n"/>
      <c r="AO173" s="84" t="n"/>
      <c r="AP173" s="84" t="n"/>
    </row>
    <row r="174" ht="15" customHeight="1" s="65">
      <c r="A174" s="84" t="n"/>
      <c r="B174" s="84" t="n"/>
      <c r="C174" s="84" t="n"/>
      <c r="D174" s="84" t="n"/>
      <c r="E174" s="84" t="n"/>
      <c r="F174" s="84" t="n"/>
      <c r="G174" s="84" t="n"/>
      <c r="H174" s="84" t="n"/>
      <c r="I174" s="84" t="n"/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  <c r="AA174" s="84" t="n"/>
      <c r="AB174" s="84" t="n"/>
      <c r="AC174" s="84" t="n"/>
      <c r="AD174" s="84" t="n"/>
      <c r="AE174" s="84" t="n"/>
      <c r="AF174" s="84" t="n"/>
      <c r="AG174" s="84" t="n"/>
      <c r="AH174" s="84" t="n"/>
      <c r="AI174" s="84" t="n"/>
      <c r="AJ174" s="84" t="n"/>
      <c r="AK174" s="84" t="n"/>
      <c r="AL174" s="84" t="n"/>
      <c r="AM174" s="84" t="n"/>
      <c r="AN174" s="84" t="n"/>
      <c r="AO174" s="84" t="n"/>
      <c r="AP174" s="84" t="n"/>
    </row>
    <row r="175" ht="15" customHeight="1" s="65">
      <c r="A175" s="84" t="n"/>
      <c r="B175" s="84" t="n"/>
      <c r="C175" s="84" t="n"/>
      <c r="D175" s="84" t="n"/>
      <c r="E175" s="84" t="n"/>
      <c r="F175" s="84" t="n"/>
      <c r="G175" s="84" t="n"/>
      <c r="H175" s="84" t="n"/>
      <c r="I175" s="84" t="n"/>
      <c r="J175" s="84" t="n"/>
      <c r="K175" s="84" t="n"/>
      <c r="L175" s="84" t="n"/>
      <c r="M175" s="84" t="n"/>
      <c r="N175" s="84" t="n"/>
      <c r="O175" s="84" t="n"/>
      <c r="P175" s="84" t="n"/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  <c r="AA175" s="84" t="n"/>
      <c r="AB175" s="84" t="n"/>
      <c r="AC175" s="84" t="n"/>
      <c r="AD175" s="84" t="n"/>
      <c r="AE175" s="84" t="n"/>
      <c r="AF175" s="84" t="n"/>
      <c r="AG175" s="84" t="n"/>
      <c r="AH175" s="84" t="n"/>
      <c r="AI175" s="84" t="n"/>
      <c r="AJ175" s="84" t="n"/>
      <c r="AK175" s="84" t="n"/>
      <c r="AL175" s="84" t="n"/>
      <c r="AM175" s="84" t="n"/>
      <c r="AN175" s="84" t="n"/>
      <c r="AO175" s="84" t="n"/>
      <c r="AP175" s="84" t="n"/>
    </row>
    <row r="176" ht="15" customHeight="1" s="65">
      <c r="A176" s="84" t="n"/>
      <c r="B176" s="84" t="n"/>
      <c r="C176" s="84" t="n"/>
      <c r="D176" s="84" t="n"/>
      <c r="E176" s="84" t="n"/>
      <c r="F176" s="84" t="n"/>
      <c r="G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  <c r="AA176" s="84" t="n"/>
      <c r="AB176" s="84" t="n"/>
      <c r="AC176" s="84" t="n"/>
      <c r="AD176" s="84" t="n"/>
      <c r="AE176" s="84" t="n"/>
      <c r="AF176" s="84" t="n"/>
      <c r="AG176" s="84" t="n"/>
      <c r="AH176" s="84" t="n"/>
      <c r="AI176" s="84" t="n"/>
      <c r="AJ176" s="84" t="n"/>
      <c r="AK176" s="84" t="n"/>
      <c r="AL176" s="84" t="n"/>
      <c r="AM176" s="84" t="n"/>
      <c r="AN176" s="84" t="n"/>
      <c r="AO176" s="84" t="n"/>
      <c r="AP176" s="84" t="n"/>
    </row>
    <row r="177" ht="15" customHeight="1" s="65">
      <c r="A177" s="84" t="n"/>
      <c r="B177" s="84" t="n"/>
      <c r="C177" s="84" t="n"/>
      <c r="D177" s="84" t="n"/>
      <c r="E177" s="84" t="n"/>
      <c r="F177" s="84" t="n"/>
      <c r="G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  <c r="AA177" s="84" t="n"/>
      <c r="AB177" s="84" t="n"/>
      <c r="AC177" s="84" t="n"/>
      <c r="AD177" s="84" t="n"/>
      <c r="AE177" s="84" t="n"/>
      <c r="AF177" s="84" t="n"/>
      <c r="AG177" s="84" t="n"/>
      <c r="AH177" s="84" t="n"/>
      <c r="AI177" s="84" t="n"/>
      <c r="AJ177" s="84" t="n"/>
      <c r="AK177" s="84" t="n"/>
      <c r="AL177" s="84" t="n"/>
      <c r="AM177" s="84" t="n"/>
      <c r="AN177" s="84" t="n"/>
      <c r="AO177" s="84" t="n"/>
      <c r="AP177" s="84" t="n"/>
    </row>
    <row r="178" ht="15" customHeight="1" s="65">
      <c r="A178" s="84" t="n"/>
      <c r="B178" s="84" t="n"/>
      <c r="C178" s="84" t="n"/>
      <c r="D178" s="84" t="n"/>
      <c r="E178" s="84" t="n"/>
      <c r="F178" s="84" t="n"/>
      <c r="G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  <c r="AA178" s="84" t="n"/>
      <c r="AB178" s="84" t="n"/>
      <c r="AC178" s="84" t="n"/>
      <c r="AD178" s="84" t="n"/>
      <c r="AE178" s="84" t="n"/>
      <c r="AF178" s="84" t="n"/>
      <c r="AG178" s="84" t="n"/>
      <c r="AH178" s="84" t="n"/>
      <c r="AI178" s="84" t="n"/>
      <c r="AJ178" s="84" t="n"/>
      <c r="AK178" s="84" t="n"/>
      <c r="AL178" s="84" t="n"/>
      <c r="AM178" s="84" t="n"/>
      <c r="AN178" s="84" t="n"/>
      <c r="AO178" s="84" t="n"/>
      <c r="AP178" s="84" t="n"/>
    </row>
    <row r="179" ht="15" customHeight="1" s="65">
      <c r="A179" s="84" t="n"/>
      <c r="B179" s="84" t="n"/>
      <c r="C179" s="84" t="n"/>
      <c r="D179" s="84" t="n"/>
      <c r="E179" s="84" t="n"/>
      <c r="F179" s="84" t="n"/>
      <c r="G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  <c r="AA179" s="84" t="n"/>
      <c r="AB179" s="84" t="n"/>
      <c r="AC179" s="84" t="n"/>
      <c r="AD179" s="84" t="n"/>
      <c r="AE179" s="84" t="n"/>
      <c r="AF179" s="84" t="n"/>
      <c r="AG179" s="84" t="n"/>
      <c r="AH179" s="84" t="n"/>
      <c r="AI179" s="84" t="n"/>
      <c r="AJ179" s="84" t="n"/>
      <c r="AK179" s="84" t="n"/>
      <c r="AL179" s="84" t="n"/>
      <c r="AM179" s="84" t="n"/>
      <c r="AN179" s="84" t="n"/>
      <c r="AO179" s="84" t="n"/>
      <c r="AP179" s="84" t="n"/>
    </row>
    <row r="180" ht="15" customHeight="1" s="65">
      <c r="A180" s="84" t="n"/>
      <c r="B180" s="84" t="n"/>
      <c r="C180" s="84" t="n"/>
      <c r="D180" s="84" t="n"/>
      <c r="E180" s="84" t="n"/>
      <c r="F180" s="84" t="n"/>
      <c r="G180" s="84" t="n"/>
      <c r="H180" s="84" t="n"/>
      <c r="I180" s="84" t="n"/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  <c r="AA180" s="84" t="n"/>
      <c r="AB180" s="84" t="n"/>
      <c r="AC180" s="84" t="n"/>
      <c r="AD180" s="84" t="n"/>
      <c r="AE180" s="84" t="n"/>
      <c r="AF180" s="84" t="n"/>
      <c r="AG180" s="84" t="n"/>
      <c r="AH180" s="84" t="n"/>
      <c r="AI180" s="84" t="n"/>
      <c r="AJ180" s="84" t="n"/>
      <c r="AK180" s="84" t="n"/>
      <c r="AL180" s="84" t="n"/>
      <c r="AM180" s="84" t="n"/>
      <c r="AN180" s="84" t="n"/>
      <c r="AO180" s="84" t="n"/>
      <c r="AP180" s="84" t="n"/>
    </row>
    <row r="181" ht="15" customHeight="1" s="65">
      <c r="A181" s="84" t="n"/>
      <c r="B181" s="84" t="n"/>
      <c r="C181" s="84" t="n"/>
      <c r="D181" s="84" t="n"/>
      <c r="E181" s="84" t="n"/>
      <c r="F181" s="84" t="n"/>
      <c r="G181" s="84" t="n"/>
      <c r="H181" s="84" t="n"/>
      <c r="I181" s="84" t="n"/>
      <c r="J181" s="84" t="n"/>
      <c r="K181" s="84" t="n"/>
      <c r="L181" s="84" t="n"/>
      <c r="M181" s="84" t="n"/>
      <c r="N181" s="84" t="n"/>
      <c r="O181" s="84" t="n"/>
      <c r="P181" s="84" t="n"/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  <c r="AA181" s="84" t="n"/>
      <c r="AB181" s="84" t="n"/>
      <c r="AC181" s="84" t="n"/>
      <c r="AD181" s="84" t="n"/>
      <c r="AE181" s="84" t="n"/>
      <c r="AF181" s="84" t="n"/>
      <c r="AG181" s="84" t="n"/>
      <c r="AH181" s="84" t="n"/>
      <c r="AI181" s="84" t="n"/>
      <c r="AJ181" s="84" t="n"/>
      <c r="AK181" s="84" t="n"/>
      <c r="AL181" s="84" t="n"/>
      <c r="AM181" s="84" t="n"/>
      <c r="AN181" s="84" t="n"/>
      <c r="AO181" s="84" t="n"/>
      <c r="AP181" s="84" t="n"/>
    </row>
    <row r="182" ht="15" customHeight="1" s="65">
      <c r="A182" s="84" t="n"/>
      <c r="B182" s="84" t="n"/>
      <c r="C182" s="84" t="n"/>
      <c r="D182" s="84" t="n"/>
      <c r="E182" s="84" t="n"/>
      <c r="F182" s="84" t="n"/>
      <c r="G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  <c r="AA182" s="84" t="n"/>
      <c r="AB182" s="84" t="n"/>
      <c r="AC182" s="84" t="n"/>
      <c r="AD182" s="84" t="n"/>
      <c r="AE182" s="84" t="n"/>
      <c r="AF182" s="84" t="n"/>
      <c r="AG182" s="84" t="n"/>
      <c r="AH182" s="84" t="n"/>
      <c r="AI182" s="84" t="n"/>
      <c r="AJ182" s="84" t="n"/>
      <c r="AK182" s="84" t="n"/>
      <c r="AL182" s="84" t="n"/>
      <c r="AM182" s="84" t="n"/>
      <c r="AN182" s="84" t="n"/>
      <c r="AO182" s="84" t="n"/>
      <c r="AP182" s="84" t="n"/>
    </row>
    <row r="183" ht="15" customHeight="1" s="65">
      <c r="A183" s="84" t="n"/>
      <c r="B183" s="84" t="n"/>
      <c r="C183" s="84" t="n"/>
      <c r="D183" s="84" t="n"/>
      <c r="E183" s="84" t="n"/>
      <c r="F183" s="84" t="n"/>
      <c r="G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  <c r="AA183" s="84" t="n"/>
      <c r="AB183" s="84" t="n"/>
      <c r="AC183" s="84" t="n"/>
      <c r="AD183" s="84" t="n"/>
      <c r="AE183" s="84" t="n"/>
      <c r="AF183" s="84" t="n"/>
      <c r="AG183" s="84" t="n"/>
      <c r="AH183" s="84" t="n"/>
      <c r="AI183" s="84" t="n"/>
      <c r="AJ183" s="84" t="n"/>
      <c r="AK183" s="84" t="n"/>
      <c r="AL183" s="84" t="n"/>
      <c r="AM183" s="84" t="n"/>
      <c r="AN183" s="84" t="n"/>
      <c r="AO183" s="84" t="n"/>
      <c r="AP183" s="84" t="n"/>
    </row>
    <row r="184" ht="15" customHeight="1" s="65">
      <c r="A184" s="84" t="n"/>
      <c r="B184" s="84" t="n"/>
      <c r="C184" s="84" t="n"/>
      <c r="D184" s="84" t="n"/>
      <c r="E184" s="84" t="n"/>
      <c r="F184" s="84" t="n"/>
      <c r="G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  <c r="AA184" s="84" t="n"/>
      <c r="AB184" s="84" t="n"/>
      <c r="AC184" s="84" t="n"/>
      <c r="AD184" s="84" t="n"/>
      <c r="AE184" s="84" t="n"/>
      <c r="AF184" s="84" t="n"/>
      <c r="AG184" s="84" t="n"/>
      <c r="AH184" s="84" t="n"/>
      <c r="AI184" s="84" t="n"/>
      <c r="AJ184" s="84" t="n"/>
      <c r="AK184" s="84" t="n"/>
      <c r="AL184" s="84" t="n"/>
      <c r="AM184" s="84" t="n"/>
      <c r="AN184" s="84" t="n"/>
      <c r="AO184" s="84" t="n"/>
      <c r="AP184" s="84" t="n"/>
    </row>
    <row r="185" ht="15" customHeight="1" s="65">
      <c r="A185" s="84" t="n"/>
      <c r="B185" s="84" t="n"/>
      <c r="C185" s="84" t="n"/>
      <c r="D185" s="84" t="n"/>
      <c r="E185" s="84" t="n"/>
      <c r="F185" s="84" t="n"/>
      <c r="G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  <c r="AA185" s="84" t="n"/>
      <c r="AB185" s="84" t="n"/>
      <c r="AC185" s="84" t="n"/>
      <c r="AD185" s="84" t="n"/>
      <c r="AE185" s="84" t="n"/>
      <c r="AF185" s="84" t="n"/>
      <c r="AG185" s="84" t="n"/>
      <c r="AH185" s="84" t="n"/>
      <c r="AI185" s="84" t="n"/>
      <c r="AJ185" s="84" t="n"/>
      <c r="AK185" s="84" t="n"/>
      <c r="AL185" s="84" t="n"/>
      <c r="AM185" s="84" t="n"/>
      <c r="AN185" s="84" t="n"/>
      <c r="AO185" s="84" t="n"/>
      <c r="AP185" s="84" t="n"/>
    </row>
    <row r="186" ht="15" customHeight="1" s="65">
      <c r="A186" s="84" t="n"/>
      <c r="B186" s="84" t="n"/>
      <c r="C186" s="84" t="n"/>
      <c r="D186" s="84" t="n"/>
      <c r="E186" s="84" t="n"/>
      <c r="F186" s="84" t="n"/>
      <c r="G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  <c r="AA186" s="84" t="n"/>
      <c r="AB186" s="84" t="n"/>
      <c r="AC186" s="84" t="n"/>
      <c r="AD186" s="84" t="n"/>
      <c r="AE186" s="84" t="n"/>
      <c r="AF186" s="84" t="n"/>
      <c r="AG186" s="84" t="n"/>
      <c r="AH186" s="84" t="n"/>
      <c r="AI186" s="84" t="n"/>
      <c r="AJ186" s="84" t="n"/>
      <c r="AK186" s="84" t="n"/>
      <c r="AL186" s="84" t="n"/>
      <c r="AM186" s="84" t="n"/>
      <c r="AN186" s="84" t="n"/>
      <c r="AO186" s="84" t="n"/>
      <c r="AP186" s="84" t="n"/>
    </row>
    <row r="187" ht="15" customHeight="1" s="65">
      <c r="A187" s="84" t="n"/>
      <c r="B187" s="84" t="n"/>
      <c r="C187" s="84" t="n"/>
      <c r="D187" s="84" t="n"/>
      <c r="E187" s="84" t="n"/>
      <c r="F187" s="84" t="n"/>
      <c r="G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  <c r="AA187" s="84" t="n"/>
      <c r="AB187" s="84" t="n"/>
      <c r="AC187" s="84" t="n"/>
      <c r="AD187" s="84" t="n"/>
      <c r="AE187" s="84" t="n"/>
      <c r="AF187" s="84" t="n"/>
      <c r="AG187" s="84" t="n"/>
      <c r="AH187" s="84" t="n"/>
      <c r="AI187" s="84" t="n"/>
      <c r="AJ187" s="84" t="n"/>
      <c r="AK187" s="84" t="n"/>
      <c r="AL187" s="84" t="n"/>
      <c r="AM187" s="84" t="n"/>
      <c r="AN187" s="84" t="n"/>
      <c r="AO187" s="84" t="n"/>
      <c r="AP187" s="84" t="n"/>
    </row>
    <row r="188" ht="15" customHeight="1" s="65">
      <c r="A188" s="84" t="n"/>
      <c r="B188" s="84" t="n"/>
      <c r="C188" s="84" t="n"/>
      <c r="D188" s="84" t="n"/>
      <c r="E188" s="84" t="n"/>
      <c r="F188" s="84" t="n"/>
      <c r="G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  <c r="AA188" s="84" t="n"/>
      <c r="AB188" s="84" t="n"/>
      <c r="AC188" s="84" t="n"/>
      <c r="AD188" s="84" t="n"/>
      <c r="AE188" s="84" t="n"/>
      <c r="AF188" s="84" t="n"/>
      <c r="AG188" s="84" t="n"/>
      <c r="AH188" s="84" t="n"/>
      <c r="AI188" s="84" t="n"/>
      <c r="AJ188" s="84" t="n"/>
      <c r="AK188" s="84" t="n"/>
      <c r="AL188" s="84" t="n"/>
      <c r="AM188" s="84" t="n"/>
      <c r="AN188" s="84" t="n"/>
      <c r="AO188" s="84" t="n"/>
      <c r="AP188" s="84" t="n"/>
    </row>
    <row r="189" ht="15" customHeight="1" s="65">
      <c r="A189" s="84" t="n"/>
      <c r="B189" s="84" t="n"/>
      <c r="C189" s="84" t="n"/>
      <c r="D189" s="84" t="n"/>
      <c r="E189" s="84" t="n"/>
      <c r="F189" s="84" t="n"/>
      <c r="G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  <c r="AA189" s="84" t="n"/>
      <c r="AB189" s="84" t="n"/>
      <c r="AC189" s="84" t="n"/>
      <c r="AD189" s="84" t="n"/>
      <c r="AE189" s="84" t="n"/>
      <c r="AF189" s="84" t="n"/>
      <c r="AG189" s="84" t="n"/>
      <c r="AH189" s="84" t="n"/>
      <c r="AI189" s="84" t="n"/>
      <c r="AJ189" s="84" t="n"/>
      <c r="AK189" s="84" t="n"/>
      <c r="AL189" s="84" t="n"/>
      <c r="AM189" s="84" t="n"/>
      <c r="AN189" s="84" t="n"/>
      <c r="AO189" s="84" t="n"/>
      <c r="AP189" s="84" t="n"/>
    </row>
    <row r="190" ht="15" customHeight="1" s="65">
      <c r="A190" s="84" t="n"/>
      <c r="B190" s="84" t="n"/>
      <c r="C190" s="84" t="n"/>
      <c r="D190" s="84" t="n"/>
      <c r="E190" s="84" t="n"/>
      <c r="F190" s="84" t="n"/>
      <c r="G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  <c r="AA190" s="84" t="n"/>
      <c r="AB190" s="84" t="n"/>
      <c r="AC190" s="84" t="n"/>
      <c r="AD190" s="84" t="n"/>
      <c r="AE190" s="84" t="n"/>
      <c r="AF190" s="84" t="n"/>
      <c r="AG190" s="84" t="n"/>
      <c r="AH190" s="84" t="n"/>
      <c r="AI190" s="84" t="n"/>
      <c r="AJ190" s="84" t="n"/>
      <c r="AK190" s="84" t="n"/>
      <c r="AL190" s="84" t="n"/>
      <c r="AM190" s="84" t="n"/>
      <c r="AN190" s="84" t="n"/>
      <c r="AO190" s="84" t="n"/>
      <c r="AP190" s="84" t="n"/>
    </row>
    <row r="191" ht="15" customHeight="1" s="65">
      <c r="A191" s="84" t="n"/>
      <c r="B191" s="84" t="n"/>
      <c r="C191" s="84" t="n"/>
      <c r="D191" s="84" t="n"/>
      <c r="E191" s="84" t="n"/>
      <c r="F191" s="84" t="n"/>
      <c r="G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  <c r="AA191" s="84" t="n"/>
      <c r="AB191" s="84" t="n"/>
      <c r="AC191" s="84" t="n"/>
      <c r="AD191" s="84" t="n"/>
      <c r="AE191" s="84" t="n"/>
      <c r="AF191" s="84" t="n"/>
      <c r="AG191" s="84" t="n"/>
      <c r="AH191" s="84" t="n"/>
      <c r="AI191" s="84" t="n"/>
      <c r="AJ191" s="84" t="n"/>
      <c r="AK191" s="84" t="n"/>
      <c r="AL191" s="84" t="n"/>
      <c r="AM191" s="84" t="n"/>
      <c r="AN191" s="84" t="n"/>
      <c r="AO191" s="84" t="n"/>
      <c r="AP191" s="84" t="n"/>
    </row>
    <row r="192" ht="15" customHeight="1" s="65">
      <c r="A192" s="84" t="n"/>
      <c r="B192" s="84" t="n"/>
      <c r="C192" s="84" t="n"/>
      <c r="D192" s="84" t="n"/>
      <c r="E192" s="84" t="n"/>
      <c r="F192" s="84" t="n"/>
      <c r="G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  <c r="AA192" s="84" t="n"/>
      <c r="AB192" s="84" t="n"/>
      <c r="AC192" s="84" t="n"/>
      <c r="AD192" s="84" t="n"/>
      <c r="AE192" s="84" t="n"/>
      <c r="AF192" s="84" t="n"/>
      <c r="AG192" s="84" t="n"/>
      <c r="AH192" s="84" t="n"/>
      <c r="AI192" s="84" t="n"/>
      <c r="AJ192" s="84" t="n"/>
      <c r="AK192" s="84" t="n"/>
      <c r="AL192" s="84" t="n"/>
      <c r="AM192" s="84" t="n"/>
      <c r="AN192" s="84" t="n"/>
      <c r="AO192" s="84" t="n"/>
      <c r="AP192" s="84" t="n"/>
    </row>
    <row r="193" ht="15" customHeight="1" s="65">
      <c r="A193" s="84" t="n"/>
      <c r="B193" s="84" t="n"/>
      <c r="C193" s="84" t="n"/>
      <c r="D193" s="84" t="n"/>
      <c r="E193" s="84" t="n"/>
      <c r="F193" s="84" t="n"/>
      <c r="G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  <c r="AA193" s="84" t="n"/>
      <c r="AB193" s="84" t="n"/>
      <c r="AC193" s="84" t="n"/>
      <c r="AD193" s="84" t="n"/>
      <c r="AE193" s="84" t="n"/>
      <c r="AF193" s="84" t="n"/>
      <c r="AG193" s="84" t="n"/>
      <c r="AH193" s="84" t="n"/>
      <c r="AI193" s="84" t="n"/>
      <c r="AJ193" s="84" t="n"/>
      <c r="AK193" s="84" t="n"/>
      <c r="AL193" s="84" t="n"/>
      <c r="AM193" s="84" t="n"/>
      <c r="AN193" s="84" t="n"/>
      <c r="AO193" s="84" t="n"/>
      <c r="AP193" s="84" t="n"/>
    </row>
    <row r="194" ht="15" customHeight="1" s="65">
      <c r="A194" s="84" t="n"/>
      <c r="B194" s="84" t="n"/>
      <c r="C194" s="84" t="n"/>
      <c r="D194" s="84" t="n"/>
      <c r="E194" s="84" t="n"/>
      <c r="F194" s="84" t="n"/>
      <c r="G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  <c r="AA194" s="84" t="n"/>
      <c r="AB194" s="84" t="n"/>
      <c r="AC194" s="84" t="n"/>
      <c r="AD194" s="84" t="n"/>
      <c r="AE194" s="84" t="n"/>
      <c r="AF194" s="84" t="n"/>
      <c r="AG194" s="84" t="n"/>
      <c r="AH194" s="84" t="n"/>
      <c r="AI194" s="84" t="n"/>
      <c r="AJ194" s="84" t="n"/>
      <c r="AK194" s="84" t="n"/>
      <c r="AL194" s="84" t="n"/>
      <c r="AM194" s="84" t="n"/>
      <c r="AN194" s="84" t="n"/>
      <c r="AO194" s="84" t="n"/>
      <c r="AP194" s="84" t="n"/>
    </row>
    <row r="195" ht="15" customHeight="1" s="65">
      <c r="A195" s="84" t="n"/>
      <c r="B195" s="84" t="n"/>
      <c r="C195" s="84" t="n"/>
      <c r="D195" s="84" t="n"/>
      <c r="E195" s="84" t="n"/>
      <c r="F195" s="84" t="n"/>
      <c r="G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  <c r="AA195" s="84" t="n"/>
      <c r="AB195" s="84" t="n"/>
      <c r="AC195" s="84" t="n"/>
      <c r="AD195" s="84" t="n"/>
      <c r="AE195" s="84" t="n"/>
      <c r="AF195" s="84" t="n"/>
      <c r="AG195" s="84" t="n"/>
      <c r="AH195" s="84" t="n"/>
      <c r="AI195" s="84" t="n"/>
      <c r="AJ195" s="84" t="n"/>
      <c r="AK195" s="84" t="n"/>
      <c r="AL195" s="84" t="n"/>
      <c r="AM195" s="84" t="n"/>
      <c r="AN195" s="84" t="n"/>
      <c r="AO195" s="84" t="n"/>
      <c r="AP195" s="84" t="n"/>
    </row>
    <row r="196" ht="15" customHeight="1" s="65">
      <c r="A196" s="84" t="n"/>
      <c r="B196" s="84" t="n"/>
      <c r="C196" s="84" t="n"/>
      <c r="D196" s="84" t="n"/>
      <c r="E196" s="84" t="n"/>
      <c r="F196" s="84" t="n"/>
      <c r="G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  <c r="AA196" s="84" t="n"/>
      <c r="AB196" s="84" t="n"/>
      <c r="AC196" s="84" t="n"/>
      <c r="AD196" s="84" t="n"/>
      <c r="AE196" s="84" t="n"/>
      <c r="AF196" s="84" t="n"/>
      <c r="AG196" s="84" t="n"/>
      <c r="AH196" s="84" t="n"/>
      <c r="AI196" s="84" t="n"/>
      <c r="AJ196" s="84" t="n"/>
      <c r="AK196" s="84" t="n"/>
      <c r="AL196" s="84" t="n"/>
      <c r="AM196" s="84" t="n"/>
      <c r="AN196" s="84" t="n"/>
      <c r="AO196" s="84" t="n"/>
      <c r="AP196" s="84" t="n"/>
    </row>
    <row r="197" ht="15" customHeight="1" s="65">
      <c r="A197" s="84" t="n"/>
      <c r="B197" s="84" t="n"/>
      <c r="C197" s="84" t="n"/>
      <c r="D197" s="84" t="n"/>
      <c r="E197" s="84" t="n"/>
      <c r="F197" s="84" t="n"/>
      <c r="G197" s="84" t="n"/>
      <c r="H197" s="84" t="n"/>
      <c r="I197" s="84" t="n"/>
      <c r="J197" s="84" t="n"/>
      <c r="K197" s="84" t="n"/>
      <c r="L197" s="84" t="n"/>
      <c r="M197" s="84" t="n"/>
      <c r="N197" s="84" t="n"/>
      <c r="O197" s="84" t="n"/>
      <c r="P197" s="84" t="n"/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  <c r="AA197" s="84" t="n"/>
      <c r="AB197" s="84" t="n"/>
      <c r="AC197" s="84" t="n"/>
      <c r="AD197" s="84" t="n"/>
      <c r="AE197" s="84" t="n"/>
      <c r="AF197" s="84" t="n"/>
      <c r="AG197" s="84" t="n"/>
      <c r="AH197" s="84" t="n"/>
      <c r="AI197" s="84" t="n"/>
      <c r="AJ197" s="84" t="n"/>
      <c r="AK197" s="84" t="n"/>
      <c r="AL197" s="84" t="n"/>
      <c r="AM197" s="84" t="n"/>
      <c r="AN197" s="84" t="n"/>
      <c r="AO197" s="84" t="n"/>
      <c r="AP197" s="84" t="n"/>
    </row>
    <row r="198" ht="15" customHeight="1" s="65">
      <c r="A198" s="84" t="n"/>
      <c r="B198" s="84" t="n"/>
      <c r="C198" s="84" t="n"/>
      <c r="D198" s="84" t="n"/>
      <c r="E198" s="84" t="n"/>
      <c r="F198" s="84" t="n"/>
      <c r="G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  <c r="AA198" s="84" t="n"/>
      <c r="AB198" s="84" t="n"/>
      <c r="AC198" s="84" t="n"/>
      <c r="AD198" s="84" t="n"/>
      <c r="AE198" s="84" t="n"/>
      <c r="AF198" s="84" t="n"/>
      <c r="AG198" s="84" t="n"/>
      <c r="AH198" s="84" t="n"/>
      <c r="AI198" s="84" t="n"/>
      <c r="AJ198" s="84" t="n"/>
      <c r="AK198" s="84" t="n"/>
      <c r="AL198" s="84" t="n"/>
      <c r="AM198" s="84" t="n"/>
      <c r="AN198" s="84" t="n"/>
      <c r="AO198" s="84" t="n"/>
      <c r="AP198" s="84" t="n"/>
    </row>
    <row r="199" ht="15" customHeight="1" s="65">
      <c r="A199" s="84" t="n"/>
      <c r="B199" s="84" t="n"/>
      <c r="C199" s="84" t="n"/>
      <c r="D199" s="84" t="n"/>
      <c r="E199" s="84" t="n"/>
      <c r="F199" s="84" t="n"/>
      <c r="G199" s="84" t="n"/>
      <c r="H199" s="84" t="n"/>
      <c r="I199" s="84" t="n"/>
      <c r="J199" s="84" t="n"/>
      <c r="K199" s="84" t="n"/>
      <c r="L199" s="84" t="n"/>
      <c r="M199" s="84" t="n"/>
      <c r="N199" s="84" t="n"/>
      <c r="O199" s="84" t="n"/>
      <c r="P199" s="84" t="n"/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  <c r="AA199" s="84" t="n"/>
      <c r="AB199" s="84" t="n"/>
      <c r="AC199" s="84" t="n"/>
      <c r="AD199" s="84" t="n"/>
      <c r="AE199" s="84" t="n"/>
      <c r="AF199" s="84" t="n"/>
      <c r="AG199" s="84" t="n"/>
      <c r="AH199" s="84" t="n"/>
      <c r="AI199" s="84" t="n"/>
      <c r="AJ199" s="84" t="n"/>
      <c r="AK199" s="84" t="n"/>
      <c r="AL199" s="84" t="n"/>
      <c r="AM199" s="84" t="n"/>
      <c r="AN199" s="84" t="n"/>
      <c r="AO199" s="84" t="n"/>
      <c r="AP199" s="84" t="n"/>
    </row>
    <row r="200" ht="15" customHeight="1" s="65">
      <c r="A200" s="84" t="n"/>
      <c r="B200" s="84" t="n"/>
      <c r="C200" s="84" t="n"/>
      <c r="D200" s="84" t="n"/>
      <c r="E200" s="84" t="n"/>
      <c r="F200" s="84" t="n"/>
      <c r="G200" s="84" t="n"/>
      <c r="H200" s="84" t="n"/>
      <c r="I200" s="84" t="n"/>
      <c r="J200" s="84" t="n"/>
      <c r="K200" s="84" t="n"/>
      <c r="L200" s="84" t="n"/>
      <c r="M200" s="84" t="n"/>
      <c r="N200" s="84" t="n"/>
      <c r="O200" s="84" t="n"/>
      <c r="P200" s="84" t="n"/>
      <c r="Q200" s="84" t="n"/>
      <c r="R200" s="84" t="n"/>
      <c r="S200" s="84" t="n"/>
      <c r="T200" s="84" t="n"/>
      <c r="U200" s="84" t="n"/>
      <c r="V200" s="84" t="n"/>
      <c r="W200" s="84" t="n"/>
      <c r="X200" s="84" t="n"/>
      <c r="Y200" s="84" t="n"/>
      <c r="Z200" s="84" t="n"/>
      <c r="AA200" s="84" t="n"/>
      <c r="AB200" s="84" t="n"/>
      <c r="AC200" s="84" t="n"/>
      <c r="AD200" s="84" t="n"/>
      <c r="AE200" s="84" t="n"/>
      <c r="AF200" s="84" t="n"/>
      <c r="AG200" s="84" t="n"/>
      <c r="AH200" s="84" t="n"/>
      <c r="AI200" s="84" t="n"/>
      <c r="AJ200" s="84" t="n"/>
      <c r="AK200" s="84" t="n"/>
      <c r="AL200" s="84" t="n"/>
      <c r="AM200" s="84" t="n"/>
      <c r="AN200" s="84" t="n"/>
      <c r="AO200" s="84" t="n"/>
      <c r="AP200" s="84" t="n"/>
    </row>
    <row r="201" ht="15" customHeight="1" s="65">
      <c r="A201" s="84" t="n"/>
      <c r="B201" s="84" t="n"/>
      <c r="C201" s="84" t="n"/>
      <c r="D201" s="84" t="n"/>
      <c r="E201" s="84" t="n"/>
      <c r="F201" s="84" t="n"/>
      <c r="G201" s="84" t="n"/>
      <c r="H201" s="84" t="n"/>
      <c r="I201" s="84" t="n"/>
      <c r="J201" s="84" t="n"/>
      <c r="K201" s="84" t="n"/>
      <c r="L201" s="84" t="n"/>
      <c r="M201" s="84" t="n"/>
      <c r="N201" s="84" t="n"/>
      <c r="O201" s="84" t="n"/>
      <c r="P201" s="84" t="n"/>
      <c r="Q201" s="84" t="n"/>
      <c r="R201" s="84" t="n"/>
      <c r="S201" s="84" t="n"/>
      <c r="T201" s="84" t="n"/>
      <c r="U201" s="84" t="n"/>
      <c r="V201" s="84" t="n"/>
      <c r="W201" s="84" t="n"/>
      <c r="X201" s="84" t="n"/>
      <c r="Y201" s="84" t="n"/>
      <c r="Z201" s="84" t="n"/>
      <c r="AA201" s="84" t="n"/>
      <c r="AB201" s="84" t="n"/>
      <c r="AC201" s="84" t="n"/>
      <c r="AD201" s="84" t="n"/>
      <c r="AE201" s="84" t="n"/>
      <c r="AF201" s="84" t="n"/>
      <c r="AG201" s="84" t="n"/>
      <c r="AH201" s="84" t="n"/>
      <c r="AI201" s="84" t="n"/>
      <c r="AJ201" s="84" t="n"/>
      <c r="AK201" s="84" t="n"/>
      <c r="AL201" s="84" t="n"/>
      <c r="AM201" s="84" t="n"/>
      <c r="AN201" s="84" t="n"/>
      <c r="AO201" s="84" t="n"/>
      <c r="AP201" s="84" t="n"/>
    </row>
    <row r="202" ht="15" customHeight="1" s="65">
      <c r="A202" s="84" t="n"/>
      <c r="B202" s="84" t="n"/>
      <c r="C202" s="84" t="n"/>
      <c r="D202" s="84" t="n"/>
      <c r="E202" s="84" t="n"/>
      <c r="F202" s="84" t="n"/>
      <c r="G202" s="84" t="n"/>
      <c r="H202" s="84" t="n"/>
      <c r="I202" s="84" t="n"/>
      <c r="J202" s="84" t="n"/>
      <c r="K202" s="84" t="n"/>
      <c r="L202" s="84" t="n"/>
      <c r="M202" s="84" t="n"/>
      <c r="N202" s="84" t="n"/>
      <c r="O202" s="84" t="n"/>
      <c r="P202" s="84" t="n"/>
      <c r="Q202" s="84" t="n"/>
      <c r="R202" s="84" t="n"/>
      <c r="S202" s="84" t="n"/>
      <c r="T202" s="84" t="n"/>
      <c r="U202" s="84" t="n"/>
      <c r="V202" s="84" t="n"/>
      <c r="W202" s="84" t="n"/>
      <c r="X202" s="84" t="n"/>
      <c r="Y202" s="84" t="n"/>
      <c r="Z202" s="84" t="n"/>
      <c r="AA202" s="84" t="n"/>
      <c r="AB202" s="84" t="n"/>
      <c r="AC202" s="84" t="n"/>
      <c r="AD202" s="84" t="n"/>
      <c r="AE202" s="84" t="n"/>
      <c r="AF202" s="84" t="n"/>
      <c r="AG202" s="84" t="n"/>
      <c r="AH202" s="84" t="n"/>
      <c r="AI202" s="84" t="n"/>
      <c r="AJ202" s="84" t="n"/>
      <c r="AK202" s="84" t="n"/>
      <c r="AL202" s="84" t="n"/>
      <c r="AM202" s="84" t="n"/>
      <c r="AN202" s="84" t="n"/>
      <c r="AO202" s="84" t="n"/>
      <c r="AP202" s="84" t="n"/>
    </row>
    <row r="203" ht="15" customHeight="1" s="65">
      <c r="A203" s="84" t="n"/>
      <c r="B203" s="84" t="n"/>
      <c r="C203" s="84" t="n"/>
      <c r="D203" s="84" t="n"/>
      <c r="E203" s="84" t="n"/>
      <c r="F203" s="84" t="n"/>
      <c r="G203" s="84" t="n"/>
      <c r="H203" s="84" t="n"/>
      <c r="I203" s="84" t="n"/>
      <c r="J203" s="84" t="n"/>
      <c r="K203" s="84" t="n"/>
      <c r="L203" s="84" t="n"/>
      <c r="M203" s="84" t="n"/>
      <c r="N203" s="84" t="n"/>
      <c r="O203" s="84" t="n"/>
      <c r="P203" s="84" t="n"/>
      <c r="Q203" s="84" t="n"/>
      <c r="R203" s="84" t="n"/>
      <c r="S203" s="84" t="n"/>
      <c r="T203" s="84" t="n"/>
      <c r="U203" s="84" t="n"/>
      <c r="V203" s="84" t="n"/>
      <c r="W203" s="84" t="n"/>
      <c r="X203" s="84" t="n"/>
      <c r="Y203" s="84" t="n"/>
      <c r="Z203" s="84" t="n"/>
      <c r="AA203" s="84" t="n"/>
      <c r="AB203" s="84" t="n"/>
      <c r="AC203" s="84" t="n"/>
      <c r="AD203" s="84" t="n"/>
      <c r="AE203" s="84" t="n"/>
      <c r="AF203" s="84" t="n"/>
      <c r="AG203" s="84" t="n"/>
      <c r="AH203" s="84" t="n"/>
      <c r="AI203" s="84" t="n"/>
      <c r="AJ203" s="84" t="n"/>
      <c r="AK203" s="84" t="n"/>
      <c r="AL203" s="84" t="n"/>
      <c r="AM203" s="84" t="n"/>
      <c r="AN203" s="84" t="n"/>
      <c r="AO203" s="84" t="n"/>
      <c r="AP203" s="84" t="n"/>
    </row>
    <row r="204" ht="15" customHeight="1" s="65">
      <c r="A204" s="84" t="n"/>
      <c r="B204" s="84" t="n"/>
      <c r="C204" s="84" t="n"/>
      <c r="D204" s="84" t="n"/>
      <c r="E204" s="84" t="n"/>
      <c r="F204" s="84" t="n"/>
      <c r="G204" s="84" t="n"/>
      <c r="H204" s="84" t="n"/>
      <c r="I204" s="84" t="n"/>
      <c r="J204" s="84" t="n"/>
      <c r="K204" s="84" t="n"/>
      <c r="L204" s="84" t="n"/>
      <c r="M204" s="84" t="n"/>
      <c r="N204" s="84" t="n"/>
      <c r="O204" s="84" t="n"/>
      <c r="P204" s="84" t="n"/>
      <c r="Q204" s="84" t="n"/>
      <c r="R204" s="84" t="n"/>
      <c r="S204" s="84" t="n"/>
      <c r="T204" s="84" t="n"/>
      <c r="U204" s="84" t="n"/>
      <c r="V204" s="84" t="n"/>
      <c r="W204" s="84" t="n"/>
      <c r="X204" s="84" t="n"/>
      <c r="Y204" s="84" t="n"/>
      <c r="Z204" s="84" t="n"/>
      <c r="AA204" s="84" t="n"/>
      <c r="AB204" s="84" t="n"/>
      <c r="AC204" s="84" t="n"/>
      <c r="AD204" s="84" t="n"/>
      <c r="AE204" s="84" t="n"/>
      <c r="AF204" s="84" t="n"/>
      <c r="AG204" s="84" t="n"/>
      <c r="AH204" s="84" t="n"/>
      <c r="AI204" s="84" t="n"/>
      <c r="AJ204" s="84" t="n"/>
      <c r="AK204" s="84" t="n"/>
      <c r="AL204" s="84" t="n"/>
      <c r="AM204" s="84" t="n"/>
      <c r="AN204" s="84" t="n"/>
      <c r="AO204" s="84" t="n"/>
      <c r="AP204" s="84" t="n"/>
    </row>
    <row r="205" ht="15" customHeight="1" s="65">
      <c r="A205" s="84" t="n"/>
      <c r="B205" s="84" t="n"/>
      <c r="C205" s="84" t="n"/>
      <c r="D205" s="84" t="n"/>
      <c r="E205" s="84" t="n"/>
      <c r="F205" s="84" t="n"/>
      <c r="G205" s="84" t="n"/>
      <c r="H205" s="84" t="n"/>
      <c r="I205" s="84" t="n"/>
      <c r="J205" s="84" t="n"/>
      <c r="K205" s="84" t="n"/>
      <c r="L205" s="84" t="n"/>
      <c r="M205" s="84" t="n"/>
      <c r="N205" s="84" t="n"/>
      <c r="O205" s="84" t="n"/>
      <c r="P205" s="84" t="n"/>
      <c r="Q205" s="84" t="n"/>
      <c r="R205" s="84" t="n"/>
      <c r="S205" s="84" t="n"/>
      <c r="T205" s="84" t="n"/>
      <c r="U205" s="84" t="n"/>
      <c r="V205" s="84" t="n"/>
      <c r="W205" s="84" t="n"/>
      <c r="X205" s="84" t="n"/>
      <c r="Y205" s="84" t="n"/>
      <c r="Z205" s="84" t="n"/>
      <c r="AA205" s="84" t="n"/>
      <c r="AB205" s="84" t="n"/>
      <c r="AC205" s="84" t="n"/>
      <c r="AD205" s="84" t="n"/>
      <c r="AE205" s="84" t="n"/>
      <c r="AF205" s="84" t="n"/>
      <c r="AG205" s="84" t="n"/>
      <c r="AH205" s="84" t="n"/>
      <c r="AI205" s="84" t="n"/>
      <c r="AJ205" s="84" t="n"/>
      <c r="AK205" s="84" t="n"/>
      <c r="AL205" s="84" t="n"/>
      <c r="AM205" s="84" t="n"/>
      <c r="AN205" s="84" t="n"/>
      <c r="AO205" s="84" t="n"/>
      <c r="AP205" s="84" t="n"/>
    </row>
    <row r="206" ht="15" customHeight="1" s="65">
      <c r="A206" s="84" t="n"/>
      <c r="B206" s="84" t="n"/>
      <c r="C206" s="84" t="n"/>
      <c r="D206" s="84" t="n"/>
      <c r="E206" s="84" t="n"/>
      <c r="F206" s="84" t="n"/>
      <c r="G206" s="84" t="n"/>
      <c r="H206" s="84" t="n"/>
      <c r="I206" s="84" t="n"/>
      <c r="J206" s="84" t="n"/>
      <c r="K206" s="84" t="n"/>
      <c r="L206" s="84" t="n"/>
      <c r="M206" s="84" t="n"/>
      <c r="N206" s="84" t="n"/>
      <c r="O206" s="84" t="n"/>
      <c r="P206" s="84" t="n"/>
      <c r="Q206" s="84" t="n"/>
      <c r="R206" s="84" t="n"/>
      <c r="S206" s="84" t="n"/>
      <c r="T206" s="84" t="n"/>
      <c r="U206" s="84" t="n"/>
      <c r="V206" s="84" t="n"/>
      <c r="W206" s="84" t="n"/>
      <c r="X206" s="84" t="n"/>
      <c r="Y206" s="84" t="n"/>
      <c r="Z206" s="84" t="n"/>
      <c r="AA206" s="84" t="n"/>
      <c r="AB206" s="84" t="n"/>
      <c r="AC206" s="84" t="n"/>
      <c r="AD206" s="84" t="n"/>
      <c r="AE206" s="84" t="n"/>
      <c r="AF206" s="84" t="n"/>
      <c r="AG206" s="84" t="n"/>
      <c r="AH206" s="84" t="n"/>
      <c r="AI206" s="84" t="n"/>
      <c r="AJ206" s="84" t="n"/>
      <c r="AK206" s="84" t="n"/>
      <c r="AL206" s="84" t="n"/>
      <c r="AM206" s="84" t="n"/>
      <c r="AN206" s="84" t="n"/>
      <c r="AO206" s="84" t="n"/>
      <c r="AP206" s="84" t="n"/>
    </row>
    <row r="207" ht="15" customHeight="1" s="65">
      <c r="A207" s="84" t="n"/>
      <c r="B207" s="84" t="n"/>
      <c r="C207" s="84" t="n"/>
      <c r="D207" s="84" t="n"/>
      <c r="E207" s="84" t="n"/>
      <c r="F207" s="84" t="n"/>
      <c r="G207" s="84" t="n"/>
      <c r="H207" s="84" t="n"/>
      <c r="I207" s="84" t="n"/>
      <c r="J207" s="84" t="n"/>
      <c r="K207" s="84" t="n"/>
      <c r="L207" s="84" t="n"/>
      <c r="M207" s="84" t="n"/>
      <c r="N207" s="84" t="n"/>
      <c r="O207" s="84" t="n"/>
      <c r="P207" s="84" t="n"/>
      <c r="Q207" s="84" t="n"/>
      <c r="R207" s="84" t="n"/>
      <c r="S207" s="84" t="n"/>
      <c r="T207" s="84" t="n"/>
      <c r="U207" s="84" t="n"/>
      <c r="V207" s="84" t="n"/>
      <c r="W207" s="84" t="n"/>
      <c r="X207" s="84" t="n"/>
      <c r="Y207" s="84" t="n"/>
      <c r="Z207" s="84" t="n"/>
      <c r="AA207" s="84" t="n"/>
      <c r="AB207" s="84" t="n"/>
      <c r="AC207" s="84" t="n"/>
      <c r="AD207" s="84" t="n"/>
      <c r="AE207" s="84" t="n"/>
      <c r="AF207" s="84" t="n"/>
      <c r="AG207" s="84" t="n"/>
      <c r="AH207" s="84" t="n"/>
      <c r="AI207" s="84" t="n"/>
      <c r="AJ207" s="84" t="n"/>
      <c r="AK207" s="84" t="n"/>
      <c r="AL207" s="84" t="n"/>
      <c r="AM207" s="84" t="n"/>
      <c r="AN207" s="84" t="n"/>
      <c r="AO207" s="84" t="n"/>
      <c r="AP207" s="84" t="n"/>
    </row>
    <row r="208" ht="15" customHeight="1" s="65">
      <c r="A208" s="84" t="n"/>
      <c r="B208" s="84" t="n"/>
      <c r="C208" s="84" t="n"/>
      <c r="D208" s="84" t="n"/>
      <c r="E208" s="84" t="n"/>
      <c r="F208" s="84" t="n"/>
      <c r="G208" s="84" t="n"/>
      <c r="H208" s="84" t="n"/>
      <c r="I208" s="84" t="n"/>
      <c r="J208" s="84" t="n"/>
      <c r="K208" s="84" t="n"/>
      <c r="L208" s="84" t="n"/>
      <c r="M208" s="84" t="n"/>
      <c r="N208" s="84" t="n"/>
      <c r="O208" s="84" t="n"/>
      <c r="P208" s="84" t="n"/>
      <c r="Q208" s="84" t="n"/>
      <c r="R208" s="84" t="n"/>
      <c r="S208" s="84" t="n"/>
      <c r="T208" s="84" t="n"/>
      <c r="U208" s="84" t="n"/>
      <c r="V208" s="84" t="n"/>
      <c r="W208" s="84" t="n"/>
      <c r="X208" s="84" t="n"/>
      <c r="Y208" s="84" t="n"/>
      <c r="Z208" s="84" t="n"/>
      <c r="AA208" s="84" t="n"/>
      <c r="AB208" s="84" t="n"/>
      <c r="AC208" s="84" t="n"/>
      <c r="AD208" s="84" t="n"/>
      <c r="AE208" s="84" t="n"/>
      <c r="AF208" s="84" t="n"/>
      <c r="AG208" s="84" t="n"/>
      <c r="AH208" s="84" t="n"/>
      <c r="AI208" s="84" t="n"/>
      <c r="AJ208" s="84" t="n"/>
      <c r="AK208" s="84" t="n"/>
      <c r="AL208" s="84" t="n"/>
      <c r="AM208" s="84" t="n"/>
      <c r="AN208" s="84" t="n"/>
      <c r="AO208" s="84" t="n"/>
      <c r="AP208" s="84" t="n"/>
    </row>
    <row r="209" ht="15" customHeight="1" s="65">
      <c r="A209" s="84" t="n"/>
      <c r="B209" s="84" t="n"/>
      <c r="C209" s="84" t="n"/>
      <c r="D209" s="84" t="n"/>
      <c r="E209" s="84" t="n"/>
      <c r="F209" s="84" t="n"/>
      <c r="G209" s="84" t="n"/>
      <c r="H209" s="84" t="n"/>
      <c r="I209" s="84" t="n"/>
      <c r="J209" s="84" t="n"/>
      <c r="K209" s="84" t="n"/>
      <c r="L209" s="84" t="n"/>
      <c r="M209" s="84" t="n"/>
      <c r="N209" s="84" t="n"/>
      <c r="O209" s="84" t="n"/>
      <c r="P209" s="84" t="n"/>
      <c r="Q209" s="84" t="n"/>
      <c r="R209" s="84" t="n"/>
      <c r="S209" s="84" t="n"/>
      <c r="T209" s="84" t="n"/>
      <c r="U209" s="84" t="n"/>
      <c r="V209" s="84" t="n"/>
      <c r="W209" s="84" t="n"/>
      <c r="X209" s="84" t="n"/>
      <c r="Y209" s="84" t="n"/>
      <c r="Z209" s="84" t="n"/>
      <c r="AA209" s="84" t="n"/>
      <c r="AB209" s="84" t="n"/>
      <c r="AC209" s="84" t="n"/>
      <c r="AD209" s="84" t="n"/>
      <c r="AE209" s="84" t="n"/>
      <c r="AF209" s="84" t="n"/>
      <c r="AG209" s="84" t="n"/>
      <c r="AH209" s="84" t="n"/>
      <c r="AI209" s="84" t="n"/>
      <c r="AJ209" s="84" t="n"/>
      <c r="AK209" s="84" t="n"/>
      <c r="AL209" s="84" t="n"/>
      <c r="AM209" s="84" t="n"/>
      <c r="AN209" s="84" t="n"/>
      <c r="AO209" s="84" t="n"/>
      <c r="AP209" s="84" t="n"/>
    </row>
    <row r="210" ht="15" customHeight="1" s="65">
      <c r="A210" s="84" t="n"/>
      <c r="B210" s="84" t="n"/>
      <c r="C210" s="84" t="n"/>
      <c r="D210" s="84" t="n"/>
      <c r="E210" s="84" t="n"/>
      <c r="F210" s="84" t="n"/>
      <c r="G210" s="84" t="n"/>
      <c r="H210" s="84" t="n"/>
      <c r="I210" s="84" t="n"/>
      <c r="J210" s="84" t="n"/>
      <c r="K210" s="84" t="n"/>
      <c r="L210" s="84" t="n"/>
      <c r="M210" s="84" t="n"/>
      <c r="N210" s="84" t="n"/>
      <c r="O210" s="84" t="n"/>
      <c r="P210" s="84" t="n"/>
      <c r="Q210" s="84" t="n"/>
      <c r="R210" s="84" t="n"/>
      <c r="S210" s="84" t="n"/>
      <c r="T210" s="84" t="n"/>
      <c r="U210" s="84" t="n"/>
      <c r="V210" s="84" t="n"/>
      <c r="W210" s="84" t="n"/>
      <c r="X210" s="84" t="n"/>
      <c r="Y210" s="84" t="n"/>
      <c r="Z210" s="84" t="n"/>
      <c r="AA210" s="84" t="n"/>
      <c r="AB210" s="84" t="n"/>
      <c r="AC210" s="84" t="n"/>
      <c r="AD210" s="84" t="n"/>
      <c r="AE210" s="84" t="n"/>
      <c r="AF210" s="84" t="n"/>
      <c r="AG210" s="84" t="n"/>
      <c r="AH210" s="84" t="n"/>
      <c r="AI210" s="84" t="n"/>
      <c r="AJ210" s="84" t="n"/>
      <c r="AK210" s="84" t="n"/>
      <c r="AL210" s="84" t="n"/>
      <c r="AM210" s="84" t="n"/>
      <c r="AN210" s="84" t="n"/>
      <c r="AO210" s="84" t="n"/>
      <c r="AP210" s="84" t="n"/>
    </row>
    <row r="211" ht="15" customHeight="1" s="65">
      <c r="A211" s="84" t="n"/>
      <c r="B211" s="84" t="n"/>
      <c r="C211" s="84" t="n"/>
      <c r="D211" s="84" t="n"/>
      <c r="E211" s="84" t="n"/>
      <c r="F211" s="84" t="n"/>
      <c r="G211" s="84" t="n"/>
      <c r="H211" s="84" t="n"/>
      <c r="I211" s="84" t="n"/>
      <c r="J211" s="84" t="n"/>
      <c r="K211" s="84" t="n"/>
      <c r="L211" s="84" t="n"/>
      <c r="M211" s="84" t="n"/>
      <c r="N211" s="84" t="n"/>
      <c r="O211" s="84" t="n"/>
      <c r="P211" s="84" t="n"/>
      <c r="Q211" s="84" t="n"/>
      <c r="R211" s="84" t="n"/>
      <c r="S211" s="84" t="n"/>
      <c r="T211" s="84" t="n"/>
      <c r="U211" s="84" t="n"/>
      <c r="V211" s="84" t="n"/>
      <c r="W211" s="84" t="n"/>
      <c r="X211" s="84" t="n"/>
      <c r="Y211" s="84" t="n"/>
      <c r="Z211" s="84" t="n"/>
      <c r="AA211" s="84" t="n"/>
      <c r="AB211" s="84" t="n"/>
      <c r="AC211" s="84" t="n"/>
      <c r="AD211" s="84" t="n"/>
      <c r="AE211" s="84" t="n"/>
      <c r="AF211" s="84" t="n"/>
      <c r="AG211" s="84" t="n"/>
      <c r="AH211" s="84" t="n"/>
      <c r="AI211" s="84" t="n"/>
      <c r="AJ211" s="84" t="n"/>
      <c r="AK211" s="84" t="n"/>
      <c r="AL211" s="84" t="n"/>
      <c r="AM211" s="84" t="n"/>
      <c r="AN211" s="84" t="n"/>
      <c r="AO211" s="84" t="n"/>
      <c r="AP211" s="84" t="n"/>
    </row>
    <row r="212" ht="15" customHeight="1" s="65">
      <c r="A212" s="84" t="n"/>
      <c r="B212" s="84" t="n"/>
      <c r="C212" s="84" t="n"/>
      <c r="D212" s="84" t="n"/>
      <c r="E212" s="84" t="n"/>
      <c r="F212" s="84" t="n"/>
      <c r="G212" s="84" t="n"/>
      <c r="H212" s="84" t="n"/>
      <c r="I212" s="84" t="n"/>
      <c r="J212" s="84" t="n"/>
      <c r="K212" s="84" t="n"/>
      <c r="L212" s="84" t="n"/>
      <c r="M212" s="84" t="n"/>
      <c r="N212" s="84" t="n"/>
      <c r="O212" s="84" t="n"/>
      <c r="P212" s="84" t="n"/>
      <c r="Q212" s="84" t="n"/>
      <c r="R212" s="84" t="n"/>
      <c r="S212" s="84" t="n"/>
      <c r="T212" s="84" t="n"/>
      <c r="U212" s="84" t="n"/>
      <c r="V212" s="84" t="n"/>
      <c r="W212" s="84" t="n"/>
      <c r="X212" s="84" t="n"/>
      <c r="Y212" s="84" t="n"/>
      <c r="Z212" s="84" t="n"/>
      <c r="AA212" s="84" t="n"/>
      <c r="AB212" s="84" t="n"/>
      <c r="AC212" s="84" t="n"/>
      <c r="AD212" s="84" t="n"/>
      <c r="AE212" s="84" t="n"/>
      <c r="AF212" s="84" t="n"/>
      <c r="AG212" s="84" t="n"/>
      <c r="AH212" s="84" t="n"/>
      <c r="AI212" s="84" t="n"/>
      <c r="AJ212" s="84" t="n"/>
      <c r="AK212" s="84" t="n"/>
      <c r="AL212" s="84" t="n"/>
      <c r="AM212" s="84" t="n"/>
      <c r="AN212" s="84" t="n"/>
      <c r="AO212" s="84" t="n"/>
      <c r="AP212" s="84" t="n"/>
    </row>
    <row r="213" ht="15" customHeight="1" s="65">
      <c r="A213" s="84" t="n"/>
      <c r="B213" s="84" t="n"/>
      <c r="C213" s="84" t="n"/>
      <c r="D213" s="84" t="n"/>
      <c r="E213" s="84" t="n"/>
      <c r="F213" s="84" t="n"/>
      <c r="G213" s="84" t="n"/>
      <c r="H213" s="84" t="n"/>
      <c r="I213" s="84" t="n"/>
      <c r="J213" s="84" t="n"/>
      <c r="K213" s="84" t="n"/>
      <c r="L213" s="84" t="n"/>
      <c r="M213" s="84" t="n"/>
      <c r="N213" s="84" t="n"/>
      <c r="O213" s="84" t="n"/>
      <c r="P213" s="84" t="n"/>
      <c r="Q213" s="84" t="n"/>
      <c r="R213" s="84" t="n"/>
      <c r="S213" s="84" t="n"/>
      <c r="T213" s="84" t="n"/>
      <c r="U213" s="84" t="n"/>
      <c r="V213" s="84" t="n"/>
      <c r="W213" s="84" t="n"/>
      <c r="X213" s="84" t="n"/>
      <c r="Y213" s="84" t="n"/>
      <c r="Z213" s="84" t="n"/>
      <c r="AA213" s="84" t="n"/>
      <c r="AB213" s="84" t="n"/>
      <c r="AC213" s="84" t="n"/>
      <c r="AD213" s="84" t="n"/>
      <c r="AE213" s="84" t="n"/>
      <c r="AF213" s="84" t="n"/>
      <c r="AG213" s="84" t="n"/>
      <c r="AH213" s="84" t="n"/>
      <c r="AI213" s="84" t="n"/>
      <c r="AJ213" s="84" t="n"/>
      <c r="AK213" s="84" t="n"/>
      <c r="AL213" s="84" t="n"/>
      <c r="AM213" s="84" t="n"/>
      <c r="AN213" s="84" t="n"/>
      <c r="AO213" s="84" t="n"/>
      <c r="AP213" s="84" t="n"/>
    </row>
    <row r="214" ht="15" customHeight="1" s="65">
      <c r="A214" s="84" t="n"/>
      <c r="B214" s="84" t="n"/>
      <c r="C214" s="84" t="n"/>
      <c r="D214" s="84" t="n"/>
      <c r="E214" s="84" t="n"/>
      <c r="F214" s="84" t="n"/>
      <c r="G214" s="84" t="n"/>
      <c r="H214" s="84" t="n"/>
      <c r="I214" s="84" t="n"/>
      <c r="J214" s="84" t="n"/>
      <c r="K214" s="84" t="n"/>
      <c r="L214" s="84" t="n"/>
      <c r="M214" s="84" t="n"/>
      <c r="N214" s="84" t="n"/>
      <c r="O214" s="84" t="n"/>
      <c r="P214" s="84" t="n"/>
      <c r="Q214" s="84" t="n"/>
      <c r="R214" s="84" t="n"/>
      <c r="S214" s="84" t="n"/>
      <c r="T214" s="84" t="n"/>
      <c r="U214" s="84" t="n"/>
      <c r="V214" s="84" t="n"/>
      <c r="W214" s="84" t="n"/>
      <c r="X214" s="84" t="n"/>
      <c r="Y214" s="84" t="n"/>
      <c r="Z214" s="84" t="n"/>
      <c r="AA214" s="84" t="n"/>
      <c r="AB214" s="84" t="n"/>
      <c r="AC214" s="84" t="n"/>
      <c r="AD214" s="84" t="n"/>
      <c r="AE214" s="84" t="n"/>
      <c r="AF214" s="84" t="n"/>
      <c r="AG214" s="84" t="n"/>
      <c r="AH214" s="84" t="n"/>
      <c r="AI214" s="84" t="n"/>
      <c r="AJ214" s="84" t="n"/>
      <c r="AK214" s="84" t="n"/>
      <c r="AL214" s="84" t="n"/>
      <c r="AM214" s="84" t="n"/>
      <c r="AN214" s="84" t="n"/>
      <c r="AO214" s="84" t="n"/>
      <c r="AP214" s="84" t="n"/>
    </row>
    <row r="215" ht="15" customHeight="1" s="65">
      <c r="A215" s="84" t="n"/>
      <c r="B215" s="84" t="n"/>
      <c r="C215" s="84" t="n"/>
      <c r="D215" s="84" t="n"/>
      <c r="E215" s="84" t="n"/>
      <c r="F215" s="84" t="n"/>
      <c r="G215" s="84" t="n"/>
      <c r="H215" s="84" t="n"/>
      <c r="I215" s="84" t="n"/>
      <c r="J215" s="84" t="n"/>
      <c r="K215" s="84" t="n"/>
      <c r="L215" s="84" t="n"/>
      <c r="M215" s="84" t="n"/>
      <c r="N215" s="84" t="n"/>
      <c r="O215" s="84" t="n"/>
      <c r="P215" s="84" t="n"/>
      <c r="Q215" s="84" t="n"/>
      <c r="R215" s="84" t="n"/>
      <c r="S215" s="84" t="n"/>
      <c r="T215" s="84" t="n"/>
      <c r="U215" s="84" t="n"/>
      <c r="V215" s="84" t="n"/>
      <c r="W215" s="84" t="n"/>
      <c r="X215" s="84" t="n"/>
      <c r="Y215" s="84" t="n"/>
      <c r="Z215" s="84" t="n"/>
      <c r="AA215" s="84" t="n"/>
      <c r="AB215" s="84" t="n"/>
      <c r="AC215" s="84" t="n"/>
      <c r="AD215" s="84" t="n"/>
      <c r="AE215" s="84" t="n"/>
      <c r="AF215" s="84" t="n"/>
      <c r="AG215" s="84" t="n"/>
      <c r="AH215" s="84" t="n"/>
      <c r="AI215" s="84" t="n"/>
      <c r="AJ215" s="84" t="n"/>
      <c r="AK215" s="84" t="n"/>
      <c r="AL215" s="84" t="n"/>
      <c r="AM215" s="84" t="n"/>
      <c r="AN215" s="84" t="n"/>
      <c r="AO215" s="84" t="n"/>
      <c r="AP215" s="84" t="n"/>
    </row>
    <row r="216" ht="15" customHeight="1" s="65">
      <c r="A216" s="84" t="n"/>
      <c r="B216" s="84" t="n"/>
      <c r="C216" s="84" t="n"/>
      <c r="D216" s="84" t="n"/>
      <c r="E216" s="84" t="n"/>
      <c r="F216" s="84" t="n"/>
      <c r="G216" s="84" t="n"/>
      <c r="H216" s="84" t="n"/>
      <c r="I216" s="84" t="n"/>
      <c r="J216" s="84" t="n"/>
      <c r="K216" s="84" t="n"/>
      <c r="L216" s="84" t="n"/>
      <c r="M216" s="84" t="n"/>
      <c r="N216" s="84" t="n"/>
      <c r="O216" s="84" t="n"/>
      <c r="P216" s="84" t="n"/>
      <c r="Q216" s="84" t="n"/>
      <c r="R216" s="84" t="n"/>
      <c r="S216" s="84" t="n"/>
      <c r="T216" s="84" t="n"/>
      <c r="U216" s="84" t="n"/>
      <c r="V216" s="84" t="n"/>
      <c r="W216" s="84" t="n"/>
      <c r="X216" s="84" t="n"/>
      <c r="Y216" s="84" t="n"/>
      <c r="Z216" s="84" t="n"/>
      <c r="AA216" s="84" t="n"/>
      <c r="AB216" s="84" t="n"/>
      <c r="AC216" s="84" t="n"/>
      <c r="AD216" s="84" t="n"/>
      <c r="AE216" s="84" t="n"/>
      <c r="AF216" s="84" t="n"/>
      <c r="AG216" s="84" t="n"/>
      <c r="AH216" s="84" t="n"/>
      <c r="AI216" s="84" t="n"/>
      <c r="AJ216" s="84" t="n"/>
      <c r="AK216" s="84" t="n"/>
      <c r="AL216" s="84" t="n"/>
      <c r="AM216" s="84" t="n"/>
      <c r="AN216" s="84" t="n"/>
      <c r="AO216" s="84" t="n"/>
      <c r="AP216" s="84" t="n"/>
    </row>
    <row r="217" ht="15" customHeight="1" s="65">
      <c r="A217" s="84" t="n"/>
      <c r="B217" s="84" t="n"/>
      <c r="C217" s="84" t="n"/>
      <c r="D217" s="84" t="n"/>
      <c r="E217" s="84" t="n"/>
      <c r="F217" s="84" t="n"/>
      <c r="G217" s="84" t="n"/>
      <c r="H217" s="84" t="n"/>
      <c r="I217" s="84" t="n"/>
      <c r="J217" s="84" t="n"/>
      <c r="K217" s="84" t="n"/>
      <c r="L217" s="84" t="n"/>
      <c r="M217" s="84" t="n"/>
      <c r="N217" s="84" t="n"/>
      <c r="O217" s="84" t="n"/>
      <c r="P217" s="84" t="n"/>
      <c r="Q217" s="84" t="n"/>
      <c r="R217" s="84" t="n"/>
      <c r="S217" s="84" t="n"/>
      <c r="T217" s="84" t="n"/>
      <c r="U217" s="84" t="n"/>
      <c r="V217" s="84" t="n"/>
      <c r="W217" s="84" t="n"/>
      <c r="X217" s="84" t="n"/>
      <c r="Y217" s="84" t="n"/>
      <c r="Z217" s="84" t="n"/>
      <c r="AA217" s="84" t="n"/>
      <c r="AB217" s="84" t="n"/>
      <c r="AC217" s="84" t="n"/>
      <c r="AD217" s="84" t="n"/>
      <c r="AE217" s="84" t="n"/>
      <c r="AF217" s="84" t="n"/>
      <c r="AG217" s="84" t="n"/>
      <c r="AH217" s="84" t="n"/>
      <c r="AI217" s="84" t="n"/>
      <c r="AJ217" s="84" t="n"/>
      <c r="AK217" s="84" t="n"/>
      <c r="AL217" s="84" t="n"/>
      <c r="AM217" s="84" t="n"/>
      <c r="AN217" s="84" t="n"/>
      <c r="AO217" s="84" t="n"/>
      <c r="AP217" s="84" t="n"/>
    </row>
    <row r="218" ht="15" customHeight="1" s="65">
      <c r="A218" s="84" t="n"/>
      <c r="B218" s="84" t="n"/>
      <c r="C218" s="84" t="n"/>
      <c r="D218" s="84" t="n"/>
      <c r="E218" s="84" t="n"/>
      <c r="F218" s="84" t="n"/>
      <c r="G218" s="84" t="n"/>
      <c r="H218" s="84" t="n"/>
      <c r="I218" s="84" t="n"/>
      <c r="J218" s="84" t="n"/>
      <c r="K218" s="84" t="n"/>
      <c r="L218" s="84" t="n"/>
      <c r="M218" s="84" t="n"/>
      <c r="N218" s="84" t="n"/>
      <c r="O218" s="84" t="n"/>
      <c r="P218" s="84" t="n"/>
      <c r="Q218" s="84" t="n"/>
      <c r="R218" s="84" t="n"/>
      <c r="S218" s="84" t="n"/>
      <c r="T218" s="84" t="n"/>
      <c r="U218" s="84" t="n"/>
      <c r="V218" s="84" t="n"/>
      <c r="W218" s="84" t="n"/>
      <c r="X218" s="84" t="n"/>
      <c r="Y218" s="84" t="n"/>
      <c r="Z218" s="84" t="n"/>
      <c r="AA218" s="84" t="n"/>
      <c r="AB218" s="84" t="n"/>
      <c r="AC218" s="84" t="n"/>
      <c r="AD218" s="84" t="n"/>
      <c r="AE218" s="84" t="n"/>
      <c r="AF218" s="84" t="n"/>
      <c r="AG218" s="84" t="n"/>
      <c r="AH218" s="84" t="n"/>
      <c r="AI218" s="84" t="n"/>
      <c r="AJ218" s="84" t="n"/>
      <c r="AK218" s="84" t="n"/>
      <c r="AL218" s="84" t="n"/>
      <c r="AM218" s="84" t="n"/>
      <c r="AN218" s="84" t="n"/>
      <c r="AO218" s="84" t="n"/>
      <c r="AP218" s="84" t="n"/>
    </row>
    <row r="219" ht="15" customHeight="1" s="65">
      <c r="A219" s="84" t="n"/>
      <c r="B219" s="84" t="n"/>
      <c r="C219" s="84" t="n"/>
      <c r="D219" s="84" t="n"/>
      <c r="E219" s="84" t="n"/>
      <c r="F219" s="84" t="n"/>
      <c r="G219" s="84" t="n"/>
      <c r="H219" s="84" t="n"/>
      <c r="I219" s="84" t="n"/>
      <c r="J219" s="84" t="n"/>
      <c r="K219" s="84" t="n"/>
      <c r="L219" s="84" t="n"/>
      <c r="M219" s="84" t="n"/>
      <c r="N219" s="84" t="n"/>
      <c r="O219" s="84" t="n"/>
      <c r="P219" s="84" t="n"/>
      <c r="Q219" s="84" t="n"/>
      <c r="R219" s="84" t="n"/>
      <c r="S219" s="84" t="n"/>
      <c r="T219" s="84" t="n"/>
      <c r="U219" s="84" t="n"/>
      <c r="V219" s="84" t="n"/>
      <c r="W219" s="84" t="n"/>
      <c r="X219" s="84" t="n"/>
      <c r="Y219" s="84" t="n"/>
      <c r="Z219" s="84" t="n"/>
      <c r="AA219" s="84" t="n"/>
      <c r="AB219" s="84" t="n"/>
      <c r="AC219" s="84" t="n"/>
      <c r="AD219" s="84" t="n"/>
      <c r="AE219" s="84" t="n"/>
      <c r="AF219" s="84" t="n"/>
      <c r="AG219" s="84" t="n"/>
      <c r="AH219" s="84" t="n"/>
      <c r="AI219" s="84" t="n"/>
      <c r="AJ219" s="84" t="n"/>
      <c r="AK219" s="84" t="n"/>
      <c r="AL219" s="84" t="n"/>
      <c r="AM219" s="84" t="n"/>
      <c r="AN219" s="84" t="n"/>
      <c r="AO219" s="84" t="n"/>
      <c r="AP219" s="84" t="n"/>
    </row>
    <row r="220" ht="15" customHeight="1" s="65">
      <c r="A220" s="84" t="n"/>
      <c r="B220" s="84" t="n"/>
      <c r="C220" s="84" t="n"/>
      <c r="D220" s="84" t="n"/>
      <c r="E220" s="84" t="n"/>
      <c r="F220" s="84" t="n"/>
      <c r="G220" s="84" t="n"/>
      <c r="H220" s="84" t="n"/>
      <c r="I220" s="84" t="n"/>
      <c r="J220" s="84" t="n"/>
      <c r="K220" s="84" t="n"/>
      <c r="L220" s="84" t="n"/>
      <c r="M220" s="84" t="n"/>
      <c r="N220" s="84" t="n"/>
      <c r="O220" s="84" t="n"/>
      <c r="P220" s="84" t="n"/>
      <c r="Q220" s="84" t="n"/>
      <c r="R220" s="84" t="n"/>
      <c r="S220" s="84" t="n"/>
      <c r="T220" s="84" t="n"/>
      <c r="U220" s="84" t="n"/>
      <c r="V220" s="84" t="n"/>
      <c r="W220" s="84" t="n"/>
      <c r="X220" s="84" t="n"/>
      <c r="Y220" s="84" t="n"/>
      <c r="Z220" s="84" t="n"/>
      <c r="AA220" s="84" t="n"/>
      <c r="AB220" s="84" t="n"/>
      <c r="AC220" s="84" t="n"/>
      <c r="AD220" s="84" t="n"/>
      <c r="AE220" s="84" t="n"/>
      <c r="AF220" s="84" t="n"/>
      <c r="AG220" s="84" t="n"/>
      <c r="AH220" s="84" t="n"/>
      <c r="AI220" s="84" t="n"/>
      <c r="AJ220" s="84" t="n"/>
      <c r="AK220" s="84" t="n"/>
      <c r="AL220" s="84" t="n"/>
      <c r="AM220" s="84" t="n"/>
      <c r="AN220" s="84" t="n"/>
      <c r="AO220" s="84" t="n"/>
      <c r="AP220" s="84" t="n"/>
    </row>
    <row r="221" ht="15" customHeight="1" s="65">
      <c r="A221" s="84" t="n"/>
      <c r="B221" s="84" t="n"/>
      <c r="C221" s="84" t="n"/>
      <c r="D221" s="84" t="n"/>
      <c r="E221" s="84" t="n"/>
      <c r="F221" s="84" t="n"/>
      <c r="G221" s="84" t="n"/>
      <c r="H221" s="84" t="n"/>
      <c r="I221" s="84" t="n"/>
      <c r="J221" s="84" t="n"/>
      <c r="K221" s="84" t="n"/>
      <c r="L221" s="84" t="n"/>
      <c r="M221" s="84" t="n"/>
      <c r="N221" s="84" t="n"/>
      <c r="O221" s="84" t="n"/>
      <c r="P221" s="84" t="n"/>
      <c r="Q221" s="84" t="n"/>
      <c r="R221" s="84" t="n"/>
      <c r="S221" s="84" t="n"/>
      <c r="T221" s="84" t="n"/>
      <c r="U221" s="84" t="n"/>
      <c r="V221" s="84" t="n"/>
      <c r="W221" s="84" t="n"/>
      <c r="X221" s="84" t="n"/>
      <c r="Y221" s="84" t="n"/>
      <c r="Z221" s="84" t="n"/>
      <c r="AA221" s="84" t="n"/>
      <c r="AB221" s="84" t="n"/>
      <c r="AC221" s="84" t="n"/>
      <c r="AD221" s="84" t="n"/>
      <c r="AE221" s="84" t="n"/>
      <c r="AF221" s="84" t="n"/>
      <c r="AG221" s="84" t="n"/>
      <c r="AH221" s="84" t="n"/>
      <c r="AI221" s="84" t="n"/>
      <c r="AJ221" s="84" t="n"/>
      <c r="AK221" s="84" t="n"/>
      <c r="AL221" s="84" t="n"/>
      <c r="AM221" s="84" t="n"/>
      <c r="AN221" s="84" t="n"/>
      <c r="AO221" s="84" t="n"/>
      <c r="AP221" s="84" t="n"/>
    </row>
    <row r="222" ht="15" customHeight="1" s="65">
      <c r="A222" s="84" t="n"/>
      <c r="B222" s="84" t="n"/>
      <c r="C222" s="84" t="n"/>
      <c r="D222" s="84" t="n"/>
      <c r="E222" s="84" t="n"/>
      <c r="F222" s="84" t="n"/>
      <c r="G222" s="84" t="n"/>
      <c r="H222" s="84" t="n"/>
      <c r="I222" s="84" t="n"/>
      <c r="J222" s="84" t="n"/>
      <c r="K222" s="84" t="n"/>
      <c r="L222" s="84" t="n"/>
      <c r="M222" s="84" t="n"/>
      <c r="N222" s="84" t="n"/>
      <c r="O222" s="84" t="n"/>
      <c r="P222" s="84" t="n"/>
      <c r="Q222" s="84" t="n"/>
      <c r="R222" s="84" t="n"/>
      <c r="S222" s="84" t="n"/>
      <c r="T222" s="84" t="n"/>
      <c r="U222" s="84" t="n"/>
      <c r="V222" s="84" t="n"/>
      <c r="W222" s="84" t="n"/>
      <c r="X222" s="84" t="n"/>
      <c r="Y222" s="84" t="n"/>
      <c r="Z222" s="84" t="n"/>
      <c r="AA222" s="84" t="n"/>
      <c r="AB222" s="84" t="n"/>
      <c r="AC222" s="84" t="n"/>
      <c r="AD222" s="84" t="n"/>
      <c r="AE222" s="84" t="n"/>
      <c r="AF222" s="84" t="n"/>
      <c r="AG222" s="84" t="n"/>
      <c r="AH222" s="84" t="n"/>
      <c r="AI222" s="84" t="n"/>
      <c r="AJ222" s="84" t="n"/>
      <c r="AK222" s="84" t="n"/>
      <c r="AL222" s="84" t="n"/>
      <c r="AM222" s="84" t="n"/>
      <c r="AN222" s="84" t="n"/>
      <c r="AO222" s="84" t="n"/>
      <c r="AP222" s="84" t="n"/>
    </row>
    <row r="223" ht="15" customHeight="1" s="65">
      <c r="A223" s="84" t="n"/>
      <c r="B223" s="84" t="n"/>
      <c r="C223" s="84" t="n"/>
      <c r="D223" s="84" t="n"/>
      <c r="E223" s="84" t="n"/>
      <c r="F223" s="84" t="n"/>
      <c r="G223" s="84" t="n"/>
      <c r="H223" s="84" t="n"/>
      <c r="I223" s="84" t="n"/>
      <c r="J223" s="84" t="n"/>
      <c r="K223" s="84" t="n"/>
      <c r="L223" s="84" t="n"/>
      <c r="M223" s="84" t="n"/>
      <c r="N223" s="84" t="n"/>
      <c r="O223" s="84" t="n"/>
      <c r="P223" s="84" t="n"/>
      <c r="Q223" s="84" t="n"/>
      <c r="R223" s="84" t="n"/>
      <c r="S223" s="84" t="n"/>
      <c r="T223" s="84" t="n"/>
      <c r="U223" s="84" t="n"/>
      <c r="V223" s="84" t="n"/>
      <c r="W223" s="84" t="n"/>
      <c r="X223" s="84" t="n"/>
      <c r="Y223" s="84" t="n"/>
      <c r="Z223" s="84" t="n"/>
      <c r="AA223" s="84" t="n"/>
      <c r="AB223" s="84" t="n"/>
      <c r="AC223" s="84" t="n"/>
      <c r="AD223" s="84" t="n"/>
      <c r="AE223" s="84" t="n"/>
      <c r="AF223" s="84" t="n"/>
      <c r="AG223" s="84" t="n"/>
      <c r="AH223" s="84" t="n"/>
      <c r="AI223" s="84" t="n"/>
      <c r="AJ223" s="84" t="n"/>
      <c r="AK223" s="84" t="n"/>
      <c r="AL223" s="84" t="n"/>
      <c r="AM223" s="84" t="n"/>
      <c r="AN223" s="84" t="n"/>
      <c r="AO223" s="84" t="n"/>
      <c r="AP223" s="84" t="n"/>
    </row>
    <row r="224" ht="15" customHeight="1" s="65">
      <c r="A224" s="84" t="n"/>
      <c r="B224" s="84" t="n"/>
      <c r="C224" s="84" t="n"/>
      <c r="D224" s="84" t="n"/>
      <c r="E224" s="84" t="n"/>
      <c r="F224" s="84" t="n"/>
      <c r="G224" s="84" t="n"/>
      <c r="H224" s="84" t="n"/>
      <c r="I224" s="84" t="n"/>
      <c r="J224" s="84" t="n"/>
      <c r="K224" s="84" t="n"/>
      <c r="L224" s="84" t="n"/>
      <c r="M224" s="84" t="n"/>
      <c r="N224" s="84" t="n"/>
      <c r="O224" s="84" t="n"/>
      <c r="P224" s="84" t="n"/>
      <c r="Q224" s="84" t="n"/>
      <c r="R224" s="84" t="n"/>
      <c r="S224" s="84" t="n"/>
      <c r="T224" s="84" t="n"/>
      <c r="U224" s="84" t="n"/>
      <c r="V224" s="84" t="n"/>
      <c r="W224" s="84" t="n"/>
      <c r="X224" s="84" t="n"/>
      <c r="Y224" s="84" t="n"/>
      <c r="Z224" s="84" t="n"/>
      <c r="AA224" s="84" t="n"/>
      <c r="AB224" s="84" t="n"/>
      <c r="AC224" s="84" t="n"/>
      <c r="AD224" s="84" t="n"/>
      <c r="AE224" s="84" t="n"/>
      <c r="AF224" s="84" t="n"/>
      <c r="AG224" s="84" t="n"/>
      <c r="AH224" s="84" t="n"/>
      <c r="AI224" s="84" t="n"/>
      <c r="AJ224" s="84" t="n"/>
      <c r="AK224" s="84" t="n"/>
      <c r="AL224" s="84" t="n"/>
      <c r="AM224" s="84" t="n"/>
      <c r="AN224" s="84" t="n"/>
      <c r="AO224" s="84" t="n"/>
      <c r="AP224" s="84" t="n"/>
    </row>
    <row r="225" ht="15" customHeight="1" s="65">
      <c r="A225" s="84" t="n"/>
      <c r="B225" s="84" t="n"/>
      <c r="C225" s="84" t="n"/>
      <c r="D225" s="84" t="n"/>
      <c r="E225" s="84" t="n"/>
      <c r="F225" s="84" t="n"/>
      <c r="G225" s="84" t="n"/>
      <c r="H225" s="84" t="n"/>
      <c r="I225" s="84" t="n"/>
      <c r="J225" s="84" t="n"/>
      <c r="K225" s="84" t="n"/>
      <c r="L225" s="84" t="n"/>
      <c r="M225" s="84" t="n"/>
      <c r="N225" s="84" t="n"/>
      <c r="O225" s="84" t="n"/>
      <c r="P225" s="84" t="n"/>
      <c r="Q225" s="84" t="n"/>
      <c r="R225" s="84" t="n"/>
      <c r="S225" s="84" t="n"/>
      <c r="T225" s="84" t="n"/>
      <c r="U225" s="84" t="n"/>
      <c r="V225" s="84" t="n"/>
      <c r="W225" s="84" t="n"/>
      <c r="X225" s="84" t="n"/>
      <c r="Y225" s="84" t="n"/>
      <c r="Z225" s="84" t="n"/>
      <c r="AA225" s="84" t="n"/>
      <c r="AB225" s="84" t="n"/>
      <c r="AC225" s="84" t="n"/>
      <c r="AD225" s="84" t="n"/>
      <c r="AE225" s="84" t="n"/>
      <c r="AF225" s="84" t="n"/>
      <c r="AG225" s="84" t="n"/>
      <c r="AH225" s="84" t="n"/>
      <c r="AI225" s="84" t="n"/>
      <c r="AJ225" s="84" t="n"/>
      <c r="AK225" s="84" t="n"/>
      <c r="AL225" s="84" t="n"/>
      <c r="AM225" s="84" t="n"/>
      <c r="AN225" s="84" t="n"/>
      <c r="AO225" s="84" t="n"/>
      <c r="AP225" s="84" t="n"/>
    </row>
    <row r="226" ht="15" customHeight="1" s="65">
      <c r="A226" s="84" t="n"/>
      <c r="B226" s="84" t="n"/>
      <c r="C226" s="84" t="n"/>
      <c r="D226" s="84" t="n"/>
      <c r="E226" s="84" t="n"/>
      <c r="F226" s="84" t="n"/>
      <c r="G226" s="84" t="n"/>
      <c r="H226" s="84" t="n"/>
      <c r="I226" s="84" t="n"/>
      <c r="J226" s="84" t="n"/>
      <c r="K226" s="84" t="n"/>
      <c r="L226" s="84" t="n"/>
      <c r="M226" s="84" t="n"/>
      <c r="N226" s="84" t="n"/>
      <c r="O226" s="84" t="n"/>
      <c r="P226" s="84" t="n"/>
      <c r="Q226" s="84" t="n"/>
      <c r="R226" s="84" t="n"/>
      <c r="S226" s="84" t="n"/>
      <c r="T226" s="84" t="n"/>
      <c r="U226" s="84" t="n"/>
      <c r="V226" s="84" t="n"/>
      <c r="W226" s="84" t="n"/>
      <c r="X226" s="84" t="n"/>
      <c r="Y226" s="84" t="n"/>
      <c r="Z226" s="84" t="n"/>
      <c r="AA226" s="84" t="n"/>
      <c r="AB226" s="84" t="n"/>
      <c r="AC226" s="84" t="n"/>
      <c r="AD226" s="84" t="n"/>
      <c r="AE226" s="84" t="n"/>
      <c r="AF226" s="84" t="n"/>
      <c r="AG226" s="84" t="n"/>
      <c r="AH226" s="84" t="n"/>
      <c r="AI226" s="84" t="n"/>
      <c r="AJ226" s="84" t="n"/>
      <c r="AK226" s="84" t="n"/>
      <c r="AL226" s="84" t="n"/>
      <c r="AM226" s="84" t="n"/>
      <c r="AN226" s="84" t="n"/>
      <c r="AO226" s="84" t="n"/>
      <c r="AP226" s="84" t="n"/>
    </row>
    <row r="227" ht="15" customHeight="1" s="65">
      <c r="A227" s="84" t="n"/>
      <c r="B227" s="84" t="n"/>
      <c r="C227" s="84" t="n"/>
      <c r="D227" s="84" t="n"/>
      <c r="E227" s="84" t="n"/>
      <c r="F227" s="84" t="n"/>
      <c r="G227" s="84" t="n"/>
      <c r="H227" s="84" t="n"/>
      <c r="I227" s="84" t="n"/>
      <c r="J227" s="84" t="n"/>
      <c r="K227" s="84" t="n"/>
      <c r="L227" s="84" t="n"/>
      <c r="M227" s="84" t="n"/>
      <c r="N227" s="84" t="n"/>
      <c r="O227" s="84" t="n"/>
      <c r="P227" s="84" t="n"/>
      <c r="Q227" s="84" t="n"/>
      <c r="R227" s="84" t="n"/>
      <c r="S227" s="84" t="n"/>
      <c r="T227" s="84" t="n"/>
      <c r="U227" s="84" t="n"/>
      <c r="V227" s="84" t="n"/>
      <c r="W227" s="84" t="n"/>
      <c r="X227" s="84" t="n"/>
      <c r="Y227" s="84" t="n"/>
      <c r="Z227" s="84" t="n"/>
      <c r="AA227" s="84" t="n"/>
      <c r="AB227" s="84" t="n"/>
      <c r="AC227" s="84" t="n"/>
      <c r="AD227" s="84" t="n"/>
      <c r="AE227" s="84" t="n"/>
      <c r="AF227" s="84" t="n"/>
      <c r="AG227" s="84" t="n"/>
      <c r="AH227" s="84" t="n"/>
      <c r="AI227" s="84" t="n"/>
      <c r="AJ227" s="84" t="n"/>
      <c r="AK227" s="84" t="n"/>
      <c r="AL227" s="84" t="n"/>
      <c r="AM227" s="84" t="n"/>
      <c r="AN227" s="84" t="n"/>
      <c r="AO227" s="84" t="n"/>
      <c r="AP227" s="84" t="n"/>
    </row>
    <row r="228" ht="15" customHeight="1" s="65">
      <c r="A228" s="84" t="n"/>
      <c r="B228" s="84" t="n"/>
      <c r="C228" s="84" t="n"/>
      <c r="D228" s="84" t="n"/>
      <c r="E228" s="84" t="n"/>
      <c r="F228" s="84" t="n"/>
      <c r="G228" s="84" t="n"/>
      <c r="H228" s="84" t="n"/>
      <c r="I228" s="84" t="n"/>
      <c r="J228" s="84" t="n"/>
      <c r="K228" s="84" t="n"/>
      <c r="L228" s="84" t="n"/>
      <c r="M228" s="84" t="n"/>
      <c r="N228" s="84" t="n"/>
      <c r="O228" s="84" t="n"/>
      <c r="P228" s="84" t="n"/>
      <c r="Q228" s="84" t="n"/>
      <c r="R228" s="84" t="n"/>
      <c r="S228" s="84" t="n"/>
      <c r="T228" s="84" t="n"/>
      <c r="U228" s="84" t="n"/>
      <c r="V228" s="84" t="n"/>
      <c r="W228" s="84" t="n"/>
      <c r="X228" s="84" t="n"/>
      <c r="Y228" s="84" t="n"/>
      <c r="Z228" s="84" t="n"/>
      <c r="AA228" s="84" t="n"/>
      <c r="AB228" s="84" t="n"/>
      <c r="AC228" s="84" t="n"/>
      <c r="AD228" s="84" t="n"/>
      <c r="AE228" s="84" t="n"/>
      <c r="AF228" s="84" t="n"/>
      <c r="AG228" s="84" t="n"/>
      <c r="AH228" s="84" t="n"/>
      <c r="AI228" s="84" t="n"/>
      <c r="AJ228" s="84" t="n"/>
      <c r="AK228" s="84" t="n"/>
      <c r="AL228" s="84" t="n"/>
      <c r="AM228" s="84" t="n"/>
      <c r="AN228" s="84" t="n"/>
      <c r="AO228" s="84" t="n"/>
      <c r="AP228" s="84" t="n"/>
    </row>
    <row r="229" ht="15" customHeight="1" s="65">
      <c r="A229" s="84" t="n"/>
      <c r="B229" s="84" t="n"/>
      <c r="C229" s="84" t="n"/>
      <c r="D229" s="84" t="n"/>
      <c r="E229" s="84" t="n"/>
      <c r="F229" s="84" t="n"/>
      <c r="G229" s="84" t="n"/>
      <c r="H229" s="84" t="n"/>
      <c r="I229" s="84" t="n"/>
      <c r="J229" s="84" t="n"/>
      <c r="K229" s="84" t="n"/>
      <c r="L229" s="84" t="n"/>
      <c r="M229" s="84" t="n"/>
      <c r="N229" s="84" t="n"/>
      <c r="O229" s="84" t="n"/>
      <c r="P229" s="84" t="n"/>
      <c r="Q229" s="84" t="n"/>
      <c r="R229" s="84" t="n"/>
      <c r="S229" s="84" t="n"/>
      <c r="T229" s="84" t="n"/>
      <c r="U229" s="84" t="n"/>
      <c r="V229" s="84" t="n"/>
      <c r="W229" s="84" t="n"/>
      <c r="X229" s="84" t="n"/>
      <c r="Y229" s="84" t="n"/>
      <c r="Z229" s="84" t="n"/>
      <c r="AA229" s="84" t="n"/>
      <c r="AB229" s="84" t="n"/>
      <c r="AC229" s="84" t="n"/>
      <c r="AD229" s="84" t="n"/>
      <c r="AE229" s="84" t="n"/>
      <c r="AF229" s="84" t="n"/>
      <c r="AG229" s="84" t="n"/>
      <c r="AH229" s="84" t="n"/>
      <c r="AI229" s="84" t="n"/>
      <c r="AJ229" s="84" t="n"/>
      <c r="AK229" s="84" t="n"/>
      <c r="AL229" s="84" t="n"/>
      <c r="AM229" s="84" t="n"/>
      <c r="AN229" s="84" t="n"/>
      <c r="AO229" s="84" t="n"/>
      <c r="AP229" s="84" t="n"/>
    </row>
    <row r="230" ht="15" customHeight="1" s="65">
      <c r="A230" s="84" t="n"/>
      <c r="B230" s="84" t="n"/>
      <c r="C230" s="84" t="n"/>
      <c r="D230" s="84" t="n"/>
      <c r="E230" s="84" t="n"/>
      <c r="F230" s="84" t="n"/>
      <c r="G230" s="84" t="n"/>
      <c r="H230" s="84" t="n"/>
      <c r="I230" s="84" t="n"/>
      <c r="J230" s="84" t="n"/>
      <c r="K230" s="84" t="n"/>
      <c r="L230" s="84" t="n"/>
      <c r="M230" s="84" t="n"/>
      <c r="N230" s="84" t="n"/>
      <c r="O230" s="84" t="n"/>
      <c r="P230" s="84" t="n"/>
      <c r="Q230" s="84" t="n"/>
      <c r="R230" s="84" t="n"/>
      <c r="S230" s="84" t="n"/>
      <c r="T230" s="84" t="n"/>
      <c r="U230" s="84" t="n"/>
      <c r="V230" s="84" t="n"/>
      <c r="W230" s="84" t="n"/>
      <c r="X230" s="84" t="n"/>
      <c r="Y230" s="84" t="n"/>
      <c r="Z230" s="84" t="n"/>
      <c r="AA230" s="84" t="n"/>
      <c r="AB230" s="84" t="n"/>
      <c r="AC230" s="84" t="n"/>
      <c r="AD230" s="84" t="n"/>
      <c r="AE230" s="84" t="n"/>
      <c r="AF230" s="84" t="n"/>
      <c r="AG230" s="84" t="n"/>
      <c r="AH230" s="84" t="n"/>
      <c r="AI230" s="84" t="n"/>
      <c r="AJ230" s="84" t="n"/>
      <c r="AK230" s="84" t="n"/>
      <c r="AL230" s="84" t="n"/>
      <c r="AM230" s="84" t="n"/>
      <c r="AN230" s="84" t="n"/>
      <c r="AO230" s="84" t="n"/>
      <c r="AP230" s="84" t="n"/>
    </row>
    <row r="231" ht="15" customHeight="1" s="65">
      <c r="A231" s="84" t="n"/>
      <c r="B231" s="84" t="n"/>
      <c r="C231" s="84" t="n"/>
      <c r="D231" s="84" t="n"/>
      <c r="E231" s="84" t="n"/>
      <c r="F231" s="84" t="n"/>
      <c r="G231" s="84" t="n"/>
      <c r="H231" s="84" t="n"/>
      <c r="I231" s="84" t="n"/>
      <c r="J231" s="84" t="n"/>
      <c r="K231" s="84" t="n"/>
      <c r="L231" s="84" t="n"/>
      <c r="M231" s="84" t="n"/>
      <c r="N231" s="84" t="n"/>
      <c r="O231" s="84" t="n"/>
      <c r="P231" s="84" t="n"/>
      <c r="Q231" s="84" t="n"/>
      <c r="R231" s="84" t="n"/>
      <c r="S231" s="84" t="n"/>
      <c r="T231" s="84" t="n"/>
      <c r="U231" s="84" t="n"/>
      <c r="V231" s="84" t="n"/>
      <c r="W231" s="84" t="n"/>
      <c r="X231" s="84" t="n"/>
      <c r="Y231" s="84" t="n"/>
      <c r="Z231" s="84" t="n"/>
      <c r="AA231" s="84" t="n"/>
      <c r="AB231" s="84" t="n"/>
      <c r="AC231" s="84" t="n"/>
      <c r="AD231" s="84" t="n"/>
      <c r="AE231" s="84" t="n"/>
      <c r="AF231" s="84" t="n"/>
      <c r="AG231" s="84" t="n"/>
      <c r="AH231" s="84" t="n"/>
      <c r="AI231" s="84" t="n"/>
      <c r="AJ231" s="84" t="n"/>
      <c r="AK231" s="84" t="n"/>
      <c r="AL231" s="84" t="n"/>
      <c r="AM231" s="84" t="n"/>
      <c r="AN231" s="84" t="n"/>
      <c r="AO231" s="84" t="n"/>
      <c r="AP231" s="84" t="n"/>
    </row>
    <row r="232" ht="15" customHeight="1" s="65">
      <c r="A232" s="84" t="n"/>
      <c r="B232" s="84" t="n"/>
      <c r="C232" s="84" t="n"/>
      <c r="D232" s="84" t="n"/>
      <c r="E232" s="84" t="n"/>
      <c r="F232" s="84" t="n"/>
      <c r="G232" s="84" t="n"/>
      <c r="H232" s="84" t="n"/>
      <c r="I232" s="84" t="n"/>
      <c r="J232" s="84" t="n"/>
      <c r="K232" s="84" t="n"/>
      <c r="L232" s="84" t="n"/>
      <c r="M232" s="84" t="n"/>
      <c r="N232" s="84" t="n"/>
      <c r="O232" s="84" t="n"/>
      <c r="P232" s="84" t="n"/>
      <c r="Q232" s="84" t="n"/>
      <c r="R232" s="84" t="n"/>
      <c r="S232" s="84" t="n"/>
      <c r="T232" s="84" t="n"/>
      <c r="U232" s="84" t="n"/>
      <c r="V232" s="84" t="n"/>
      <c r="W232" s="84" t="n"/>
      <c r="X232" s="84" t="n"/>
      <c r="Y232" s="84" t="n"/>
      <c r="Z232" s="84" t="n"/>
      <c r="AA232" s="84" t="n"/>
      <c r="AB232" s="84" t="n"/>
      <c r="AC232" s="84" t="n"/>
      <c r="AD232" s="84" t="n"/>
      <c r="AE232" s="84" t="n"/>
      <c r="AF232" s="84" t="n"/>
      <c r="AG232" s="84" t="n"/>
      <c r="AH232" s="84" t="n"/>
      <c r="AI232" s="84" t="n"/>
      <c r="AJ232" s="84" t="n"/>
      <c r="AK232" s="84" t="n"/>
      <c r="AL232" s="84" t="n"/>
      <c r="AM232" s="84" t="n"/>
      <c r="AN232" s="84" t="n"/>
      <c r="AO232" s="84" t="n"/>
      <c r="AP232" s="84" t="n"/>
    </row>
    <row r="233" ht="15" customHeight="1" s="65">
      <c r="A233" s="84" t="n"/>
      <c r="B233" s="84" t="n"/>
      <c r="C233" s="84" t="n"/>
      <c r="D233" s="84" t="n"/>
      <c r="E233" s="84" t="n"/>
      <c r="F233" s="84" t="n"/>
      <c r="G233" s="84" t="n"/>
      <c r="H233" s="84" t="n"/>
      <c r="I233" s="84" t="n"/>
      <c r="J233" s="84" t="n"/>
      <c r="K233" s="84" t="n"/>
      <c r="L233" s="84" t="n"/>
      <c r="M233" s="84" t="n"/>
      <c r="N233" s="84" t="n"/>
      <c r="O233" s="84" t="n"/>
      <c r="P233" s="84" t="n"/>
      <c r="Q233" s="84" t="n"/>
      <c r="R233" s="84" t="n"/>
      <c r="S233" s="84" t="n"/>
      <c r="T233" s="84" t="n"/>
      <c r="U233" s="84" t="n"/>
      <c r="V233" s="84" t="n"/>
      <c r="W233" s="84" t="n"/>
      <c r="X233" s="84" t="n"/>
      <c r="Y233" s="84" t="n"/>
      <c r="Z233" s="84" t="n"/>
      <c r="AA233" s="84" t="n"/>
      <c r="AB233" s="84" t="n"/>
      <c r="AC233" s="84" t="n"/>
      <c r="AD233" s="84" t="n"/>
      <c r="AE233" s="84" t="n"/>
      <c r="AF233" s="84" t="n"/>
      <c r="AG233" s="84" t="n"/>
      <c r="AH233" s="84" t="n"/>
      <c r="AI233" s="84" t="n"/>
      <c r="AJ233" s="84" t="n"/>
      <c r="AK233" s="84" t="n"/>
      <c r="AL233" s="84" t="n"/>
      <c r="AM233" s="84" t="n"/>
      <c r="AN233" s="84" t="n"/>
      <c r="AO233" s="84" t="n"/>
      <c r="AP233" s="84" t="n"/>
    </row>
    <row r="234" ht="15" customHeight="1" s="65">
      <c r="A234" s="84" t="n"/>
      <c r="B234" s="84" t="n"/>
      <c r="C234" s="84" t="n"/>
      <c r="D234" s="84" t="n"/>
      <c r="E234" s="84" t="n"/>
      <c r="F234" s="84" t="n"/>
      <c r="G234" s="84" t="n"/>
      <c r="H234" s="84" t="n"/>
      <c r="I234" s="84" t="n"/>
      <c r="J234" s="84" t="n"/>
      <c r="K234" s="84" t="n"/>
      <c r="L234" s="84" t="n"/>
      <c r="M234" s="84" t="n"/>
      <c r="N234" s="84" t="n"/>
      <c r="O234" s="84" t="n"/>
      <c r="P234" s="84" t="n"/>
      <c r="Q234" s="84" t="n"/>
      <c r="R234" s="84" t="n"/>
      <c r="S234" s="84" t="n"/>
      <c r="T234" s="84" t="n"/>
      <c r="U234" s="84" t="n"/>
      <c r="V234" s="84" t="n"/>
      <c r="W234" s="84" t="n"/>
      <c r="X234" s="84" t="n"/>
      <c r="Y234" s="84" t="n"/>
      <c r="Z234" s="84" t="n"/>
      <c r="AA234" s="84" t="n"/>
      <c r="AB234" s="84" t="n"/>
      <c r="AC234" s="84" t="n"/>
      <c r="AD234" s="84" t="n"/>
      <c r="AE234" s="84" t="n"/>
      <c r="AF234" s="84" t="n"/>
      <c r="AG234" s="84" t="n"/>
      <c r="AH234" s="84" t="n"/>
      <c r="AI234" s="84" t="n"/>
      <c r="AJ234" s="84" t="n"/>
      <c r="AK234" s="84" t="n"/>
      <c r="AL234" s="84" t="n"/>
      <c r="AM234" s="84" t="n"/>
      <c r="AN234" s="84" t="n"/>
      <c r="AO234" s="84" t="n"/>
      <c r="AP234" s="84" t="n"/>
    </row>
    <row r="235" ht="15" customHeight="1" s="65">
      <c r="A235" s="84" t="n"/>
      <c r="B235" s="84" t="n"/>
      <c r="C235" s="84" t="n"/>
      <c r="D235" s="84" t="n"/>
      <c r="E235" s="84" t="n"/>
      <c r="F235" s="84" t="n"/>
      <c r="G235" s="84" t="n"/>
      <c r="H235" s="84" t="n"/>
      <c r="I235" s="84" t="n"/>
      <c r="J235" s="84" t="n"/>
      <c r="K235" s="84" t="n"/>
      <c r="L235" s="84" t="n"/>
      <c r="M235" s="84" t="n"/>
      <c r="N235" s="84" t="n"/>
      <c r="O235" s="84" t="n"/>
      <c r="P235" s="84" t="n"/>
      <c r="Q235" s="84" t="n"/>
      <c r="R235" s="84" t="n"/>
      <c r="S235" s="84" t="n"/>
      <c r="T235" s="84" t="n"/>
      <c r="U235" s="84" t="n"/>
      <c r="V235" s="84" t="n"/>
      <c r="W235" s="84" t="n"/>
      <c r="X235" s="84" t="n"/>
      <c r="Y235" s="84" t="n"/>
      <c r="Z235" s="84" t="n"/>
      <c r="AA235" s="84" t="n"/>
      <c r="AB235" s="84" t="n"/>
      <c r="AC235" s="84" t="n"/>
      <c r="AD235" s="84" t="n"/>
      <c r="AE235" s="84" t="n"/>
      <c r="AF235" s="84" t="n"/>
      <c r="AG235" s="84" t="n"/>
      <c r="AH235" s="84" t="n"/>
      <c r="AI235" s="84" t="n"/>
      <c r="AJ235" s="84" t="n"/>
      <c r="AK235" s="84" t="n"/>
      <c r="AL235" s="84" t="n"/>
      <c r="AM235" s="84" t="n"/>
      <c r="AN235" s="84" t="n"/>
      <c r="AO235" s="84" t="n"/>
      <c r="AP235" s="84" t="n"/>
    </row>
    <row r="236" ht="15" customHeight="1" s="65">
      <c r="A236" s="84" t="n"/>
      <c r="B236" s="84" t="n"/>
      <c r="C236" s="84" t="n"/>
      <c r="D236" s="84" t="n"/>
      <c r="E236" s="84" t="n"/>
      <c r="F236" s="84" t="n"/>
      <c r="G236" s="84" t="n"/>
      <c r="H236" s="84" t="n"/>
      <c r="I236" s="84" t="n"/>
      <c r="J236" s="84" t="n"/>
      <c r="K236" s="84" t="n"/>
      <c r="L236" s="84" t="n"/>
      <c r="M236" s="84" t="n"/>
      <c r="N236" s="84" t="n"/>
      <c r="O236" s="84" t="n"/>
      <c r="P236" s="84" t="n"/>
      <c r="Q236" s="84" t="n"/>
      <c r="R236" s="84" t="n"/>
      <c r="S236" s="84" t="n"/>
      <c r="T236" s="84" t="n"/>
      <c r="U236" s="84" t="n"/>
      <c r="V236" s="84" t="n"/>
      <c r="W236" s="84" t="n"/>
      <c r="X236" s="84" t="n"/>
      <c r="Y236" s="84" t="n"/>
      <c r="Z236" s="84" t="n"/>
      <c r="AA236" s="84" t="n"/>
      <c r="AB236" s="84" t="n"/>
      <c r="AC236" s="84" t="n"/>
      <c r="AD236" s="84" t="n"/>
      <c r="AE236" s="84" t="n"/>
      <c r="AF236" s="84" t="n"/>
      <c r="AG236" s="84" t="n"/>
      <c r="AH236" s="84" t="n"/>
      <c r="AI236" s="84" t="n"/>
      <c r="AJ236" s="84" t="n"/>
      <c r="AK236" s="84" t="n"/>
      <c r="AL236" s="84" t="n"/>
      <c r="AM236" s="84" t="n"/>
      <c r="AN236" s="84" t="n"/>
      <c r="AO236" s="84" t="n"/>
      <c r="AP236" s="84" t="n"/>
    </row>
    <row r="237" ht="15" customHeight="1" s="65">
      <c r="A237" s="84" t="n"/>
      <c r="B237" s="84" t="n"/>
      <c r="C237" s="84" t="n"/>
      <c r="D237" s="84" t="n"/>
      <c r="E237" s="84" t="n"/>
      <c r="F237" s="84" t="n"/>
      <c r="G237" s="84" t="n"/>
      <c r="H237" s="84" t="n"/>
      <c r="I237" s="84" t="n"/>
      <c r="J237" s="84" t="n"/>
      <c r="K237" s="84" t="n"/>
      <c r="L237" s="84" t="n"/>
      <c r="M237" s="84" t="n"/>
      <c r="N237" s="84" t="n"/>
      <c r="O237" s="84" t="n"/>
      <c r="P237" s="84" t="n"/>
      <c r="Q237" s="84" t="n"/>
      <c r="R237" s="84" t="n"/>
      <c r="S237" s="84" t="n"/>
      <c r="T237" s="84" t="n"/>
      <c r="U237" s="84" t="n"/>
      <c r="V237" s="84" t="n"/>
      <c r="W237" s="84" t="n"/>
      <c r="X237" s="84" t="n"/>
      <c r="Y237" s="84" t="n"/>
      <c r="Z237" s="84" t="n"/>
      <c r="AA237" s="84" t="n"/>
      <c r="AB237" s="84" t="n"/>
      <c r="AC237" s="84" t="n"/>
      <c r="AD237" s="84" t="n"/>
      <c r="AE237" s="84" t="n"/>
      <c r="AF237" s="84" t="n"/>
      <c r="AG237" s="84" t="n"/>
      <c r="AH237" s="84" t="n"/>
      <c r="AI237" s="84" t="n"/>
      <c r="AJ237" s="84" t="n"/>
      <c r="AK237" s="84" t="n"/>
      <c r="AL237" s="84" t="n"/>
      <c r="AM237" s="84" t="n"/>
      <c r="AN237" s="84" t="n"/>
      <c r="AO237" s="84" t="n"/>
      <c r="AP237" s="84" t="n"/>
    </row>
    <row r="238" ht="15" customHeight="1" s="65">
      <c r="A238" s="84" t="n"/>
      <c r="B238" s="84" t="n"/>
      <c r="C238" s="84" t="n"/>
      <c r="D238" s="84" t="n"/>
      <c r="E238" s="84" t="n"/>
      <c r="F238" s="84" t="n"/>
      <c r="G238" s="84" t="n"/>
      <c r="H238" s="84" t="n"/>
      <c r="I238" s="84" t="n"/>
      <c r="J238" s="84" t="n"/>
      <c r="K238" s="84" t="n"/>
      <c r="L238" s="84" t="n"/>
      <c r="M238" s="84" t="n"/>
      <c r="N238" s="84" t="n"/>
      <c r="O238" s="84" t="n"/>
      <c r="P238" s="84" t="n"/>
      <c r="Q238" s="84" t="n"/>
      <c r="R238" s="84" t="n"/>
      <c r="S238" s="84" t="n"/>
      <c r="T238" s="84" t="n"/>
      <c r="U238" s="84" t="n"/>
      <c r="V238" s="84" t="n"/>
      <c r="W238" s="84" t="n"/>
      <c r="X238" s="84" t="n"/>
      <c r="Y238" s="84" t="n"/>
      <c r="Z238" s="84" t="n"/>
      <c r="AA238" s="84" t="n"/>
      <c r="AB238" s="84" t="n"/>
      <c r="AC238" s="84" t="n"/>
      <c r="AD238" s="84" t="n"/>
      <c r="AE238" s="84" t="n"/>
      <c r="AF238" s="84" t="n"/>
      <c r="AG238" s="84" t="n"/>
      <c r="AH238" s="84" t="n"/>
      <c r="AI238" s="84" t="n"/>
      <c r="AJ238" s="84" t="n"/>
      <c r="AK238" s="84" t="n"/>
      <c r="AL238" s="84" t="n"/>
      <c r="AM238" s="84" t="n"/>
      <c r="AN238" s="84" t="n"/>
      <c r="AO238" s="84" t="n"/>
      <c r="AP238" s="84" t="n"/>
    </row>
    <row r="239" ht="15" customHeight="1" s="65">
      <c r="A239" s="84" t="n"/>
      <c r="B239" s="84" t="n"/>
      <c r="C239" s="84" t="n"/>
      <c r="D239" s="84" t="n"/>
      <c r="E239" s="84" t="n"/>
      <c r="F239" s="84" t="n"/>
      <c r="G239" s="84" t="n"/>
      <c r="H239" s="84" t="n"/>
      <c r="I239" s="84" t="n"/>
      <c r="J239" s="84" t="n"/>
      <c r="K239" s="84" t="n"/>
      <c r="L239" s="84" t="n"/>
      <c r="M239" s="84" t="n"/>
      <c r="N239" s="84" t="n"/>
      <c r="O239" s="84" t="n"/>
      <c r="P239" s="84" t="n"/>
      <c r="Q239" s="84" t="n"/>
      <c r="R239" s="84" t="n"/>
      <c r="S239" s="84" t="n"/>
      <c r="T239" s="84" t="n"/>
      <c r="U239" s="84" t="n"/>
      <c r="V239" s="84" t="n"/>
      <c r="W239" s="84" t="n"/>
      <c r="X239" s="84" t="n"/>
      <c r="Y239" s="84" t="n"/>
      <c r="Z239" s="84" t="n"/>
      <c r="AA239" s="84" t="n"/>
      <c r="AB239" s="84" t="n"/>
      <c r="AC239" s="84" t="n"/>
      <c r="AD239" s="84" t="n"/>
      <c r="AE239" s="84" t="n"/>
      <c r="AF239" s="84" t="n"/>
      <c r="AG239" s="84" t="n"/>
      <c r="AH239" s="84" t="n"/>
      <c r="AI239" s="84" t="n"/>
      <c r="AJ239" s="84" t="n"/>
      <c r="AK239" s="84" t="n"/>
      <c r="AL239" s="84" t="n"/>
      <c r="AM239" s="84" t="n"/>
      <c r="AN239" s="84" t="n"/>
      <c r="AO239" s="84" t="n"/>
      <c r="AP239" s="84" t="n"/>
    </row>
    <row r="240" ht="15" customHeight="1" s="65">
      <c r="A240" s="84" t="n"/>
      <c r="B240" s="84" t="n"/>
      <c r="C240" s="84" t="n"/>
      <c r="D240" s="84" t="n"/>
      <c r="E240" s="84" t="n"/>
      <c r="F240" s="84" t="n"/>
      <c r="G240" s="84" t="n"/>
      <c r="H240" s="84" t="n"/>
      <c r="I240" s="84" t="n"/>
      <c r="J240" s="84" t="n"/>
      <c r="K240" s="84" t="n"/>
      <c r="L240" s="84" t="n"/>
      <c r="M240" s="84" t="n"/>
      <c r="N240" s="84" t="n"/>
      <c r="O240" s="84" t="n"/>
      <c r="P240" s="84" t="n"/>
      <c r="Q240" s="84" t="n"/>
      <c r="R240" s="84" t="n"/>
      <c r="S240" s="84" t="n"/>
      <c r="T240" s="84" t="n"/>
      <c r="U240" s="84" t="n"/>
      <c r="V240" s="84" t="n"/>
      <c r="W240" s="84" t="n"/>
      <c r="X240" s="84" t="n"/>
      <c r="Y240" s="84" t="n"/>
      <c r="Z240" s="84" t="n"/>
      <c r="AA240" s="84" t="n"/>
      <c r="AB240" s="84" t="n"/>
      <c r="AC240" s="84" t="n"/>
      <c r="AD240" s="84" t="n"/>
      <c r="AE240" s="84" t="n"/>
      <c r="AF240" s="84" t="n"/>
      <c r="AG240" s="84" t="n"/>
      <c r="AH240" s="84" t="n"/>
      <c r="AI240" s="84" t="n"/>
      <c r="AJ240" s="84" t="n"/>
      <c r="AK240" s="84" t="n"/>
      <c r="AL240" s="84" t="n"/>
      <c r="AM240" s="84" t="n"/>
      <c r="AN240" s="84" t="n"/>
      <c r="AO240" s="84" t="n"/>
      <c r="AP240" s="84" t="n"/>
    </row>
    <row r="241" ht="15" customHeight="1" s="65">
      <c r="A241" s="84" t="n"/>
      <c r="B241" s="84" t="n"/>
      <c r="C241" s="84" t="n"/>
      <c r="D241" s="84" t="n"/>
      <c r="E241" s="84" t="n"/>
      <c r="F241" s="84" t="n"/>
      <c r="G241" s="84" t="n"/>
      <c r="H241" s="84" t="n"/>
      <c r="I241" s="84" t="n"/>
      <c r="J241" s="84" t="n"/>
      <c r="K241" s="84" t="n"/>
      <c r="L241" s="84" t="n"/>
      <c r="M241" s="84" t="n"/>
      <c r="N241" s="84" t="n"/>
      <c r="O241" s="84" t="n"/>
      <c r="P241" s="84" t="n"/>
      <c r="Q241" s="84" t="n"/>
      <c r="R241" s="84" t="n"/>
      <c r="S241" s="84" t="n"/>
      <c r="T241" s="84" t="n"/>
      <c r="U241" s="84" t="n"/>
      <c r="V241" s="84" t="n"/>
      <c r="W241" s="84" t="n"/>
      <c r="X241" s="84" t="n"/>
      <c r="Y241" s="84" t="n"/>
      <c r="Z241" s="84" t="n"/>
      <c r="AA241" s="84" t="n"/>
      <c r="AB241" s="84" t="n"/>
      <c r="AC241" s="84" t="n"/>
      <c r="AD241" s="84" t="n"/>
      <c r="AE241" s="84" t="n"/>
      <c r="AF241" s="84" t="n"/>
      <c r="AG241" s="84" t="n"/>
      <c r="AH241" s="84" t="n"/>
      <c r="AI241" s="84" t="n"/>
      <c r="AJ241" s="84" t="n"/>
      <c r="AK241" s="84" t="n"/>
      <c r="AL241" s="84" t="n"/>
      <c r="AM241" s="84" t="n"/>
      <c r="AN241" s="84" t="n"/>
      <c r="AO241" s="84" t="n"/>
      <c r="AP241" s="84" t="n"/>
    </row>
    <row r="242" ht="15" customHeight="1" s="65">
      <c r="A242" s="84" t="n"/>
      <c r="B242" s="84" t="n"/>
      <c r="C242" s="84" t="n"/>
      <c r="D242" s="84" t="n"/>
      <c r="E242" s="84" t="n"/>
      <c r="F242" s="84" t="n"/>
      <c r="G242" s="84" t="n"/>
      <c r="H242" s="84" t="n"/>
      <c r="I242" s="84" t="n"/>
      <c r="J242" s="84" t="n"/>
      <c r="K242" s="84" t="n"/>
      <c r="L242" s="84" t="n"/>
      <c r="M242" s="84" t="n"/>
      <c r="N242" s="84" t="n"/>
      <c r="O242" s="84" t="n"/>
      <c r="P242" s="84" t="n"/>
      <c r="Q242" s="84" t="n"/>
      <c r="R242" s="84" t="n"/>
      <c r="S242" s="84" t="n"/>
      <c r="T242" s="84" t="n"/>
      <c r="U242" s="84" t="n"/>
      <c r="V242" s="84" t="n"/>
      <c r="W242" s="84" t="n"/>
      <c r="X242" s="84" t="n"/>
      <c r="Y242" s="84" t="n"/>
      <c r="Z242" s="84" t="n"/>
      <c r="AA242" s="84" t="n"/>
      <c r="AB242" s="84" t="n"/>
      <c r="AC242" s="84" t="n"/>
      <c r="AD242" s="84" t="n"/>
      <c r="AE242" s="84" t="n"/>
      <c r="AF242" s="84" t="n"/>
      <c r="AG242" s="84" t="n"/>
      <c r="AH242" s="84" t="n"/>
      <c r="AI242" s="84" t="n"/>
      <c r="AJ242" s="84" t="n"/>
      <c r="AK242" s="84" t="n"/>
      <c r="AL242" s="84" t="n"/>
      <c r="AM242" s="84" t="n"/>
      <c r="AN242" s="84" t="n"/>
      <c r="AO242" s="84" t="n"/>
      <c r="AP242" s="84" t="n"/>
    </row>
    <row r="243" ht="15" customHeight="1" s="65">
      <c r="A243" s="84" t="n"/>
      <c r="B243" s="84" t="n"/>
      <c r="C243" s="84" t="n"/>
      <c r="D243" s="84" t="n"/>
      <c r="E243" s="84" t="n"/>
      <c r="F243" s="84" t="n"/>
      <c r="G243" s="84" t="n"/>
      <c r="H243" s="84" t="n"/>
      <c r="I243" s="84" t="n"/>
      <c r="J243" s="84" t="n"/>
      <c r="K243" s="84" t="n"/>
      <c r="L243" s="84" t="n"/>
      <c r="M243" s="84" t="n"/>
      <c r="N243" s="84" t="n"/>
      <c r="O243" s="84" t="n"/>
      <c r="P243" s="84" t="n"/>
      <c r="Q243" s="84" t="n"/>
      <c r="R243" s="84" t="n"/>
      <c r="S243" s="84" t="n"/>
      <c r="T243" s="84" t="n"/>
      <c r="U243" s="84" t="n"/>
      <c r="V243" s="84" t="n"/>
      <c r="W243" s="84" t="n"/>
      <c r="X243" s="84" t="n"/>
      <c r="Y243" s="84" t="n"/>
      <c r="Z243" s="84" t="n"/>
      <c r="AA243" s="84" t="n"/>
      <c r="AB243" s="84" t="n"/>
      <c r="AC243" s="84" t="n"/>
      <c r="AD243" s="84" t="n"/>
      <c r="AE243" s="84" t="n"/>
      <c r="AF243" s="84" t="n"/>
      <c r="AG243" s="84" t="n"/>
      <c r="AH243" s="84" t="n"/>
      <c r="AI243" s="84" t="n"/>
      <c r="AJ243" s="84" t="n"/>
      <c r="AK243" s="84" t="n"/>
      <c r="AL243" s="84" t="n"/>
      <c r="AM243" s="84" t="n"/>
      <c r="AN243" s="84" t="n"/>
      <c r="AO243" s="84" t="n"/>
      <c r="AP243" s="84" t="n"/>
    </row>
    <row r="244" ht="15" customHeight="1" s="65">
      <c r="A244" s="84" t="n"/>
      <c r="B244" s="84" t="n"/>
      <c r="C244" s="84" t="n"/>
      <c r="D244" s="84" t="n"/>
      <c r="E244" s="84" t="n"/>
      <c r="F244" s="84" t="n"/>
      <c r="G244" s="84" t="n"/>
      <c r="H244" s="84" t="n"/>
      <c r="I244" s="84" t="n"/>
      <c r="J244" s="84" t="n"/>
      <c r="K244" s="84" t="n"/>
      <c r="L244" s="84" t="n"/>
      <c r="M244" s="84" t="n"/>
      <c r="N244" s="84" t="n"/>
      <c r="O244" s="84" t="n"/>
      <c r="P244" s="84" t="n"/>
      <c r="Q244" s="84" t="n"/>
      <c r="R244" s="84" t="n"/>
      <c r="S244" s="84" t="n"/>
      <c r="T244" s="84" t="n"/>
      <c r="U244" s="84" t="n"/>
      <c r="V244" s="84" t="n"/>
      <c r="W244" s="84" t="n"/>
      <c r="X244" s="84" t="n"/>
      <c r="Y244" s="84" t="n"/>
      <c r="Z244" s="84" t="n"/>
      <c r="AA244" s="84" t="n"/>
      <c r="AB244" s="84" t="n"/>
      <c r="AC244" s="84" t="n"/>
      <c r="AD244" s="84" t="n"/>
      <c r="AE244" s="84" t="n"/>
      <c r="AF244" s="84" t="n"/>
      <c r="AG244" s="84" t="n"/>
      <c r="AH244" s="84" t="n"/>
      <c r="AI244" s="84" t="n"/>
      <c r="AJ244" s="84" t="n"/>
      <c r="AK244" s="84" t="n"/>
      <c r="AL244" s="84" t="n"/>
      <c r="AM244" s="84" t="n"/>
      <c r="AN244" s="84" t="n"/>
      <c r="AO244" s="84" t="n"/>
      <c r="AP244" s="84" t="n"/>
    </row>
    <row r="245" ht="15" customHeight="1" s="65">
      <c r="A245" s="84" t="n"/>
      <c r="B245" s="84" t="n"/>
      <c r="C245" s="84" t="n"/>
      <c r="D245" s="84" t="n"/>
      <c r="E245" s="84" t="n"/>
      <c r="F245" s="84" t="n"/>
      <c r="G245" s="84" t="n"/>
      <c r="H245" s="84" t="n"/>
      <c r="I245" s="84" t="n"/>
      <c r="J245" s="84" t="n"/>
      <c r="K245" s="84" t="n"/>
      <c r="L245" s="84" t="n"/>
      <c r="M245" s="84" t="n"/>
      <c r="N245" s="84" t="n"/>
      <c r="O245" s="84" t="n"/>
      <c r="P245" s="84" t="n"/>
      <c r="Q245" s="84" t="n"/>
      <c r="R245" s="84" t="n"/>
      <c r="S245" s="84" t="n"/>
      <c r="T245" s="84" t="n"/>
      <c r="U245" s="84" t="n"/>
      <c r="V245" s="84" t="n"/>
      <c r="W245" s="84" t="n"/>
      <c r="X245" s="84" t="n"/>
      <c r="Y245" s="84" t="n"/>
      <c r="Z245" s="84" t="n"/>
      <c r="AA245" s="84" t="n"/>
      <c r="AB245" s="84" t="n"/>
      <c r="AC245" s="84" t="n"/>
      <c r="AD245" s="84" t="n"/>
      <c r="AE245" s="84" t="n"/>
      <c r="AF245" s="84" t="n"/>
      <c r="AG245" s="84" t="n"/>
      <c r="AH245" s="84" t="n"/>
      <c r="AI245" s="84" t="n"/>
      <c r="AJ245" s="84" t="n"/>
      <c r="AK245" s="84" t="n"/>
      <c r="AL245" s="84" t="n"/>
      <c r="AM245" s="84" t="n"/>
      <c r="AN245" s="84" t="n"/>
      <c r="AO245" s="84" t="n"/>
      <c r="AP245" s="84" t="n"/>
    </row>
    <row r="246" ht="15" customHeight="1" s="65">
      <c r="A246" s="84" t="n"/>
      <c r="B246" s="84" t="n"/>
      <c r="C246" s="84" t="n"/>
      <c r="D246" s="84" t="n"/>
      <c r="E246" s="84" t="n"/>
      <c r="F246" s="84" t="n"/>
      <c r="G246" s="84" t="n"/>
      <c r="H246" s="84" t="n"/>
      <c r="I246" s="84" t="n"/>
      <c r="J246" s="84" t="n"/>
      <c r="K246" s="84" t="n"/>
      <c r="L246" s="84" t="n"/>
      <c r="M246" s="84" t="n"/>
      <c r="N246" s="84" t="n"/>
      <c r="O246" s="84" t="n"/>
      <c r="P246" s="84" t="n"/>
      <c r="Q246" s="84" t="n"/>
      <c r="R246" s="84" t="n"/>
      <c r="S246" s="84" t="n"/>
      <c r="T246" s="84" t="n"/>
      <c r="U246" s="84" t="n"/>
      <c r="V246" s="84" t="n"/>
      <c r="W246" s="84" t="n"/>
      <c r="X246" s="84" t="n"/>
      <c r="Y246" s="84" t="n"/>
      <c r="Z246" s="84" t="n"/>
      <c r="AA246" s="84" t="n"/>
      <c r="AB246" s="84" t="n"/>
      <c r="AC246" s="84" t="n"/>
      <c r="AD246" s="84" t="n"/>
      <c r="AE246" s="84" t="n"/>
      <c r="AF246" s="84" t="n"/>
      <c r="AG246" s="84" t="n"/>
      <c r="AH246" s="84" t="n"/>
      <c r="AI246" s="84" t="n"/>
      <c r="AJ246" s="84" t="n"/>
      <c r="AK246" s="84" t="n"/>
      <c r="AL246" s="84" t="n"/>
      <c r="AM246" s="84" t="n"/>
      <c r="AN246" s="84" t="n"/>
      <c r="AO246" s="84" t="n"/>
      <c r="AP246" s="84" t="n"/>
    </row>
    <row r="247" ht="15" customHeight="1" s="65">
      <c r="A247" s="84" t="n"/>
      <c r="B247" s="84" t="n"/>
      <c r="C247" s="84" t="n"/>
      <c r="D247" s="84" t="n"/>
      <c r="E247" s="84" t="n"/>
      <c r="F247" s="84" t="n"/>
      <c r="G247" s="84" t="n"/>
      <c r="H247" s="84" t="n"/>
      <c r="I247" s="84" t="n"/>
      <c r="J247" s="84" t="n"/>
      <c r="K247" s="84" t="n"/>
      <c r="L247" s="84" t="n"/>
      <c r="M247" s="84" t="n"/>
      <c r="N247" s="84" t="n"/>
      <c r="O247" s="84" t="n"/>
      <c r="P247" s="84" t="n"/>
      <c r="Q247" s="84" t="n"/>
      <c r="R247" s="84" t="n"/>
      <c r="S247" s="84" t="n"/>
      <c r="T247" s="84" t="n"/>
      <c r="U247" s="84" t="n"/>
      <c r="V247" s="84" t="n"/>
      <c r="W247" s="84" t="n"/>
      <c r="X247" s="84" t="n"/>
      <c r="Y247" s="84" t="n"/>
      <c r="Z247" s="84" t="n"/>
      <c r="AA247" s="84" t="n"/>
      <c r="AB247" s="84" t="n"/>
      <c r="AC247" s="84" t="n"/>
      <c r="AD247" s="84" t="n"/>
      <c r="AE247" s="84" t="n"/>
      <c r="AF247" s="84" t="n"/>
      <c r="AG247" s="84" t="n"/>
      <c r="AH247" s="84" t="n"/>
      <c r="AI247" s="84" t="n"/>
      <c r="AJ247" s="84" t="n"/>
      <c r="AK247" s="84" t="n"/>
      <c r="AL247" s="84" t="n"/>
      <c r="AM247" s="84" t="n"/>
      <c r="AN247" s="84" t="n"/>
      <c r="AO247" s="84" t="n"/>
      <c r="AP247" s="84" t="n"/>
    </row>
    <row r="248" ht="15" customHeight="1" s="65">
      <c r="A248" s="84" t="n"/>
      <c r="B248" s="84" t="n"/>
      <c r="C248" s="84" t="n"/>
      <c r="D248" s="84" t="n"/>
      <c r="E248" s="84" t="n"/>
      <c r="F248" s="84" t="n"/>
      <c r="G248" s="84" t="n"/>
      <c r="H248" s="84" t="n"/>
      <c r="I248" s="84" t="n"/>
      <c r="J248" s="84" t="n"/>
      <c r="K248" s="84" t="n"/>
      <c r="L248" s="84" t="n"/>
      <c r="M248" s="84" t="n"/>
      <c r="N248" s="84" t="n"/>
      <c r="O248" s="84" t="n"/>
      <c r="P248" s="84" t="n"/>
      <c r="Q248" s="84" t="n"/>
      <c r="R248" s="84" t="n"/>
      <c r="S248" s="84" t="n"/>
      <c r="T248" s="84" t="n"/>
      <c r="U248" s="84" t="n"/>
      <c r="V248" s="84" t="n"/>
      <c r="W248" s="84" t="n"/>
      <c r="X248" s="84" t="n"/>
      <c r="Y248" s="84" t="n"/>
      <c r="Z248" s="84" t="n"/>
      <c r="AA248" s="84" t="n"/>
      <c r="AB248" s="84" t="n"/>
      <c r="AC248" s="84" t="n"/>
      <c r="AD248" s="84" t="n"/>
      <c r="AE248" s="84" t="n"/>
      <c r="AF248" s="84" t="n"/>
      <c r="AG248" s="84" t="n"/>
      <c r="AH248" s="84" t="n"/>
      <c r="AI248" s="84" t="n"/>
      <c r="AJ248" s="84" t="n"/>
      <c r="AK248" s="84" t="n"/>
      <c r="AL248" s="84" t="n"/>
      <c r="AM248" s="84" t="n"/>
      <c r="AN248" s="84" t="n"/>
      <c r="AO248" s="84" t="n"/>
      <c r="AP248" s="84" t="n"/>
    </row>
    <row r="249" ht="15" customHeight="1" s="65">
      <c r="A249" s="84" t="n"/>
      <c r="B249" s="84" t="n"/>
      <c r="C249" s="84" t="n"/>
      <c r="D249" s="84" t="n"/>
      <c r="E249" s="84" t="n"/>
      <c r="F249" s="84" t="n"/>
      <c r="G249" s="84" t="n"/>
      <c r="H249" s="84" t="n"/>
      <c r="I249" s="84" t="n"/>
      <c r="J249" s="84" t="n"/>
      <c r="K249" s="84" t="n"/>
      <c r="L249" s="84" t="n"/>
      <c r="M249" s="84" t="n"/>
      <c r="N249" s="84" t="n"/>
      <c r="O249" s="84" t="n"/>
      <c r="P249" s="84" t="n"/>
      <c r="Q249" s="84" t="n"/>
      <c r="R249" s="84" t="n"/>
      <c r="S249" s="84" t="n"/>
      <c r="T249" s="84" t="n"/>
      <c r="U249" s="84" t="n"/>
      <c r="V249" s="84" t="n"/>
      <c r="W249" s="84" t="n"/>
      <c r="X249" s="84" t="n"/>
      <c r="Y249" s="84" t="n"/>
      <c r="Z249" s="84" t="n"/>
      <c r="AA249" s="84" t="n"/>
      <c r="AB249" s="84" t="n"/>
      <c r="AC249" s="84" t="n"/>
      <c r="AD249" s="84" t="n"/>
      <c r="AE249" s="84" t="n"/>
      <c r="AF249" s="84" t="n"/>
      <c r="AG249" s="84" t="n"/>
      <c r="AH249" s="84" t="n"/>
      <c r="AI249" s="84" t="n"/>
      <c r="AJ249" s="84" t="n"/>
      <c r="AK249" s="84" t="n"/>
      <c r="AL249" s="84" t="n"/>
      <c r="AM249" s="84" t="n"/>
      <c r="AN249" s="84" t="n"/>
      <c r="AO249" s="84" t="n"/>
      <c r="AP249" s="84" t="n"/>
    </row>
    <row r="250" ht="15" customHeight="1" s="65">
      <c r="A250" s="84" t="n"/>
      <c r="B250" s="84" t="n"/>
      <c r="C250" s="84" t="n"/>
      <c r="D250" s="84" t="n"/>
      <c r="E250" s="84" t="n"/>
      <c r="F250" s="84" t="n"/>
      <c r="G250" s="84" t="n"/>
      <c r="H250" s="84" t="n"/>
      <c r="I250" s="84" t="n"/>
      <c r="J250" s="84" t="n"/>
      <c r="K250" s="84" t="n"/>
      <c r="L250" s="84" t="n"/>
      <c r="M250" s="84" t="n"/>
      <c r="N250" s="84" t="n"/>
      <c r="O250" s="84" t="n"/>
      <c r="P250" s="84" t="n"/>
      <c r="Q250" s="84" t="n"/>
      <c r="R250" s="84" t="n"/>
      <c r="S250" s="84" t="n"/>
      <c r="T250" s="84" t="n"/>
      <c r="U250" s="84" t="n"/>
      <c r="V250" s="84" t="n"/>
      <c r="W250" s="84" t="n"/>
      <c r="X250" s="84" t="n"/>
      <c r="Y250" s="84" t="n"/>
      <c r="Z250" s="84" t="n"/>
      <c r="AA250" s="84" t="n"/>
      <c r="AB250" s="84" t="n"/>
      <c r="AC250" s="84" t="n"/>
      <c r="AD250" s="84" t="n"/>
      <c r="AE250" s="84" t="n"/>
      <c r="AF250" s="84" t="n"/>
      <c r="AG250" s="84" t="n"/>
      <c r="AH250" s="84" t="n"/>
      <c r="AI250" s="84" t="n"/>
      <c r="AJ250" s="84" t="n"/>
      <c r="AK250" s="84" t="n"/>
      <c r="AL250" s="84" t="n"/>
      <c r="AM250" s="84" t="n"/>
      <c r="AN250" s="84" t="n"/>
      <c r="AO250" s="84" t="n"/>
      <c r="AP250" s="84" t="n"/>
    </row>
    <row r="251" ht="15" customHeight="1" s="65">
      <c r="A251" s="84" t="n"/>
      <c r="B251" s="84" t="n"/>
      <c r="C251" s="84" t="n"/>
      <c r="D251" s="84" t="n"/>
      <c r="E251" s="84" t="n"/>
      <c r="F251" s="84" t="n"/>
      <c r="G251" s="84" t="n"/>
      <c r="H251" s="84" t="n"/>
      <c r="I251" s="84" t="n"/>
      <c r="J251" s="84" t="n"/>
      <c r="K251" s="84" t="n"/>
      <c r="L251" s="84" t="n"/>
      <c r="M251" s="84" t="n"/>
      <c r="N251" s="84" t="n"/>
      <c r="O251" s="84" t="n"/>
      <c r="P251" s="84" t="n"/>
      <c r="Q251" s="84" t="n"/>
      <c r="R251" s="84" t="n"/>
      <c r="S251" s="84" t="n"/>
      <c r="T251" s="84" t="n"/>
      <c r="U251" s="84" t="n"/>
      <c r="V251" s="84" t="n"/>
      <c r="W251" s="84" t="n"/>
      <c r="X251" s="84" t="n"/>
      <c r="Y251" s="84" t="n"/>
      <c r="Z251" s="84" t="n"/>
      <c r="AA251" s="84" t="n"/>
      <c r="AB251" s="84" t="n"/>
      <c r="AC251" s="84" t="n"/>
      <c r="AD251" s="84" t="n"/>
      <c r="AE251" s="84" t="n"/>
      <c r="AF251" s="84" t="n"/>
      <c r="AG251" s="84" t="n"/>
      <c r="AH251" s="84" t="n"/>
      <c r="AI251" s="84" t="n"/>
      <c r="AJ251" s="84" t="n"/>
      <c r="AK251" s="84" t="n"/>
      <c r="AL251" s="84" t="n"/>
      <c r="AM251" s="84" t="n"/>
      <c r="AN251" s="84" t="n"/>
      <c r="AO251" s="84" t="n"/>
      <c r="AP251" s="84" t="n"/>
    </row>
    <row r="252" ht="15" customHeight="1" s="65">
      <c r="A252" s="84" t="n"/>
      <c r="B252" s="84" t="n"/>
      <c r="C252" s="84" t="n"/>
      <c r="D252" s="84" t="n"/>
      <c r="E252" s="84" t="n"/>
      <c r="F252" s="84" t="n"/>
      <c r="G252" s="84" t="n"/>
      <c r="H252" s="84" t="n"/>
      <c r="I252" s="84" t="n"/>
      <c r="J252" s="84" t="n"/>
      <c r="K252" s="84" t="n"/>
      <c r="L252" s="84" t="n"/>
      <c r="M252" s="84" t="n"/>
      <c r="N252" s="84" t="n"/>
      <c r="O252" s="84" t="n"/>
      <c r="P252" s="84" t="n"/>
      <c r="Q252" s="84" t="n"/>
      <c r="R252" s="84" t="n"/>
      <c r="S252" s="84" t="n"/>
      <c r="T252" s="84" t="n"/>
      <c r="U252" s="84" t="n"/>
      <c r="V252" s="84" t="n"/>
      <c r="W252" s="84" t="n"/>
      <c r="X252" s="84" t="n"/>
      <c r="Y252" s="84" t="n"/>
      <c r="Z252" s="84" t="n"/>
      <c r="AA252" s="84" t="n"/>
      <c r="AB252" s="84" t="n"/>
      <c r="AC252" s="84" t="n"/>
      <c r="AD252" s="84" t="n"/>
      <c r="AE252" s="84" t="n"/>
      <c r="AF252" s="84" t="n"/>
      <c r="AG252" s="84" t="n"/>
      <c r="AH252" s="84" t="n"/>
      <c r="AI252" s="84" t="n"/>
      <c r="AJ252" s="84" t="n"/>
      <c r="AK252" s="84" t="n"/>
      <c r="AL252" s="84" t="n"/>
      <c r="AM252" s="84" t="n"/>
      <c r="AN252" s="84" t="n"/>
      <c r="AO252" s="84" t="n"/>
      <c r="AP252" s="84" t="n"/>
    </row>
    <row r="253" ht="15" customHeight="1" s="65">
      <c r="A253" s="84" t="n"/>
      <c r="B253" s="84" t="n"/>
      <c r="C253" s="84" t="n"/>
      <c r="D253" s="84" t="n"/>
      <c r="E253" s="84" t="n"/>
      <c r="F253" s="84" t="n"/>
      <c r="G253" s="84" t="n"/>
      <c r="H253" s="84" t="n"/>
      <c r="I253" s="84" t="n"/>
      <c r="J253" s="84" t="n"/>
      <c r="K253" s="84" t="n"/>
      <c r="L253" s="84" t="n"/>
      <c r="M253" s="84" t="n"/>
      <c r="N253" s="84" t="n"/>
      <c r="O253" s="84" t="n"/>
      <c r="P253" s="84" t="n"/>
      <c r="Q253" s="84" t="n"/>
      <c r="R253" s="84" t="n"/>
      <c r="S253" s="84" t="n"/>
      <c r="T253" s="84" t="n"/>
      <c r="U253" s="84" t="n"/>
      <c r="V253" s="84" t="n"/>
      <c r="W253" s="84" t="n"/>
      <c r="X253" s="84" t="n"/>
      <c r="Y253" s="84" t="n"/>
      <c r="Z253" s="84" t="n"/>
      <c r="AA253" s="84" t="n"/>
      <c r="AB253" s="84" t="n"/>
      <c r="AC253" s="84" t="n"/>
      <c r="AD253" s="84" t="n"/>
      <c r="AE253" s="84" t="n"/>
      <c r="AF253" s="84" t="n"/>
      <c r="AG253" s="84" t="n"/>
      <c r="AH253" s="84" t="n"/>
      <c r="AI253" s="84" t="n"/>
      <c r="AJ253" s="84" t="n"/>
      <c r="AK253" s="84" t="n"/>
      <c r="AL253" s="84" t="n"/>
      <c r="AM253" s="84" t="n"/>
      <c r="AN253" s="84" t="n"/>
      <c r="AO253" s="84" t="n"/>
      <c r="AP253" s="84" t="n"/>
    </row>
    <row r="254" ht="15" customHeight="1" s="65">
      <c r="A254" s="84" t="n"/>
      <c r="B254" s="84" t="n"/>
      <c r="C254" s="84" t="n"/>
      <c r="D254" s="84" t="n"/>
      <c r="E254" s="84" t="n"/>
      <c r="F254" s="84" t="n"/>
      <c r="G254" s="84" t="n"/>
      <c r="H254" s="84" t="n"/>
      <c r="I254" s="84" t="n"/>
      <c r="J254" s="84" t="n"/>
      <c r="K254" s="84" t="n"/>
      <c r="L254" s="84" t="n"/>
      <c r="M254" s="84" t="n"/>
      <c r="N254" s="84" t="n"/>
      <c r="O254" s="84" t="n"/>
      <c r="P254" s="84" t="n"/>
      <c r="Q254" s="84" t="n"/>
      <c r="R254" s="84" t="n"/>
      <c r="S254" s="84" t="n"/>
      <c r="T254" s="84" t="n"/>
      <c r="U254" s="84" t="n"/>
      <c r="V254" s="84" t="n"/>
      <c r="W254" s="84" t="n"/>
      <c r="X254" s="84" t="n"/>
      <c r="Y254" s="84" t="n"/>
      <c r="Z254" s="84" t="n"/>
      <c r="AA254" s="84" t="n"/>
      <c r="AB254" s="84" t="n"/>
      <c r="AC254" s="84" t="n"/>
      <c r="AD254" s="84" t="n"/>
      <c r="AE254" s="84" t="n"/>
      <c r="AF254" s="84" t="n"/>
      <c r="AG254" s="84" t="n"/>
      <c r="AH254" s="84" t="n"/>
      <c r="AI254" s="84" t="n"/>
      <c r="AJ254" s="84" t="n"/>
      <c r="AK254" s="84" t="n"/>
      <c r="AL254" s="84" t="n"/>
      <c r="AM254" s="84" t="n"/>
      <c r="AN254" s="84" t="n"/>
      <c r="AO254" s="84" t="n"/>
      <c r="AP254" s="84" t="n"/>
    </row>
    <row r="255" ht="15" customHeight="1" s="65">
      <c r="A255" s="84" t="n"/>
      <c r="B255" s="84" t="n"/>
      <c r="C255" s="84" t="n"/>
      <c r="D255" s="84" t="n"/>
      <c r="E255" s="84" t="n"/>
      <c r="F255" s="84" t="n"/>
      <c r="G255" s="84" t="n"/>
      <c r="H255" s="84" t="n"/>
      <c r="I255" s="84" t="n"/>
      <c r="J255" s="84" t="n"/>
      <c r="K255" s="84" t="n"/>
      <c r="L255" s="84" t="n"/>
      <c r="M255" s="84" t="n"/>
      <c r="N255" s="84" t="n"/>
      <c r="O255" s="84" t="n"/>
      <c r="P255" s="84" t="n"/>
      <c r="Q255" s="84" t="n"/>
      <c r="R255" s="84" t="n"/>
      <c r="S255" s="84" t="n"/>
      <c r="T255" s="84" t="n"/>
      <c r="U255" s="84" t="n"/>
      <c r="V255" s="84" t="n"/>
      <c r="W255" s="84" t="n"/>
      <c r="X255" s="84" t="n"/>
      <c r="Y255" s="84" t="n"/>
      <c r="Z255" s="84" t="n"/>
      <c r="AA255" s="84" t="n"/>
      <c r="AB255" s="84" t="n"/>
      <c r="AC255" s="84" t="n"/>
      <c r="AD255" s="84" t="n"/>
      <c r="AE255" s="84" t="n"/>
      <c r="AF255" s="84" t="n"/>
      <c r="AG255" s="84" t="n"/>
      <c r="AH255" s="84" t="n"/>
      <c r="AI255" s="84" t="n"/>
      <c r="AJ255" s="84" t="n"/>
      <c r="AK255" s="84" t="n"/>
      <c r="AL255" s="84" t="n"/>
      <c r="AM255" s="84" t="n"/>
      <c r="AN255" s="84" t="n"/>
      <c r="AO255" s="84" t="n"/>
      <c r="AP255" s="84" t="n"/>
    </row>
    <row r="256" ht="15" customHeight="1" s="65">
      <c r="A256" s="84" t="n"/>
      <c r="B256" s="84" t="n"/>
      <c r="C256" s="84" t="n"/>
      <c r="D256" s="84" t="n"/>
      <c r="E256" s="84" t="n"/>
      <c r="F256" s="84" t="n"/>
      <c r="G256" s="84" t="n"/>
      <c r="H256" s="84" t="n"/>
      <c r="I256" s="84" t="n"/>
      <c r="J256" s="84" t="n"/>
      <c r="K256" s="84" t="n"/>
      <c r="L256" s="84" t="n"/>
      <c r="M256" s="84" t="n"/>
      <c r="N256" s="84" t="n"/>
      <c r="O256" s="84" t="n"/>
      <c r="P256" s="84" t="n"/>
      <c r="Q256" s="84" t="n"/>
      <c r="R256" s="84" t="n"/>
      <c r="S256" s="84" t="n"/>
      <c r="T256" s="84" t="n"/>
      <c r="U256" s="84" t="n"/>
      <c r="V256" s="84" t="n"/>
      <c r="W256" s="84" t="n"/>
      <c r="X256" s="84" t="n"/>
      <c r="Y256" s="84" t="n"/>
      <c r="Z256" s="84" t="n"/>
      <c r="AA256" s="84" t="n"/>
      <c r="AB256" s="84" t="n"/>
      <c r="AC256" s="84" t="n"/>
      <c r="AD256" s="84" t="n"/>
      <c r="AE256" s="84" t="n"/>
      <c r="AF256" s="84" t="n"/>
      <c r="AG256" s="84" t="n"/>
      <c r="AH256" s="84" t="n"/>
      <c r="AI256" s="84" t="n"/>
      <c r="AJ256" s="84" t="n"/>
      <c r="AK256" s="84" t="n"/>
      <c r="AL256" s="84" t="n"/>
      <c r="AM256" s="84" t="n"/>
      <c r="AN256" s="84" t="n"/>
      <c r="AO256" s="84" t="n"/>
      <c r="AP256" s="84" t="n"/>
    </row>
    <row r="257" ht="15" customHeight="1" s="65">
      <c r="A257" s="84" t="n"/>
      <c r="B257" s="84" t="n"/>
      <c r="C257" s="84" t="n"/>
      <c r="D257" s="84" t="n"/>
      <c r="E257" s="84" t="n"/>
      <c r="F257" s="84" t="n"/>
      <c r="G257" s="84" t="n"/>
      <c r="H257" s="84" t="n"/>
      <c r="I257" s="84" t="n"/>
      <c r="J257" s="84" t="n"/>
      <c r="K257" s="84" t="n"/>
      <c r="L257" s="84" t="n"/>
      <c r="M257" s="84" t="n"/>
      <c r="N257" s="84" t="n"/>
      <c r="O257" s="84" t="n"/>
      <c r="P257" s="84" t="n"/>
      <c r="Q257" s="84" t="n"/>
      <c r="R257" s="84" t="n"/>
      <c r="S257" s="84" t="n"/>
      <c r="T257" s="84" t="n"/>
      <c r="U257" s="84" t="n"/>
      <c r="V257" s="84" t="n"/>
      <c r="W257" s="84" t="n"/>
      <c r="X257" s="84" t="n"/>
      <c r="Y257" s="84" t="n"/>
      <c r="Z257" s="84" t="n"/>
      <c r="AA257" s="84" t="n"/>
      <c r="AB257" s="84" t="n"/>
      <c r="AC257" s="84" t="n"/>
      <c r="AD257" s="84" t="n"/>
      <c r="AE257" s="84" t="n"/>
      <c r="AF257" s="84" t="n"/>
      <c r="AG257" s="84" t="n"/>
      <c r="AH257" s="84" t="n"/>
      <c r="AI257" s="84" t="n"/>
      <c r="AJ257" s="84" t="n"/>
      <c r="AK257" s="84" t="n"/>
      <c r="AL257" s="84" t="n"/>
      <c r="AM257" s="84" t="n"/>
      <c r="AN257" s="84" t="n"/>
      <c r="AO257" s="84" t="n"/>
      <c r="AP257" s="84" t="n"/>
    </row>
    <row r="258" ht="15" customHeight="1" s="65">
      <c r="A258" s="84" t="n"/>
      <c r="B258" s="84" t="n"/>
      <c r="C258" s="84" t="n"/>
      <c r="D258" s="84" t="n"/>
      <c r="E258" s="84" t="n"/>
      <c r="F258" s="84" t="n"/>
      <c r="G258" s="84" t="n"/>
      <c r="H258" s="84" t="n"/>
      <c r="I258" s="84" t="n"/>
      <c r="J258" s="84" t="n"/>
      <c r="K258" s="84" t="n"/>
      <c r="L258" s="84" t="n"/>
      <c r="M258" s="84" t="n"/>
      <c r="N258" s="84" t="n"/>
      <c r="O258" s="84" t="n"/>
      <c r="P258" s="84" t="n"/>
      <c r="Q258" s="84" t="n"/>
      <c r="R258" s="84" t="n"/>
      <c r="S258" s="84" t="n"/>
      <c r="T258" s="84" t="n"/>
      <c r="U258" s="84" t="n"/>
      <c r="V258" s="84" t="n"/>
      <c r="W258" s="84" t="n"/>
      <c r="X258" s="84" t="n"/>
      <c r="Y258" s="84" t="n"/>
      <c r="Z258" s="84" t="n"/>
      <c r="AA258" s="84" t="n"/>
      <c r="AB258" s="84" t="n"/>
      <c r="AC258" s="84" t="n"/>
      <c r="AD258" s="84" t="n"/>
      <c r="AE258" s="84" t="n"/>
      <c r="AF258" s="84" t="n"/>
      <c r="AG258" s="84" t="n"/>
      <c r="AH258" s="84" t="n"/>
      <c r="AI258" s="84" t="n"/>
      <c r="AJ258" s="84" t="n"/>
      <c r="AK258" s="84" t="n"/>
      <c r="AL258" s="84" t="n"/>
      <c r="AM258" s="84" t="n"/>
      <c r="AN258" s="84" t="n"/>
      <c r="AO258" s="84" t="n"/>
      <c r="AP258" s="84" t="n"/>
    </row>
    <row r="259" ht="15" customHeight="1" s="65">
      <c r="A259" s="84" t="n"/>
      <c r="B259" s="84" t="n"/>
      <c r="C259" s="84" t="n"/>
      <c r="D259" s="84" t="n"/>
      <c r="E259" s="84" t="n"/>
      <c r="F259" s="84" t="n"/>
      <c r="G259" s="84" t="n"/>
      <c r="H259" s="84" t="n"/>
      <c r="I259" s="84" t="n"/>
      <c r="J259" s="84" t="n"/>
      <c r="K259" s="84" t="n"/>
      <c r="L259" s="84" t="n"/>
      <c r="M259" s="84" t="n"/>
      <c r="N259" s="84" t="n"/>
      <c r="O259" s="84" t="n"/>
      <c r="P259" s="84" t="n"/>
      <c r="Q259" s="84" t="n"/>
      <c r="R259" s="84" t="n"/>
      <c r="S259" s="84" t="n"/>
      <c r="T259" s="84" t="n"/>
      <c r="U259" s="84" t="n"/>
      <c r="V259" s="84" t="n"/>
      <c r="W259" s="84" t="n"/>
      <c r="X259" s="84" t="n"/>
      <c r="Y259" s="84" t="n"/>
      <c r="Z259" s="84" t="n"/>
      <c r="AA259" s="84" t="n"/>
      <c r="AB259" s="84" t="n"/>
      <c r="AC259" s="84" t="n"/>
      <c r="AD259" s="84" t="n"/>
      <c r="AE259" s="84" t="n"/>
      <c r="AF259" s="84" t="n"/>
      <c r="AG259" s="84" t="n"/>
      <c r="AH259" s="84" t="n"/>
      <c r="AI259" s="84" t="n"/>
      <c r="AJ259" s="84" t="n"/>
      <c r="AK259" s="84" t="n"/>
      <c r="AL259" s="84" t="n"/>
      <c r="AM259" s="84" t="n"/>
      <c r="AN259" s="84" t="n"/>
      <c r="AO259" s="84" t="n"/>
      <c r="AP259" s="84" t="n"/>
    </row>
    <row r="260" ht="15" customHeight="1" s="65">
      <c r="A260" s="84" t="n"/>
      <c r="B260" s="84" t="n"/>
      <c r="C260" s="84" t="n"/>
      <c r="D260" s="84" t="n"/>
      <c r="E260" s="84" t="n"/>
      <c r="F260" s="84" t="n"/>
      <c r="G260" s="84" t="n"/>
      <c r="H260" s="84" t="n"/>
      <c r="I260" s="84" t="n"/>
      <c r="J260" s="84" t="n"/>
      <c r="K260" s="84" t="n"/>
      <c r="L260" s="84" t="n"/>
      <c r="M260" s="84" t="n"/>
      <c r="N260" s="84" t="n"/>
      <c r="O260" s="84" t="n"/>
      <c r="P260" s="84" t="n"/>
      <c r="Q260" s="84" t="n"/>
      <c r="R260" s="84" t="n"/>
      <c r="S260" s="84" t="n"/>
      <c r="T260" s="84" t="n"/>
      <c r="U260" s="84" t="n"/>
      <c r="V260" s="84" t="n"/>
      <c r="W260" s="84" t="n"/>
      <c r="X260" s="84" t="n"/>
      <c r="Y260" s="84" t="n"/>
      <c r="Z260" s="84" t="n"/>
      <c r="AA260" s="84" t="n"/>
      <c r="AB260" s="84" t="n"/>
      <c r="AC260" s="84" t="n"/>
      <c r="AD260" s="84" t="n"/>
      <c r="AE260" s="84" t="n"/>
      <c r="AF260" s="84" t="n"/>
      <c r="AG260" s="84" t="n"/>
      <c r="AH260" s="84" t="n"/>
      <c r="AI260" s="84" t="n"/>
      <c r="AJ260" s="84" t="n"/>
      <c r="AK260" s="84" t="n"/>
      <c r="AL260" s="84" t="n"/>
      <c r="AM260" s="84" t="n"/>
      <c r="AN260" s="84" t="n"/>
      <c r="AO260" s="84" t="n"/>
      <c r="AP260" s="84" t="n"/>
    </row>
    <row r="261" ht="15" customHeight="1" s="65">
      <c r="A261" s="84" t="n"/>
      <c r="B261" s="84" t="n"/>
      <c r="C261" s="84" t="n"/>
      <c r="D261" s="84" t="n"/>
      <c r="E261" s="84" t="n"/>
      <c r="F261" s="84" t="n"/>
      <c r="G261" s="84" t="n"/>
      <c r="H261" s="84" t="n"/>
      <c r="I261" s="84" t="n"/>
      <c r="J261" s="84" t="n"/>
      <c r="K261" s="84" t="n"/>
      <c r="L261" s="84" t="n"/>
      <c r="M261" s="84" t="n"/>
      <c r="N261" s="84" t="n"/>
      <c r="O261" s="84" t="n"/>
      <c r="P261" s="84" t="n"/>
      <c r="Q261" s="84" t="n"/>
      <c r="R261" s="84" t="n"/>
      <c r="S261" s="84" t="n"/>
      <c r="T261" s="84" t="n"/>
      <c r="U261" s="84" t="n"/>
      <c r="V261" s="84" t="n"/>
      <c r="W261" s="84" t="n"/>
      <c r="X261" s="84" t="n"/>
      <c r="Y261" s="84" t="n"/>
      <c r="Z261" s="84" t="n"/>
      <c r="AA261" s="84" t="n"/>
      <c r="AB261" s="84" t="n"/>
      <c r="AC261" s="84" t="n"/>
      <c r="AD261" s="84" t="n"/>
      <c r="AE261" s="84" t="n"/>
      <c r="AF261" s="84" t="n"/>
      <c r="AG261" s="84" t="n"/>
      <c r="AH261" s="84" t="n"/>
      <c r="AI261" s="84" t="n"/>
      <c r="AJ261" s="84" t="n"/>
      <c r="AK261" s="84" t="n"/>
      <c r="AL261" s="84" t="n"/>
      <c r="AM261" s="84" t="n"/>
      <c r="AN261" s="84" t="n"/>
      <c r="AO261" s="84" t="n"/>
      <c r="AP261" s="84" t="n"/>
    </row>
    <row r="262" ht="15" customHeight="1" s="65">
      <c r="A262" s="84" t="n"/>
      <c r="B262" s="84" t="n"/>
      <c r="C262" s="84" t="n"/>
      <c r="D262" s="84" t="n"/>
      <c r="E262" s="84" t="n"/>
      <c r="F262" s="84" t="n"/>
      <c r="G262" s="84" t="n"/>
      <c r="H262" s="84" t="n"/>
      <c r="I262" s="84" t="n"/>
      <c r="J262" s="84" t="n"/>
      <c r="K262" s="84" t="n"/>
      <c r="L262" s="84" t="n"/>
      <c r="M262" s="84" t="n"/>
      <c r="N262" s="84" t="n"/>
      <c r="O262" s="84" t="n"/>
      <c r="P262" s="84" t="n"/>
      <c r="Q262" s="84" t="n"/>
      <c r="R262" s="84" t="n"/>
      <c r="S262" s="84" t="n"/>
      <c r="T262" s="84" t="n"/>
      <c r="U262" s="84" t="n"/>
      <c r="V262" s="84" t="n"/>
      <c r="W262" s="84" t="n"/>
      <c r="X262" s="84" t="n"/>
      <c r="Y262" s="84" t="n"/>
      <c r="Z262" s="84" t="n"/>
      <c r="AA262" s="84" t="n"/>
      <c r="AB262" s="84" t="n"/>
      <c r="AC262" s="84" t="n"/>
      <c r="AD262" s="84" t="n"/>
      <c r="AE262" s="84" t="n"/>
      <c r="AF262" s="84" t="n"/>
      <c r="AG262" s="84" t="n"/>
      <c r="AH262" s="84" t="n"/>
      <c r="AI262" s="84" t="n"/>
      <c r="AJ262" s="84" t="n"/>
      <c r="AK262" s="84" t="n"/>
      <c r="AL262" s="84" t="n"/>
      <c r="AM262" s="84" t="n"/>
      <c r="AN262" s="84" t="n"/>
      <c r="AO262" s="84" t="n"/>
      <c r="AP262" s="84" t="n"/>
    </row>
    <row r="263" ht="15" customHeight="1" s="65">
      <c r="A263" s="84" t="n"/>
      <c r="B263" s="84" t="n"/>
      <c r="C263" s="84" t="n"/>
      <c r="D263" s="84" t="n"/>
      <c r="E263" s="84" t="n"/>
      <c r="F263" s="84" t="n"/>
      <c r="G263" s="84" t="n"/>
      <c r="H263" s="84" t="n"/>
      <c r="I263" s="84" t="n"/>
      <c r="J263" s="84" t="n"/>
      <c r="K263" s="84" t="n"/>
      <c r="L263" s="84" t="n"/>
      <c r="M263" s="84" t="n"/>
      <c r="N263" s="84" t="n"/>
      <c r="O263" s="84" t="n"/>
      <c r="P263" s="84" t="n"/>
      <c r="Q263" s="84" t="n"/>
      <c r="R263" s="84" t="n"/>
      <c r="S263" s="84" t="n"/>
      <c r="T263" s="84" t="n"/>
      <c r="U263" s="84" t="n"/>
      <c r="V263" s="84" t="n"/>
      <c r="W263" s="84" t="n"/>
      <c r="X263" s="84" t="n"/>
      <c r="Y263" s="84" t="n"/>
      <c r="Z263" s="84" t="n"/>
      <c r="AA263" s="84" t="n"/>
      <c r="AB263" s="84" t="n"/>
      <c r="AC263" s="84" t="n"/>
      <c r="AD263" s="84" t="n"/>
      <c r="AE263" s="84" t="n"/>
      <c r="AF263" s="84" t="n"/>
      <c r="AG263" s="84" t="n"/>
      <c r="AH263" s="84" t="n"/>
      <c r="AI263" s="84" t="n"/>
      <c r="AJ263" s="84" t="n"/>
      <c r="AK263" s="84" t="n"/>
      <c r="AL263" s="84" t="n"/>
      <c r="AM263" s="84" t="n"/>
      <c r="AN263" s="84" t="n"/>
      <c r="AO263" s="84" t="n"/>
      <c r="AP263" s="84" t="n"/>
    </row>
    <row r="264" ht="15" customHeight="1" s="65">
      <c r="A264" s="84" t="n"/>
      <c r="B264" s="84" t="n"/>
      <c r="C264" s="84" t="n"/>
      <c r="D264" s="84" t="n"/>
      <c r="E264" s="84" t="n"/>
      <c r="F264" s="84" t="n"/>
      <c r="G264" s="84" t="n"/>
      <c r="H264" s="84" t="n"/>
      <c r="I264" s="84" t="n"/>
      <c r="J264" s="84" t="n"/>
      <c r="K264" s="84" t="n"/>
      <c r="L264" s="84" t="n"/>
      <c r="M264" s="84" t="n"/>
      <c r="N264" s="84" t="n"/>
      <c r="O264" s="84" t="n"/>
      <c r="P264" s="84" t="n"/>
      <c r="Q264" s="84" t="n"/>
      <c r="R264" s="84" t="n"/>
      <c r="S264" s="84" t="n"/>
      <c r="T264" s="84" t="n"/>
      <c r="U264" s="84" t="n"/>
      <c r="V264" s="84" t="n"/>
      <c r="W264" s="84" t="n"/>
      <c r="X264" s="84" t="n"/>
      <c r="Y264" s="84" t="n"/>
      <c r="Z264" s="84" t="n"/>
      <c r="AA264" s="84" t="n"/>
      <c r="AB264" s="84" t="n"/>
      <c r="AC264" s="84" t="n"/>
      <c r="AD264" s="84" t="n"/>
      <c r="AE264" s="84" t="n"/>
      <c r="AF264" s="84" t="n"/>
      <c r="AG264" s="84" t="n"/>
      <c r="AH264" s="84" t="n"/>
      <c r="AI264" s="84" t="n"/>
      <c r="AJ264" s="84" t="n"/>
      <c r="AK264" s="84" t="n"/>
      <c r="AL264" s="84" t="n"/>
      <c r="AM264" s="84" t="n"/>
      <c r="AN264" s="84" t="n"/>
      <c r="AO264" s="84" t="n"/>
      <c r="AP264" s="84" t="n"/>
    </row>
    <row r="265" ht="15" customHeight="1" s="65">
      <c r="A265" s="84" t="n"/>
      <c r="B265" s="84" t="n"/>
      <c r="C265" s="84" t="n"/>
      <c r="D265" s="84" t="n"/>
      <c r="E265" s="84" t="n"/>
      <c r="F265" s="84" t="n"/>
      <c r="G265" s="84" t="n"/>
      <c r="H265" s="84" t="n"/>
      <c r="I265" s="84" t="n"/>
      <c r="J265" s="84" t="n"/>
      <c r="K265" s="84" t="n"/>
      <c r="L265" s="84" t="n"/>
      <c r="M265" s="84" t="n"/>
      <c r="N265" s="84" t="n"/>
      <c r="O265" s="84" t="n"/>
      <c r="P265" s="84" t="n"/>
      <c r="Q265" s="84" t="n"/>
      <c r="R265" s="84" t="n"/>
      <c r="S265" s="84" t="n"/>
      <c r="T265" s="84" t="n"/>
      <c r="U265" s="84" t="n"/>
      <c r="V265" s="84" t="n"/>
      <c r="W265" s="84" t="n"/>
      <c r="X265" s="84" t="n"/>
      <c r="Y265" s="84" t="n"/>
      <c r="Z265" s="84" t="n"/>
      <c r="AA265" s="84" t="n"/>
      <c r="AB265" s="84" t="n"/>
      <c r="AC265" s="84" t="n"/>
      <c r="AD265" s="84" t="n"/>
      <c r="AE265" s="84" t="n"/>
      <c r="AF265" s="84" t="n"/>
      <c r="AG265" s="84" t="n"/>
      <c r="AH265" s="84" t="n"/>
      <c r="AI265" s="84" t="n"/>
      <c r="AJ265" s="84" t="n"/>
      <c r="AK265" s="84" t="n"/>
      <c r="AL265" s="84" t="n"/>
      <c r="AM265" s="84" t="n"/>
      <c r="AN265" s="84" t="n"/>
      <c r="AO265" s="84" t="n"/>
      <c r="AP265" s="84" t="n"/>
    </row>
    <row r="266" ht="15" customHeight="1" s="65">
      <c r="A266" s="84" t="n"/>
      <c r="B266" s="84" t="n"/>
      <c r="C266" s="84" t="n"/>
      <c r="D266" s="84" t="n"/>
      <c r="E266" s="84" t="n"/>
      <c r="F266" s="84" t="n"/>
      <c r="G266" s="84" t="n"/>
      <c r="H266" s="84" t="n"/>
      <c r="I266" s="84" t="n"/>
      <c r="J266" s="84" t="n"/>
      <c r="K266" s="84" t="n"/>
      <c r="L266" s="84" t="n"/>
      <c r="M266" s="84" t="n"/>
      <c r="N266" s="84" t="n"/>
      <c r="O266" s="84" t="n"/>
      <c r="P266" s="84" t="n"/>
      <c r="Q266" s="84" t="n"/>
      <c r="R266" s="84" t="n"/>
      <c r="S266" s="84" t="n"/>
      <c r="T266" s="84" t="n"/>
      <c r="U266" s="84" t="n"/>
      <c r="V266" s="84" t="n"/>
      <c r="W266" s="84" t="n"/>
      <c r="X266" s="84" t="n"/>
      <c r="Y266" s="84" t="n"/>
      <c r="Z266" s="84" t="n"/>
      <c r="AA266" s="84" t="n"/>
      <c r="AB266" s="84" t="n"/>
      <c r="AC266" s="84" t="n"/>
      <c r="AD266" s="84" t="n"/>
      <c r="AE266" s="84" t="n"/>
      <c r="AF266" s="84" t="n"/>
      <c r="AG266" s="84" t="n"/>
      <c r="AH266" s="84" t="n"/>
      <c r="AI266" s="84" t="n"/>
      <c r="AJ266" s="84" t="n"/>
      <c r="AK266" s="84" t="n"/>
      <c r="AL266" s="84" t="n"/>
      <c r="AM266" s="84" t="n"/>
      <c r="AN266" s="84" t="n"/>
      <c r="AO266" s="84" t="n"/>
      <c r="AP266" s="84" t="n"/>
    </row>
    <row r="267" ht="15" customHeight="1" s="65">
      <c r="A267" s="84" t="n"/>
      <c r="B267" s="84" t="n"/>
      <c r="C267" s="84" t="n"/>
      <c r="D267" s="84" t="n"/>
      <c r="E267" s="84" t="n"/>
      <c r="F267" s="84" t="n"/>
      <c r="G267" s="84" t="n"/>
      <c r="H267" s="84" t="n"/>
      <c r="I267" s="84" t="n"/>
      <c r="J267" s="84" t="n"/>
      <c r="K267" s="84" t="n"/>
      <c r="L267" s="84" t="n"/>
      <c r="M267" s="84" t="n"/>
      <c r="N267" s="84" t="n"/>
      <c r="O267" s="84" t="n"/>
      <c r="P267" s="84" t="n"/>
      <c r="Q267" s="84" t="n"/>
      <c r="R267" s="84" t="n"/>
      <c r="S267" s="84" t="n"/>
      <c r="T267" s="84" t="n"/>
      <c r="U267" s="84" t="n"/>
      <c r="V267" s="84" t="n"/>
      <c r="W267" s="84" t="n"/>
      <c r="X267" s="84" t="n"/>
      <c r="Y267" s="84" t="n"/>
      <c r="Z267" s="84" t="n"/>
      <c r="AA267" s="84" t="n"/>
      <c r="AB267" s="84" t="n"/>
      <c r="AC267" s="84" t="n"/>
      <c r="AD267" s="84" t="n"/>
      <c r="AE267" s="84" t="n"/>
      <c r="AF267" s="84" t="n"/>
      <c r="AG267" s="84" t="n"/>
      <c r="AH267" s="84" t="n"/>
      <c r="AI267" s="84" t="n"/>
      <c r="AJ267" s="84" t="n"/>
      <c r="AK267" s="84" t="n"/>
      <c r="AL267" s="84" t="n"/>
      <c r="AM267" s="84" t="n"/>
      <c r="AN267" s="84" t="n"/>
      <c r="AO267" s="84" t="n"/>
      <c r="AP267" s="84" t="n"/>
    </row>
    <row r="268" ht="15" customHeight="1" s="65">
      <c r="A268" s="84" t="n"/>
      <c r="B268" s="84" t="n"/>
      <c r="C268" s="84" t="n"/>
      <c r="D268" s="84" t="n"/>
      <c r="E268" s="84" t="n"/>
      <c r="F268" s="84" t="n"/>
      <c r="G268" s="84" t="n"/>
      <c r="H268" s="84" t="n"/>
      <c r="I268" s="84" t="n"/>
      <c r="J268" s="84" t="n"/>
      <c r="K268" s="84" t="n"/>
      <c r="L268" s="84" t="n"/>
      <c r="M268" s="84" t="n"/>
      <c r="N268" s="84" t="n"/>
      <c r="O268" s="84" t="n"/>
      <c r="P268" s="84" t="n"/>
      <c r="Q268" s="84" t="n"/>
      <c r="R268" s="84" t="n"/>
      <c r="S268" s="84" t="n"/>
      <c r="T268" s="84" t="n"/>
      <c r="U268" s="84" t="n"/>
      <c r="V268" s="84" t="n"/>
      <c r="W268" s="84" t="n"/>
      <c r="X268" s="84" t="n"/>
      <c r="Y268" s="84" t="n"/>
      <c r="Z268" s="84" t="n"/>
      <c r="AA268" s="84" t="n"/>
      <c r="AB268" s="84" t="n"/>
      <c r="AC268" s="84" t="n"/>
      <c r="AD268" s="84" t="n"/>
      <c r="AE268" s="84" t="n"/>
      <c r="AF268" s="84" t="n"/>
      <c r="AG268" s="84" t="n"/>
      <c r="AH268" s="84" t="n"/>
      <c r="AI268" s="84" t="n"/>
      <c r="AJ268" s="84" t="n"/>
      <c r="AK268" s="84" t="n"/>
      <c r="AL268" s="84" t="n"/>
      <c r="AM268" s="84" t="n"/>
      <c r="AN268" s="84" t="n"/>
      <c r="AO268" s="84" t="n"/>
      <c r="AP268" s="84" t="n"/>
    </row>
    <row r="269" ht="15" customHeight="1" s="65">
      <c r="A269" s="84" t="n"/>
      <c r="B269" s="84" t="n"/>
      <c r="C269" s="84" t="n"/>
      <c r="D269" s="84" t="n"/>
      <c r="E269" s="84" t="n"/>
      <c r="F269" s="84" t="n"/>
      <c r="G269" s="84" t="n"/>
      <c r="H269" s="84" t="n"/>
      <c r="I269" s="84" t="n"/>
      <c r="J269" s="84" t="n"/>
      <c r="K269" s="84" t="n"/>
      <c r="L269" s="84" t="n"/>
      <c r="M269" s="84" t="n"/>
      <c r="N269" s="84" t="n"/>
      <c r="O269" s="84" t="n"/>
      <c r="P269" s="84" t="n"/>
      <c r="Q269" s="84" t="n"/>
      <c r="R269" s="84" t="n"/>
      <c r="S269" s="84" t="n"/>
      <c r="T269" s="84" t="n"/>
      <c r="U269" s="84" t="n"/>
      <c r="V269" s="84" t="n"/>
      <c r="W269" s="84" t="n"/>
      <c r="X269" s="84" t="n"/>
      <c r="Y269" s="84" t="n"/>
      <c r="Z269" s="84" t="n"/>
      <c r="AA269" s="84" t="n"/>
      <c r="AB269" s="84" t="n"/>
      <c r="AC269" s="84" t="n"/>
      <c r="AD269" s="84" t="n"/>
      <c r="AE269" s="84" t="n"/>
      <c r="AF269" s="84" t="n"/>
      <c r="AG269" s="84" t="n"/>
      <c r="AH269" s="84" t="n"/>
      <c r="AI269" s="84" t="n"/>
      <c r="AJ269" s="84" t="n"/>
      <c r="AK269" s="84" t="n"/>
      <c r="AL269" s="84" t="n"/>
      <c r="AM269" s="84" t="n"/>
      <c r="AN269" s="84" t="n"/>
      <c r="AO269" s="84" t="n"/>
      <c r="AP269" s="84" t="n"/>
    </row>
    <row r="270" ht="15" customHeight="1" s="65">
      <c r="A270" s="84" t="n"/>
      <c r="B270" s="84" t="n"/>
      <c r="C270" s="84" t="n"/>
      <c r="D270" s="84" t="n"/>
      <c r="E270" s="84" t="n"/>
      <c r="F270" s="84" t="n"/>
      <c r="G270" s="84" t="n"/>
      <c r="H270" s="84" t="n"/>
      <c r="I270" s="84" t="n"/>
      <c r="J270" s="84" t="n"/>
      <c r="K270" s="84" t="n"/>
      <c r="L270" s="84" t="n"/>
      <c r="M270" s="84" t="n"/>
      <c r="N270" s="84" t="n"/>
      <c r="O270" s="84" t="n"/>
      <c r="P270" s="84" t="n"/>
      <c r="Q270" s="84" t="n"/>
      <c r="R270" s="84" t="n"/>
      <c r="S270" s="84" t="n"/>
      <c r="T270" s="84" t="n"/>
      <c r="U270" s="84" t="n"/>
      <c r="V270" s="84" t="n"/>
      <c r="W270" s="84" t="n"/>
      <c r="X270" s="84" t="n"/>
      <c r="Y270" s="84" t="n"/>
      <c r="Z270" s="84" t="n"/>
      <c r="AA270" s="84" t="n"/>
      <c r="AB270" s="84" t="n"/>
      <c r="AC270" s="84" t="n"/>
      <c r="AD270" s="84" t="n"/>
      <c r="AE270" s="84" t="n"/>
      <c r="AF270" s="84" t="n"/>
      <c r="AG270" s="84" t="n"/>
      <c r="AH270" s="84" t="n"/>
      <c r="AI270" s="84" t="n"/>
      <c r="AJ270" s="84" t="n"/>
      <c r="AK270" s="84" t="n"/>
      <c r="AL270" s="84" t="n"/>
      <c r="AM270" s="84" t="n"/>
      <c r="AN270" s="84" t="n"/>
      <c r="AO270" s="84" t="n"/>
      <c r="AP270" s="84" t="n"/>
    </row>
    <row r="271" ht="15" customHeight="1" s="65">
      <c r="A271" s="84" t="n"/>
      <c r="B271" s="84" t="n"/>
      <c r="C271" s="84" t="n"/>
      <c r="D271" s="84" t="n"/>
      <c r="E271" s="84" t="n"/>
      <c r="F271" s="84" t="n"/>
      <c r="G271" s="84" t="n"/>
      <c r="H271" s="84" t="n"/>
      <c r="I271" s="84" t="n"/>
      <c r="J271" s="84" t="n"/>
      <c r="K271" s="84" t="n"/>
      <c r="L271" s="84" t="n"/>
      <c r="M271" s="84" t="n"/>
      <c r="N271" s="84" t="n"/>
      <c r="O271" s="84" t="n"/>
      <c r="P271" s="84" t="n"/>
      <c r="Q271" s="84" t="n"/>
      <c r="R271" s="84" t="n"/>
      <c r="S271" s="84" t="n"/>
      <c r="T271" s="84" t="n"/>
      <c r="U271" s="84" t="n"/>
      <c r="V271" s="84" t="n"/>
      <c r="W271" s="84" t="n"/>
      <c r="X271" s="84" t="n"/>
      <c r="Y271" s="84" t="n"/>
      <c r="Z271" s="84" t="n"/>
      <c r="AA271" s="84" t="n"/>
      <c r="AB271" s="84" t="n"/>
      <c r="AC271" s="84" t="n"/>
      <c r="AD271" s="84" t="n"/>
      <c r="AE271" s="84" t="n"/>
      <c r="AF271" s="84" t="n"/>
      <c r="AG271" s="84" t="n"/>
      <c r="AH271" s="84" t="n"/>
      <c r="AI271" s="84" t="n"/>
      <c r="AJ271" s="84" t="n"/>
      <c r="AK271" s="84" t="n"/>
      <c r="AL271" s="84" t="n"/>
      <c r="AM271" s="84" t="n"/>
      <c r="AN271" s="84" t="n"/>
      <c r="AO271" s="84" t="n"/>
      <c r="AP271" s="84" t="n"/>
    </row>
    <row r="272" ht="15" customHeight="1" s="65">
      <c r="A272" s="84" t="n"/>
      <c r="B272" s="84" t="n"/>
      <c r="C272" s="84" t="n"/>
      <c r="D272" s="84" t="n"/>
      <c r="E272" s="84" t="n"/>
      <c r="F272" s="84" t="n"/>
      <c r="G272" s="84" t="n"/>
      <c r="H272" s="84" t="n"/>
      <c r="I272" s="84" t="n"/>
      <c r="J272" s="84" t="n"/>
      <c r="K272" s="84" t="n"/>
      <c r="L272" s="84" t="n"/>
      <c r="M272" s="84" t="n"/>
      <c r="N272" s="84" t="n"/>
      <c r="O272" s="84" t="n"/>
      <c r="P272" s="84" t="n"/>
      <c r="Q272" s="84" t="n"/>
      <c r="R272" s="84" t="n"/>
      <c r="S272" s="84" t="n"/>
      <c r="T272" s="84" t="n"/>
      <c r="U272" s="84" t="n"/>
      <c r="V272" s="84" t="n"/>
      <c r="W272" s="84" t="n"/>
      <c r="X272" s="84" t="n"/>
      <c r="Y272" s="84" t="n"/>
      <c r="Z272" s="84" t="n"/>
      <c r="AA272" s="84" t="n"/>
      <c r="AB272" s="84" t="n"/>
      <c r="AC272" s="84" t="n"/>
      <c r="AD272" s="84" t="n"/>
      <c r="AE272" s="84" t="n"/>
      <c r="AF272" s="84" t="n"/>
      <c r="AG272" s="84" t="n"/>
      <c r="AH272" s="84" t="n"/>
      <c r="AI272" s="84" t="n"/>
      <c r="AJ272" s="84" t="n"/>
      <c r="AK272" s="84" t="n"/>
      <c r="AL272" s="84" t="n"/>
      <c r="AM272" s="84" t="n"/>
      <c r="AN272" s="84" t="n"/>
      <c r="AO272" s="84" t="n"/>
      <c r="AP272" s="84" t="n"/>
    </row>
    <row r="273" ht="15" customHeight="1" s="65">
      <c r="A273" s="84" t="n"/>
      <c r="B273" s="84" t="n"/>
      <c r="C273" s="84" t="n"/>
      <c r="D273" s="84" t="n"/>
      <c r="E273" s="84" t="n"/>
      <c r="F273" s="84" t="n"/>
      <c r="G273" s="84" t="n"/>
      <c r="H273" s="84" t="n"/>
      <c r="I273" s="84" t="n"/>
      <c r="J273" s="84" t="n"/>
      <c r="K273" s="84" t="n"/>
      <c r="L273" s="84" t="n"/>
      <c r="M273" s="84" t="n"/>
      <c r="N273" s="84" t="n"/>
      <c r="O273" s="84" t="n"/>
      <c r="P273" s="84" t="n"/>
      <c r="Q273" s="84" t="n"/>
      <c r="R273" s="84" t="n"/>
      <c r="S273" s="84" t="n"/>
      <c r="T273" s="84" t="n"/>
      <c r="U273" s="84" t="n"/>
      <c r="V273" s="84" t="n"/>
      <c r="W273" s="84" t="n"/>
      <c r="X273" s="84" t="n"/>
      <c r="Y273" s="84" t="n"/>
      <c r="Z273" s="84" t="n"/>
      <c r="AA273" s="84" t="n"/>
      <c r="AB273" s="84" t="n"/>
      <c r="AC273" s="84" t="n"/>
      <c r="AD273" s="84" t="n"/>
      <c r="AE273" s="84" t="n"/>
      <c r="AF273" s="84" t="n"/>
      <c r="AG273" s="84" t="n"/>
      <c r="AH273" s="84" t="n"/>
      <c r="AI273" s="84" t="n"/>
      <c r="AJ273" s="84" t="n"/>
      <c r="AK273" s="84" t="n"/>
      <c r="AL273" s="84" t="n"/>
      <c r="AM273" s="84" t="n"/>
      <c r="AN273" s="84" t="n"/>
      <c r="AO273" s="84" t="n"/>
      <c r="AP273" s="84" t="n"/>
    </row>
    <row r="274" ht="15" customHeight="1" s="65">
      <c r="A274" s="84" t="n"/>
      <c r="B274" s="84" t="n"/>
      <c r="C274" s="84" t="n"/>
      <c r="D274" s="84" t="n"/>
      <c r="E274" s="84" t="n"/>
      <c r="F274" s="84" t="n"/>
      <c r="G274" s="84" t="n"/>
      <c r="H274" s="84" t="n"/>
      <c r="I274" s="84" t="n"/>
      <c r="J274" s="84" t="n"/>
      <c r="K274" s="84" t="n"/>
      <c r="L274" s="84" t="n"/>
      <c r="M274" s="84" t="n"/>
      <c r="N274" s="84" t="n"/>
      <c r="O274" s="84" t="n"/>
      <c r="P274" s="84" t="n"/>
      <c r="Q274" s="84" t="n"/>
      <c r="R274" s="84" t="n"/>
      <c r="S274" s="84" t="n"/>
      <c r="T274" s="84" t="n"/>
      <c r="U274" s="84" t="n"/>
      <c r="V274" s="84" t="n"/>
      <c r="W274" s="84" t="n"/>
      <c r="X274" s="84" t="n"/>
      <c r="Y274" s="84" t="n"/>
      <c r="Z274" s="84" t="n"/>
      <c r="AA274" s="84" t="n"/>
      <c r="AB274" s="84" t="n"/>
      <c r="AC274" s="84" t="n"/>
      <c r="AD274" s="84" t="n"/>
      <c r="AE274" s="84" t="n"/>
      <c r="AF274" s="84" t="n"/>
      <c r="AG274" s="84" t="n"/>
      <c r="AH274" s="84" t="n"/>
      <c r="AI274" s="84" t="n"/>
      <c r="AJ274" s="84" t="n"/>
      <c r="AK274" s="84" t="n"/>
      <c r="AL274" s="84" t="n"/>
      <c r="AM274" s="84" t="n"/>
      <c r="AN274" s="84" t="n"/>
      <c r="AO274" s="84" t="n"/>
      <c r="AP274" s="84" t="n"/>
    </row>
    <row r="275" ht="15" customHeight="1" s="65">
      <c r="A275" s="84" t="n"/>
      <c r="B275" s="84" t="n"/>
      <c r="C275" s="84" t="n"/>
      <c r="D275" s="84" t="n"/>
      <c r="E275" s="84" t="n"/>
      <c r="F275" s="84" t="n"/>
      <c r="G275" s="84" t="n"/>
      <c r="H275" s="84" t="n"/>
      <c r="I275" s="84" t="n"/>
      <c r="J275" s="84" t="n"/>
      <c r="K275" s="84" t="n"/>
      <c r="L275" s="84" t="n"/>
      <c r="M275" s="84" t="n"/>
      <c r="N275" s="84" t="n"/>
      <c r="O275" s="84" t="n"/>
      <c r="P275" s="84" t="n"/>
      <c r="Q275" s="84" t="n"/>
      <c r="R275" s="84" t="n"/>
      <c r="S275" s="84" t="n"/>
      <c r="T275" s="84" t="n"/>
      <c r="U275" s="84" t="n"/>
      <c r="V275" s="84" t="n"/>
      <c r="W275" s="84" t="n"/>
      <c r="X275" s="84" t="n"/>
      <c r="Y275" s="84" t="n"/>
      <c r="Z275" s="84" t="n"/>
      <c r="AA275" s="84" t="n"/>
      <c r="AB275" s="84" t="n"/>
      <c r="AC275" s="84" t="n"/>
      <c r="AD275" s="84" t="n"/>
      <c r="AE275" s="84" t="n"/>
      <c r="AF275" s="84" t="n"/>
      <c r="AG275" s="84" t="n"/>
      <c r="AH275" s="84" t="n"/>
      <c r="AI275" s="84" t="n"/>
      <c r="AJ275" s="84" t="n"/>
      <c r="AK275" s="84" t="n"/>
      <c r="AL275" s="84" t="n"/>
      <c r="AM275" s="84" t="n"/>
      <c r="AN275" s="84" t="n"/>
      <c r="AO275" s="84" t="n"/>
      <c r="AP275" s="84" t="n"/>
    </row>
    <row r="276" ht="15" customHeight="1" s="65">
      <c r="A276" s="84" t="n"/>
      <c r="B276" s="84" t="n"/>
      <c r="C276" s="84" t="n"/>
      <c r="D276" s="84" t="n"/>
      <c r="E276" s="84" t="n"/>
      <c r="F276" s="84" t="n"/>
      <c r="G276" s="84" t="n"/>
      <c r="H276" s="84" t="n"/>
      <c r="I276" s="84" t="n"/>
      <c r="J276" s="84" t="n"/>
      <c r="K276" s="84" t="n"/>
      <c r="L276" s="84" t="n"/>
      <c r="M276" s="84" t="n"/>
      <c r="N276" s="84" t="n"/>
      <c r="O276" s="84" t="n"/>
      <c r="P276" s="84" t="n"/>
      <c r="Q276" s="84" t="n"/>
      <c r="R276" s="84" t="n"/>
      <c r="S276" s="84" t="n"/>
      <c r="T276" s="84" t="n"/>
      <c r="U276" s="84" t="n"/>
      <c r="V276" s="84" t="n"/>
      <c r="W276" s="84" t="n"/>
      <c r="X276" s="84" t="n"/>
      <c r="Y276" s="84" t="n"/>
      <c r="Z276" s="84" t="n"/>
      <c r="AA276" s="84" t="n"/>
      <c r="AB276" s="84" t="n"/>
      <c r="AC276" s="84" t="n"/>
      <c r="AD276" s="84" t="n"/>
      <c r="AE276" s="84" t="n"/>
      <c r="AF276" s="84" t="n"/>
      <c r="AG276" s="84" t="n"/>
      <c r="AH276" s="84" t="n"/>
      <c r="AI276" s="84" t="n"/>
      <c r="AJ276" s="84" t="n"/>
      <c r="AK276" s="84" t="n"/>
      <c r="AL276" s="84" t="n"/>
      <c r="AM276" s="84" t="n"/>
      <c r="AN276" s="84" t="n"/>
      <c r="AO276" s="84" t="n"/>
      <c r="AP276" s="84" t="n"/>
    </row>
    <row r="277" ht="15" customHeight="1" s="65">
      <c r="A277" s="84" t="n"/>
      <c r="B277" s="84" t="n"/>
      <c r="C277" s="84" t="n"/>
      <c r="D277" s="84" t="n"/>
      <c r="E277" s="84" t="n"/>
      <c r="F277" s="84" t="n"/>
      <c r="G277" s="84" t="n"/>
      <c r="H277" s="84" t="n"/>
      <c r="I277" s="84" t="n"/>
      <c r="J277" s="84" t="n"/>
      <c r="K277" s="84" t="n"/>
      <c r="L277" s="84" t="n"/>
      <c r="M277" s="84" t="n"/>
      <c r="N277" s="84" t="n"/>
      <c r="O277" s="84" t="n"/>
      <c r="P277" s="84" t="n"/>
      <c r="Q277" s="84" t="n"/>
      <c r="R277" s="84" t="n"/>
      <c r="S277" s="84" t="n"/>
      <c r="T277" s="84" t="n"/>
      <c r="U277" s="84" t="n"/>
      <c r="V277" s="84" t="n"/>
      <c r="W277" s="84" t="n"/>
      <c r="X277" s="84" t="n"/>
      <c r="Y277" s="84" t="n"/>
      <c r="Z277" s="84" t="n"/>
      <c r="AA277" s="84" t="n"/>
      <c r="AB277" s="84" t="n"/>
      <c r="AC277" s="84" t="n"/>
      <c r="AD277" s="84" t="n"/>
      <c r="AE277" s="84" t="n"/>
      <c r="AF277" s="84" t="n"/>
      <c r="AG277" s="84" t="n"/>
      <c r="AH277" s="84" t="n"/>
      <c r="AI277" s="84" t="n"/>
      <c r="AJ277" s="84" t="n"/>
      <c r="AK277" s="84" t="n"/>
      <c r="AL277" s="84" t="n"/>
      <c r="AM277" s="84" t="n"/>
      <c r="AN277" s="84" t="n"/>
      <c r="AO277" s="84" t="n"/>
      <c r="AP277" s="84" t="n"/>
    </row>
    <row r="278" ht="15" customHeight="1" s="65">
      <c r="A278" s="84" t="n"/>
      <c r="B278" s="84" t="n"/>
      <c r="C278" s="84" t="n"/>
      <c r="D278" s="84" t="n"/>
      <c r="E278" s="84" t="n"/>
      <c r="F278" s="84" t="n"/>
      <c r="G278" s="84" t="n"/>
      <c r="H278" s="84" t="n"/>
      <c r="I278" s="84" t="n"/>
      <c r="J278" s="84" t="n"/>
      <c r="K278" s="84" t="n"/>
      <c r="L278" s="84" t="n"/>
      <c r="M278" s="84" t="n"/>
      <c r="N278" s="84" t="n"/>
      <c r="O278" s="84" t="n"/>
      <c r="P278" s="84" t="n"/>
      <c r="Q278" s="84" t="n"/>
      <c r="R278" s="84" t="n"/>
      <c r="S278" s="84" t="n"/>
      <c r="T278" s="84" t="n"/>
      <c r="U278" s="84" t="n"/>
      <c r="V278" s="84" t="n"/>
      <c r="W278" s="84" t="n"/>
      <c r="X278" s="84" t="n"/>
      <c r="Y278" s="84" t="n"/>
      <c r="Z278" s="84" t="n"/>
      <c r="AA278" s="84" t="n"/>
      <c r="AB278" s="84" t="n"/>
      <c r="AC278" s="84" t="n"/>
      <c r="AD278" s="84" t="n"/>
      <c r="AE278" s="84" t="n"/>
      <c r="AF278" s="84" t="n"/>
      <c r="AG278" s="84" t="n"/>
      <c r="AH278" s="84" t="n"/>
      <c r="AI278" s="84" t="n"/>
      <c r="AJ278" s="84" t="n"/>
      <c r="AK278" s="84" t="n"/>
      <c r="AL278" s="84" t="n"/>
      <c r="AM278" s="84" t="n"/>
      <c r="AN278" s="84" t="n"/>
      <c r="AO278" s="84" t="n"/>
      <c r="AP278" s="84" t="n"/>
    </row>
    <row r="279" ht="15" customHeight="1" s="65">
      <c r="A279" s="84" t="n"/>
      <c r="B279" s="84" t="n"/>
      <c r="C279" s="84" t="n"/>
      <c r="D279" s="84" t="n"/>
      <c r="E279" s="84" t="n"/>
      <c r="F279" s="84" t="n"/>
      <c r="G279" s="84" t="n"/>
      <c r="H279" s="84" t="n"/>
      <c r="I279" s="84" t="n"/>
      <c r="J279" s="84" t="n"/>
      <c r="K279" s="84" t="n"/>
      <c r="L279" s="84" t="n"/>
      <c r="M279" s="84" t="n"/>
      <c r="N279" s="84" t="n"/>
      <c r="O279" s="84" t="n"/>
      <c r="P279" s="84" t="n"/>
      <c r="Q279" s="84" t="n"/>
      <c r="R279" s="84" t="n"/>
      <c r="S279" s="84" t="n"/>
      <c r="T279" s="84" t="n"/>
      <c r="U279" s="84" t="n"/>
      <c r="V279" s="84" t="n"/>
      <c r="W279" s="84" t="n"/>
      <c r="X279" s="84" t="n"/>
      <c r="Y279" s="84" t="n"/>
      <c r="Z279" s="84" t="n"/>
      <c r="AA279" s="84" t="n"/>
      <c r="AB279" s="84" t="n"/>
      <c r="AC279" s="84" t="n"/>
      <c r="AD279" s="84" t="n"/>
      <c r="AE279" s="84" t="n"/>
      <c r="AF279" s="84" t="n"/>
      <c r="AG279" s="84" t="n"/>
      <c r="AH279" s="84" t="n"/>
      <c r="AI279" s="84" t="n"/>
      <c r="AJ279" s="84" t="n"/>
      <c r="AK279" s="84" t="n"/>
      <c r="AL279" s="84" t="n"/>
      <c r="AM279" s="84" t="n"/>
      <c r="AN279" s="84" t="n"/>
      <c r="AO279" s="84" t="n"/>
      <c r="AP279" s="84" t="n"/>
    </row>
    <row r="280" ht="15" customHeight="1" s="65">
      <c r="A280" s="84" t="n"/>
      <c r="B280" s="84" t="n"/>
      <c r="C280" s="84" t="n"/>
      <c r="D280" s="84" t="n"/>
      <c r="E280" s="84" t="n"/>
      <c r="F280" s="84" t="n"/>
      <c r="G280" s="84" t="n"/>
      <c r="H280" s="84" t="n"/>
      <c r="I280" s="84" t="n"/>
      <c r="J280" s="84" t="n"/>
      <c r="K280" s="84" t="n"/>
      <c r="L280" s="84" t="n"/>
      <c r="M280" s="84" t="n"/>
      <c r="N280" s="84" t="n"/>
      <c r="O280" s="84" t="n"/>
      <c r="P280" s="84" t="n"/>
      <c r="Q280" s="84" t="n"/>
      <c r="R280" s="84" t="n"/>
      <c r="S280" s="84" t="n"/>
      <c r="T280" s="84" t="n"/>
      <c r="U280" s="84" t="n"/>
      <c r="V280" s="84" t="n"/>
      <c r="W280" s="84" t="n"/>
      <c r="X280" s="84" t="n"/>
      <c r="Y280" s="84" t="n"/>
      <c r="Z280" s="84" t="n"/>
      <c r="AA280" s="84" t="n"/>
      <c r="AB280" s="84" t="n"/>
      <c r="AC280" s="84" t="n"/>
      <c r="AD280" s="84" t="n"/>
      <c r="AE280" s="84" t="n"/>
      <c r="AF280" s="84" t="n"/>
      <c r="AG280" s="84" t="n"/>
      <c r="AH280" s="84" t="n"/>
      <c r="AI280" s="84" t="n"/>
      <c r="AJ280" s="84" t="n"/>
      <c r="AK280" s="84" t="n"/>
      <c r="AL280" s="84" t="n"/>
      <c r="AM280" s="84" t="n"/>
      <c r="AN280" s="84" t="n"/>
      <c r="AO280" s="84" t="n"/>
      <c r="AP280" s="84" t="n"/>
    </row>
    <row r="281" ht="15" customHeight="1" s="65">
      <c r="A281" s="84" t="n"/>
      <c r="B281" s="84" t="n"/>
      <c r="C281" s="84" t="n"/>
      <c r="D281" s="84" t="n"/>
      <c r="E281" s="84" t="n"/>
      <c r="F281" s="84" t="n"/>
      <c r="G281" s="84" t="n"/>
      <c r="H281" s="84" t="n"/>
      <c r="I281" s="84" t="n"/>
      <c r="J281" s="84" t="n"/>
      <c r="K281" s="84" t="n"/>
      <c r="L281" s="84" t="n"/>
      <c r="M281" s="84" t="n"/>
      <c r="N281" s="84" t="n"/>
      <c r="O281" s="84" t="n"/>
      <c r="P281" s="84" t="n"/>
      <c r="Q281" s="84" t="n"/>
      <c r="R281" s="84" t="n"/>
      <c r="S281" s="84" t="n"/>
      <c r="T281" s="84" t="n"/>
      <c r="U281" s="84" t="n"/>
      <c r="V281" s="84" t="n"/>
      <c r="W281" s="84" t="n"/>
      <c r="X281" s="84" t="n"/>
      <c r="Y281" s="84" t="n"/>
      <c r="Z281" s="84" t="n"/>
      <c r="AA281" s="84" t="n"/>
      <c r="AB281" s="84" t="n"/>
      <c r="AC281" s="84" t="n"/>
      <c r="AD281" s="84" t="n"/>
      <c r="AE281" s="84" t="n"/>
      <c r="AF281" s="84" t="n"/>
      <c r="AG281" s="84" t="n"/>
      <c r="AH281" s="84" t="n"/>
      <c r="AI281" s="84" t="n"/>
      <c r="AJ281" s="84" t="n"/>
      <c r="AK281" s="84" t="n"/>
      <c r="AL281" s="84" t="n"/>
      <c r="AM281" s="84" t="n"/>
      <c r="AN281" s="84" t="n"/>
      <c r="AO281" s="84" t="n"/>
      <c r="AP281" s="84" t="n"/>
    </row>
    <row r="282" ht="15" customHeight="1" s="65">
      <c r="A282" s="84" t="n"/>
      <c r="B282" s="84" t="n"/>
      <c r="C282" s="84" t="n"/>
      <c r="D282" s="84" t="n"/>
      <c r="E282" s="84" t="n"/>
      <c r="F282" s="84" t="n"/>
      <c r="G282" s="84" t="n"/>
      <c r="H282" s="84" t="n"/>
      <c r="I282" s="84" t="n"/>
      <c r="J282" s="84" t="n"/>
      <c r="K282" s="84" t="n"/>
      <c r="L282" s="84" t="n"/>
      <c r="M282" s="84" t="n"/>
      <c r="N282" s="84" t="n"/>
      <c r="O282" s="84" t="n"/>
      <c r="P282" s="84" t="n"/>
      <c r="Q282" s="84" t="n"/>
      <c r="R282" s="84" t="n"/>
      <c r="S282" s="84" t="n"/>
      <c r="T282" s="84" t="n"/>
      <c r="U282" s="84" t="n"/>
      <c r="V282" s="84" t="n"/>
      <c r="W282" s="84" t="n"/>
      <c r="X282" s="84" t="n"/>
      <c r="Y282" s="84" t="n"/>
      <c r="Z282" s="84" t="n"/>
      <c r="AA282" s="84" t="n"/>
      <c r="AB282" s="84" t="n"/>
      <c r="AC282" s="84" t="n"/>
      <c r="AD282" s="84" t="n"/>
      <c r="AE282" s="84" t="n"/>
      <c r="AF282" s="84" t="n"/>
      <c r="AG282" s="84" t="n"/>
      <c r="AH282" s="84" t="n"/>
      <c r="AI282" s="84" t="n"/>
      <c r="AJ282" s="84" t="n"/>
      <c r="AK282" s="84" t="n"/>
      <c r="AL282" s="84" t="n"/>
      <c r="AM282" s="84" t="n"/>
      <c r="AN282" s="84" t="n"/>
      <c r="AO282" s="84" t="n"/>
      <c r="AP282" s="84" t="n"/>
    </row>
    <row r="283" ht="15" customHeight="1" s="65">
      <c r="A283" s="84" t="n"/>
      <c r="B283" s="84" t="n"/>
      <c r="C283" s="84" t="n"/>
      <c r="D283" s="84" t="n"/>
      <c r="E283" s="84" t="n"/>
      <c r="F283" s="84" t="n"/>
      <c r="G283" s="84" t="n"/>
      <c r="H283" s="84" t="n"/>
      <c r="I283" s="84" t="n"/>
      <c r="J283" s="84" t="n"/>
      <c r="K283" s="84" t="n"/>
      <c r="L283" s="84" t="n"/>
      <c r="M283" s="84" t="n"/>
      <c r="N283" s="84" t="n"/>
      <c r="O283" s="84" t="n"/>
      <c r="P283" s="84" t="n"/>
      <c r="Q283" s="84" t="n"/>
      <c r="R283" s="84" t="n"/>
      <c r="S283" s="84" t="n"/>
      <c r="T283" s="84" t="n"/>
      <c r="U283" s="84" t="n"/>
      <c r="V283" s="84" t="n"/>
      <c r="W283" s="84" t="n"/>
      <c r="X283" s="84" t="n"/>
      <c r="Y283" s="84" t="n"/>
      <c r="Z283" s="84" t="n"/>
      <c r="AA283" s="84" t="n"/>
      <c r="AB283" s="84" t="n"/>
      <c r="AC283" s="84" t="n"/>
      <c r="AD283" s="84" t="n"/>
      <c r="AE283" s="84" t="n"/>
      <c r="AF283" s="84" t="n"/>
      <c r="AG283" s="84" t="n"/>
      <c r="AH283" s="84" t="n"/>
      <c r="AI283" s="84" t="n"/>
      <c r="AJ283" s="84" t="n"/>
      <c r="AK283" s="84" t="n"/>
      <c r="AL283" s="84" t="n"/>
      <c r="AM283" s="84" t="n"/>
      <c r="AN283" s="84" t="n"/>
      <c r="AO283" s="84" t="n"/>
      <c r="AP283" s="84" t="n"/>
    </row>
    <row r="284" ht="15" customHeight="1" s="65">
      <c r="A284" s="84" t="n"/>
      <c r="B284" s="84" t="n"/>
      <c r="C284" s="84" t="n"/>
      <c r="D284" s="84" t="n"/>
      <c r="E284" s="84" t="n"/>
      <c r="F284" s="84" t="n"/>
      <c r="G284" s="84" t="n"/>
      <c r="H284" s="84" t="n"/>
      <c r="I284" s="84" t="n"/>
      <c r="J284" s="84" t="n"/>
      <c r="K284" s="84" t="n"/>
      <c r="L284" s="84" t="n"/>
      <c r="M284" s="84" t="n"/>
      <c r="N284" s="84" t="n"/>
      <c r="O284" s="84" t="n"/>
      <c r="P284" s="84" t="n"/>
      <c r="Q284" s="84" t="n"/>
      <c r="R284" s="84" t="n"/>
      <c r="S284" s="84" t="n"/>
      <c r="T284" s="84" t="n"/>
      <c r="U284" s="84" t="n"/>
      <c r="V284" s="84" t="n"/>
      <c r="W284" s="84" t="n"/>
      <c r="X284" s="84" t="n"/>
      <c r="Y284" s="84" t="n"/>
      <c r="Z284" s="84" t="n"/>
      <c r="AA284" s="84" t="n"/>
      <c r="AB284" s="84" t="n"/>
      <c r="AC284" s="84" t="n"/>
      <c r="AD284" s="84" t="n"/>
      <c r="AE284" s="84" t="n"/>
      <c r="AF284" s="84" t="n"/>
      <c r="AG284" s="84" t="n"/>
      <c r="AH284" s="84" t="n"/>
      <c r="AI284" s="84" t="n"/>
      <c r="AJ284" s="84" t="n"/>
      <c r="AK284" s="84" t="n"/>
      <c r="AL284" s="84" t="n"/>
      <c r="AM284" s="84" t="n"/>
      <c r="AN284" s="84" t="n"/>
      <c r="AO284" s="84" t="n"/>
      <c r="AP284" s="84" t="n"/>
    </row>
    <row r="285" ht="15" customHeight="1" s="65">
      <c r="A285" s="84" t="n"/>
      <c r="B285" s="84" t="n"/>
      <c r="C285" s="84" t="n"/>
      <c r="D285" s="84" t="n"/>
      <c r="E285" s="84" t="n"/>
      <c r="F285" s="84" t="n"/>
      <c r="G285" s="84" t="n"/>
      <c r="H285" s="84" t="n"/>
      <c r="I285" s="84" t="n"/>
      <c r="J285" s="84" t="n"/>
      <c r="K285" s="84" t="n"/>
      <c r="L285" s="84" t="n"/>
      <c r="M285" s="84" t="n"/>
      <c r="N285" s="84" t="n"/>
      <c r="O285" s="84" t="n"/>
      <c r="P285" s="84" t="n"/>
      <c r="Q285" s="84" t="n"/>
      <c r="R285" s="84" t="n"/>
      <c r="S285" s="84" t="n"/>
      <c r="T285" s="84" t="n"/>
      <c r="U285" s="84" t="n"/>
      <c r="V285" s="84" t="n"/>
      <c r="W285" s="84" t="n"/>
      <c r="X285" s="84" t="n"/>
      <c r="Y285" s="84" t="n"/>
      <c r="Z285" s="84" t="n"/>
      <c r="AA285" s="84" t="n"/>
      <c r="AB285" s="84" t="n"/>
      <c r="AC285" s="84" t="n"/>
      <c r="AD285" s="84" t="n"/>
      <c r="AE285" s="84" t="n"/>
      <c r="AF285" s="84" t="n"/>
      <c r="AG285" s="84" t="n"/>
      <c r="AH285" s="84" t="n"/>
      <c r="AI285" s="84" t="n"/>
      <c r="AJ285" s="84" t="n"/>
      <c r="AK285" s="84" t="n"/>
      <c r="AL285" s="84" t="n"/>
      <c r="AM285" s="84" t="n"/>
      <c r="AN285" s="84" t="n"/>
      <c r="AO285" s="84" t="n"/>
      <c r="AP285" s="84" t="n"/>
    </row>
    <row r="286" ht="15" customHeight="1" s="65">
      <c r="A286" s="84" t="n"/>
      <c r="B286" s="84" t="n"/>
      <c r="C286" s="84" t="n"/>
      <c r="D286" s="84" t="n"/>
      <c r="E286" s="84" t="n"/>
      <c r="F286" s="84" t="n"/>
      <c r="G286" s="84" t="n"/>
      <c r="H286" s="84" t="n"/>
      <c r="I286" s="84" t="n"/>
      <c r="J286" s="84" t="n"/>
      <c r="K286" s="84" t="n"/>
      <c r="L286" s="84" t="n"/>
      <c r="M286" s="84" t="n"/>
      <c r="N286" s="84" t="n"/>
      <c r="O286" s="84" t="n"/>
      <c r="P286" s="84" t="n"/>
      <c r="Q286" s="84" t="n"/>
      <c r="R286" s="84" t="n"/>
      <c r="S286" s="84" t="n"/>
      <c r="T286" s="84" t="n"/>
      <c r="U286" s="84" t="n"/>
      <c r="V286" s="84" t="n"/>
      <c r="W286" s="84" t="n"/>
      <c r="X286" s="84" t="n"/>
      <c r="Y286" s="84" t="n"/>
      <c r="Z286" s="84" t="n"/>
      <c r="AA286" s="84" t="n"/>
      <c r="AB286" s="84" t="n"/>
      <c r="AC286" s="84" t="n"/>
      <c r="AD286" s="84" t="n"/>
      <c r="AE286" s="84" t="n"/>
      <c r="AF286" s="84" t="n"/>
      <c r="AG286" s="84" t="n"/>
      <c r="AH286" s="84" t="n"/>
      <c r="AI286" s="84" t="n"/>
      <c r="AJ286" s="84" t="n"/>
      <c r="AK286" s="84" t="n"/>
      <c r="AL286" s="84" t="n"/>
      <c r="AM286" s="84" t="n"/>
      <c r="AN286" s="84" t="n"/>
      <c r="AO286" s="84" t="n"/>
      <c r="AP286" s="84" t="n"/>
    </row>
    <row r="287" ht="15" customHeight="1" s="65">
      <c r="A287" s="84" t="n"/>
      <c r="B287" s="84" t="n"/>
      <c r="C287" s="84" t="n"/>
      <c r="D287" s="84" t="n"/>
      <c r="E287" s="84" t="n"/>
      <c r="F287" s="84" t="n"/>
      <c r="G287" s="84" t="n"/>
      <c r="H287" s="84" t="n"/>
      <c r="I287" s="84" t="n"/>
      <c r="J287" s="84" t="n"/>
      <c r="K287" s="84" t="n"/>
      <c r="L287" s="84" t="n"/>
      <c r="M287" s="84" t="n"/>
      <c r="N287" s="84" t="n"/>
      <c r="O287" s="84" t="n"/>
      <c r="P287" s="84" t="n"/>
      <c r="Q287" s="84" t="n"/>
      <c r="R287" s="84" t="n"/>
      <c r="S287" s="84" t="n"/>
      <c r="T287" s="84" t="n"/>
      <c r="U287" s="84" t="n"/>
      <c r="V287" s="84" t="n"/>
      <c r="W287" s="84" t="n"/>
      <c r="X287" s="84" t="n"/>
      <c r="Y287" s="84" t="n"/>
      <c r="Z287" s="84" t="n"/>
      <c r="AA287" s="84" t="n"/>
      <c r="AB287" s="84" t="n"/>
      <c r="AC287" s="84" t="n"/>
      <c r="AD287" s="84" t="n"/>
      <c r="AE287" s="84" t="n"/>
      <c r="AF287" s="84" t="n"/>
      <c r="AG287" s="84" t="n"/>
      <c r="AH287" s="84" t="n"/>
      <c r="AI287" s="84" t="n"/>
      <c r="AJ287" s="84" t="n"/>
      <c r="AK287" s="84" t="n"/>
      <c r="AL287" s="84" t="n"/>
      <c r="AM287" s="84" t="n"/>
      <c r="AN287" s="84" t="n"/>
      <c r="AO287" s="84" t="n"/>
      <c r="AP287" s="84" t="n"/>
    </row>
    <row r="288" ht="15" customHeight="1" s="65">
      <c r="A288" s="84" t="n"/>
      <c r="B288" s="84" t="n"/>
      <c r="C288" s="84" t="n"/>
      <c r="D288" s="84" t="n"/>
      <c r="E288" s="84" t="n"/>
      <c r="F288" s="84" t="n"/>
      <c r="G288" s="84" t="n"/>
      <c r="H288" s="84" t="n"/>
      <c r="I288" s="84" t="n"/>
      <c r="J288" s="84" t="n"/>
      <c r="K288" s="84" t="n"/>
      <c r="L288" s="84" t="n"/>
      <c r="M288" s="84" t="n"/>
      <c r="N288" s="84" t="n"/>
      <c r="O288" s="84" t="n"/>
      <c r="P288" s="84" t="n"/>
      <c r="Q288" s="84" t="n"/>
      <c r="R288" s="84" t="n"/>
      <c r="S288" s="84" t="n"/>
      <c r="T288" s="84" t="n"/>
      <c r="U288" s="84" t="n"/>
      <c r="V288" s="84" t="n"/>
      <c r="W288" s="84" t="n"/>
      <c r="X288" s="84" t="n"/>
      <c r="Y288" s="84" t="n"/>
      <c r="Z288" s="84" t="n"/>
      <c r="AA288" s="84" t="n"/>
      <c r="AB288" s="84" t="n"/>
      <c r="AC288" s="84" t="n"/>
      <c r="AD288" s="84" t="n"/>
      <c r="AE288" s="84" t="n"/>
      <c r="AF288" s="84" t="n"/>
      <c r="AG288" s="84" t="n"/>
      <c r="AH288" s="84" t="n"/>
      <c r="AI288" s="84" t="n"/>
      <c r="AJ288" s="84" t="n"/>
      <c r="AK288" s="84" t="n"/>
      <c r="AL288" s="84" t="n"/>
      <c r="AM288" s="84" t="n"/>
      <c r="AN288" s="84" t="n"/>
      <c r="AO288" s="84" t="n"/>
      <c r="AP288" s="84" t="n"/>
    </row>
    <row r="289" ht="15" customHeight="1" s="65">
      <c r="A289" s="84" t="n"/>
      <c r="B289" s="84" t="n"/>
      <c r="C289" s="84" t="n"/>
      <c r="D289" s="84" t="n"/>
      <c r="E289" s="84" t="n"/>
      <c r="F289" s="84" t="n"/>
      <c r="G289" s="84" t="n"/>
      <c r="H289" s="84" t="n"/>
      <c r="I289" s="84" t="n"/>
      <c r="J289" s="84" t="n"/>
      <c r="K289" s="84" t="n"/>
      <c r="L289" s="84" t="n"/>
      <c r="M289" s="84" t="n"/>
      <c r="N289" s="84" t="n"/>
      <c r="O289" s="84" t="n"/>
      <c r="P289" s="84" t="n"/>
      <c r="Q289" s="84" t="n"/>
      <c r="R289" s="84" t="n"/>
      <c r="S289" s="84" t="n"/>
      <c r="T289" s="84" t="n"/>
      <c r="U289" s="84" t="n"/>
      <c r="V289" s="84" t="n"/>
      <c r="W289" s="84" t="n"/>
      <c r="X289" s="84" t="n"/>
      <c r="Y289" s="84" t="n"/>
      <c r="Z289" s="84" t="n"/>
      <c r="AA289" s="84" t="n"/>
      <c r="AB289" s="84" t="n"/>
      <c r="AC289" s="84" t="n"/>
      <c r="AD289" s="84" t="n"/>
      <c r="AE289" s="84" t="n"/>
      <c r="AF289" s="84" t="n"/>
      <c r="AG289" s="84" t="n"/>
      <c r="AH289" s="84" t="n"/>
      <c r="AI289" s="84" t="n"/>
      <c r="AJ289" s="84" t="n"/>
      <c r="AK289" s="84" t="n"/>
      <c r="AL289" s="84" t="n"/>
      <c r="AM289" s="84" t="n"/>
      <c r="AN289" s="84" t="n"/>
      <c r="AO289" s="84" t="n"/>
      <c r="AP289" s="84" t="n"/>
    </row>
    <row r="290" ht="15" customHeight="1" s="65">
      <c r="A290" s="84" t="n"/>
      <c r="B290" s="84" t="n"/>
      <c r="C290" s="84" t="n"/>
      <c r="D290" s="84" t="n"/>
      <c r="E290" s="84" t="n"/>
      <c r="F290" s="84" t="n"/>
      <c r="G290" s="84" t="n"/>
      <c r="H290" s="84" t="n"/>
      <c r="I290" s="84" t="n"/>
      <c r="J290" s="84" t="n"/>
      <c r="K290" s="84" t="n"/>
      <c r="L290" s="84" t="n"/>
      <c r="M290" s="84" t="n"/>
      <c r="N290" s="84" t="n"/>
      <c r="O290" s="84" t="n"/>
      <c r="P290" s="84" t="n"/>
      <c r="Q290" s="84" t="n"/>
      <c r="R290" s="84" t="n"/>
      <c r="S290" s="84" t="n"/>
      <c r="T290" s="84" t="n"/>
      <c r="U290" s="84" t="n"/>
      <c r="V290" s="84" t="n"/>
      <c r="W290" s="84" t="n"/>
      <c r="X290" s="84" t="n"/>
      <c r="Y290" s="84" t="n"/>
      <c r="Z290" s="84" t="n"/>
      <c r="AA290" s="84" t="n"/>
      <c r="AB290" s="84" t="n"/>
      <c r="AC290" s="84" t="n"/>
      <c r="AD290" s="84" t="n"/>
      <c r="AE290" s="84" t="n"/>
      <c r="AF290" s="84" t="n"/>
      <c r="AG290" s="84" t="n"/>
      <c r="AH290" s="84" t="n"/>
      <c r="AI290" s="84" t="n"/>
      <c r="AJ290" s="84" t="n"/>
      <c r="AK290" s="84" t="n"/>
      <c r="AL290" s="84" t="n"/>
      <c r="AM290" s="84" t="n"/>
      <c r="AN290" s="84" t="n"/>
      <c r="AO290" s="84" t="n"/>
      <c r="AP290" s="84" t="n"/>
    </row>
    <row r="291" ht="15" customHeight="1" s="65">
      <c r="A291" s="84" t="n"/>
      <c r="B291" s="84" t="n"/>
      <c r="C291" s="84" t="n"/>
      <c r="D291" s="84" t="n"/>
      <c r="E291" s="84" t="n"/>
      <c r="F291" s="84" t="n"/>
      <c r="G291" s="84" t="n"/>
      <c r="H291" s="84" t="n"/>
      <c r="I291" s="84" t="n"/>
      <c r="J291" s="84" t="n"/>
      <c r="K291" s="84" t="n"/>
      <c r="L291" s="84" t="n"/>
      <c r="M291" s="84" t="n"/>
      <c r="N291" s="84" t="n"/>
      <c r="O291" s="84" t="n"/>
      <c r="P291" s="84" t="n"/>
      <c r="Q291" s="84" t="n"/>
      <c r="R291" s="84" t="n"/>
      <c r="S291" s="84" t="n"/>
      <c r="T291" s="84" t="n"/>
      <c r="U291" s="84" t="n"/>
      <c r="V291" s="84" t="n"/>
      <c r="W291" s="84" t="n"/>
      <c r="X291" s="84" t="n"/>
      <c r="Y291" s="84" t="n"/>
      <c r="Z291" s="84" t="n"/>
      <c r="AA291" s="84" t="n"/>
      <c r="AB291" s="84" t="n"/>
      <c r="AC291" s="84" t="n"/>
      <c r="AD291" s="84" t="n"/>
      <c r="AE291" s="84" t="n"/>
      <c r="AF291" s="84" t="n"/>
      <c r="AG291" s="84" t="n"/>
      <c r="AH291" s="84" t="n"/>
      <c r="AI291" s="84" t="n"/>
      <c r="AJ291" s="84" t="n"/>
      <c r="AK291" s="84" t="n"/>
      <c r="AL291" s="84" t="n"/>
      <c r="AM291" s="84" t="n"/>
      <c r="AN291" s="84" t="n"/>
      <c r="AO291" s="84" t="n"/>
      <c r="AP291" s="84" t="n"/>
    </row>
    <row r="292" ht="15" customHeight="1" s="65">
      <c r="A292" s="84" t="n"/>
      <c r="B292" s="84" t="n"/>
      <c r="C292" s="84" t="n"/>
      <c r="D292" s="84" t="n"/>
      <c r="E292" s="84" t="n"/>
      <c r="F292" s="84" t="n"/>
      <c r="G292" s="84" t="n"/>
      <c r="H292" s="84" t="n"/>
      <c r="I292" s="84" t="n"/>
      <c r="J292" s="84" t="n"/>
      <c r="K292" s="84" t="n"/>
      <c r="L292" s="84" t="n"/>
      <c r="M292" s="84" t="n"/>
      <c r="N292" s="84" t="n"/>
      <c r="O292" s="84" t="n"/>
      <c r="P292" s="84" t="n"/>
      <c r="Q292" s="84" t="n"/>
      <c r="R292" s="84" t="n"/>
      <c r="S292" s="84" t="n"/>
      <c r="T292" s="84" t="n"/>
      <c r="U292" s="84" t="n"/>
      <c r="V292" s="84" t="n"/>
      <c r="W292" s="84" t="n"/>
      <c r="X292" s="84" t="n"/>
      <c r="Y292" s="84" t="n"/>
      <c r="Z292" s="84" t="n"/>
      <c r="AA292" s="84" t="n"/>
      <c r="AB292" s="84" t="n"/>
      <c r="AC292" s="84" t="n"/>
      <c r="AD292" s="84" t="n"/>
      <c r="AE292" s="84" t="n"/>
      <c r="AF292" s="84" t="n"/>
      <c r="AG292" s="84" t="n"/>
      <c r="AH292" s="84" t="n"/>
      <c r="AI292" s="84" t="n"/>
      <c r="AJ292" s="84" t="n"/>
      <c r="AK292" s="84" t="n"/>
      <c r="AL292" s="84" t="n"/>
      <c r="AM292" s="84" t="n"/>
      <c r="AN292" s="84" t="n"/>
      <c r="AO292" s="84" t="n"/>
      <c r="AP292" s="84" t="n"/>
    </row>
    <row r="293" ht="15" customHeight="1" s="65">
      <c r="A293" s="84" t="n"/>
      <c r="B293" s="84" t="n"/>
      <c r="C293" s="84" t="n"/>
      <c r="D293" s="84" t="n"/>
      <c r="E293" s="84" t="n"/>
      <c r="F293" s="84" t="n"/>
      <c r="G293" s="84" t="n"/>
      <c r="H293" s="84" t="n"/>
      <c r="I293" s="84" t="n"/>
      <c r="J293" s="84" t="n"/>
      <c r="K293" s="84" t="n"/>
      <c r="L293" s="84" t="n"/>
      <c r="M293" s="84" t="n"/>
      <c r="N293" s="84" t="n"/>
      <c r="O293" s="84" t="n"/>
      <c r="P293" s="84" t="n"/>
      <c r="Q293" s="84" t="n"/>
      <c r="R293" s="84" t="n"/>
      <c r="S293" s="84" t="n"/>
      <c r="T293" s="84" t="n"/>
      <c r="U293" s="84" t="n"/>
      <c r="V293" s="84" t="n"/>
      <c r="W293" s="84" t="n"/>
      <c r="X293" s="84" t="n"/>
      <c r="Y293" s="84" t="n"/>
      <c r="Z293" s="84" t="n"/>
      <c r="AA293" s="84" t="n"/>
      <c r="AB293" s="84" t="n"/>
      <c r="AC293" s="84" t="n"/>
      <c r="AD293" s="84" t="n"/>
      <c r="AE293" s="84" t="n"/>
      <c r="AF293" s="84" t="n"/>
      <c r="AG293" s="84" t="n"/>
      <c r="AH293" s="84" t="n"/>
      <c r="AI293" s="84" t="n"/>
      <c r="AJ293" s="84" t="n"/>
      <c r="AK293" s="84" t="n"/>
      <c r="AL293" s="84" t="n"/>
      <c r="AM293" s="84" t="n"/>
      <c r="AN293" s="84" t="n"/>
      <c r="AO293" s="84" t="n"/>
      <c r="AP293" s="84" t="n"/>
    </row>
    <row r="294" ht="15" customHeight="1" s="65">
      <c r="A294" s="84" t="n"/>
      <c r="B294" s="84" t="n"/>
      <c r="C294" s="84" t="n"/>
      <c r="D294" s="84" t="n"/>
      <c r="E294" s="84" t="n"/>
      <c r="F294" s="84" t="n"/>
      <c r="G294" s="84" t="n"/>
      <c r="H294" s="84" t="n"/>
      <c r="I294" s="84" t="n"/>
      <c r="J294" s="84" t="n"/>
      <c r="K294" s="84" t="n"/>
      <c r="L294" s="84" t="n"/>
      <c r="M294" s="84" t="n"/>
      <c r="N294" s="84" t="n"/>
      <c r="O294" s="84" t="n"/>
      <c r="P294" s="84" t="n"/>
      <c r="Q294" s="84" t="n"/>
      <c r="R294" s="84" t="n"/>
      <c r="S294" s="84" t="n"/>
      <c r="T294" s="84" t="n"/>
      <c r="U294" s="84" t="n"/>
      <c r="V294" s="84" t="n"/>
      <c r="W294" s="84" t="n"/>
      <c r="X294" s="84" t="n"/>
      <c r="Y294" s="84" t="n"/>
      <c r="Z294" s="84" t="n"/>
      <c r="AA294" s="84" t="n"/>
      <c r="AB294" s="84" t="n"/>
      <c r="AC294" s="84" t="n"/>
      <c r="AD294" s="84" t="n"/>
      <c r="AE294" s="84" t="n"/>
      <c r="AF294" s="84" t="n"/>
      <c r="AG294" s="84" t="n"/>
      <c r="AH294" s="84" t="n"/>
      <c r="AI294" s="84" t="n"/>
      <c r="AJ294" s="84" t="n"/>
      <c r="AK294" s="84" t="n"/>
      <c r="AL294" s="84" t="n"/>
      <c r="AM294" s="84" t="n"/>
      <c r="AN294" s="84" t="n"/>
      <c r="AO294" s="84" t="n"/>
      <c r="AP294" s="84" t="n"/>
    </row>
    <row r="295" ht="15" customHeight="1" s="65">
      <c r="A295" s="84" t="n"/>
      <c r="B295" s="84" t="n"/>
      <c r="C295" s="84" t="n"/>
      <c r="D295" s="84" t="n"/>
      <c r="E295" s="84" t="n"/>
      <c r="F295" s="84" t="n"/>
      <c r="G295" s="84" t="n"/>
      <c r="H295" s="84" t="n"/>
      <c r="I295" s="84" t="n"/>
      <c r="J295" s="84" t="n"/>
      <c r="K295" s="84" t="n"/>
      <c r="L295" s="84" t="n"/>
      <c r="M295" s="84" t="n"/>
      <c r="N295" s="84" t="n"/>
      <c r="O295" s="84" t="n"/>
      <c r="P295" s="84" t="n"/>
      <c r="Q295" s="84" t="n"/>
      <c r="R295" s="84" t="n"/>
      <c r="S295" s="84" t="n"/>
      <c r="T295" s="84" t="n"/>
      <c r="U295" s="84" t="n"/>
      <c r="V295" s="84" t="n"/>
      <c r="W295" s="84" t="n"/>
      <c r="X295" s="84" t="n"/>
      <c r="Y295" s="84" t="n"/>
      <c r="Z295" s="84" t="n"/>
      <c r="AA295" s="84" t="n"/>
      <c r="AB295" s="84" t="n"/>
      <c r="AC295" s="84" t="n"/>
      <c r="AD295" s="84" t="n"/>
      <c r="AE295" s="84" t="n"/>
      <c r="AF295" s="84" t="n"/>
      <c r="AG295" s="84" t="n"/>
      <c r="AH295" s="84" t="n"/>
      <c r="AI295" s="84" t="n"/>
      <c r="AJ295" s="84" t="n"/>
      <c r="AK295" s="84" t="n"/>
      <c r="AL295" s="84" t="n"/>
      <c r="AM295" s="84" t="n"/>
      <c r="AN295" s="84" t="n"/>
      <c r="AO295" s="84" t="n"/>
      <c r="AP295" s="84" t="n"/>
    </row>
    <row r="296" ht="15" customHeight="1" s="65">
      <c r="A296" s="84" t="n"/>
      <c r="B296" s="84" t="n"/>
      <c r="C296" s="84" t="n"/>
      <c r="D296" s="84" t="n"/>
      <c r="E296" s="84" t="n"/>
      <c r="F296" s="84" t="n"/>
      <c r="G296" s="84" t="n"/>
      <c r="H296" s="84" t="n"/>
      <c r="I296" s="84" t="n"/>
      <c r="J296" s="84" t="n"/>
      <c r="K296" s="84" t="n"/>
      <c r="L296" s="84" t="n"/>
      <c r="M296" s="84" t="n"/>
      <c r="N296" s="84" t="n"/>
      <c r="O296" s="84" t="n"/>
      <c r="P296" s="84" t="n"/>
      <c r="Q296" s="84" t="n"/>
      <c r="R296" s="84" t="n"/>
      <c r="S296" s="84" t="n"/>
      <c r="T296" s="84" t="n"/>
      <c r="U296" s="84" t="n"/>
      <c r="V296" s="84" t="n"/>
      <c r="W296" s="84" t="n"/>
      <c r="X296" s="84" t="n"/>
      <c r="Y296" s="84" t="n"/>
      <c r="Z296" s="84" t="n"/>
      <c r="AA296" s="84" t="n"/>
      <c r="AB296" s="84" t="n"/>
      <c r="AC296" s="84" t="n"/>
      <c r="AD296" s="84" t="n"/>
      <c r="AE296" s="84" t="n"/>
      <c r="AF296" s="84" t="n"/>
      <c r="AG296" s="84" t="n"/>
      <c r="AH296" s="84" t="n"/>
      <c r="AI296" s="84" t="n"/>
      <c r="AJ296" s="84" t="n"/>
      <c r="AK296" s="84" t="n"/>
      <c r="AL296" s="84" t="n"/>
      <c r="AM296" s="84" t="n"/>
      <c r="AN296" s="84" t="n"/>
      <c r="AO296" s="84" t="n"/>
      <c r="AP296" s="84" t="n"/>
    </row>
    <row r="297" ht="15" customHeight="1" s="65">
      <c r="A297" s="84" t="n"/>
      <c r="B297" s="84" t="n"/>
      <c r="C297" s="84" t="n"/>
      <c r="D297" s="84" t="n"/>
      <c r="E297" s="84" t="n"/>
      <c r="F297" s="84" t="n"/>
      <c r="G297" s="84" t="n"/>
      <c r="H297" s="84" t="n"/>
      <c r="I297" s="84" t="n"/>
      <c r="J297" s="84" t="n"/>
      <c r="K297" s="84" t="n"/>
      <c r="L297" s="84" t="n"/>
      <c r="M297" s="84" t="n"/>
      <c r="N297" s="84" t="n"/>
      <c r="O297" s="84" t="n"/>
      <c r="P297" s="84" t="n"/>
      <c r="Q297" s="84" t="n"/>
      <c r="R297" s="84" t="n"/>
      <c r="S297" s="84" t="n"/>
      <c r="T297" s="84" t="n"/>
      <c r="U297" s="84" t="n"/>
      <c r="V297" s="84" t="n"/>
      <c r="W297" s="84" t="n"/>
      <c r="X297" s="84" t="n"/>
      <c r="Y297" s="84" t="n"/>
      <c r="Z297" s="84" t="n"/>
      <c r="AA297" s="84" t="n"/>
      <c r="AB297" s="84" t="n"/>
      <c r="AC297" s="84" t="n"/>
      <c r="AD297" s="84" t="n"/>
      <c r="AE297" s="84" t="n"/>
      <c r="AF297" s="84" t="n"/>
      <c r="AG297" s="84" t="n"/>
      <c r="AH297" s="84" t="n"/>
      <c r="AI297" s="84" t="n"/>
      <c r="AJ297" s="84" t="n"/>
      <c r="AK297" s="84" t="n"/>
      <c r="AL297" s="84" t="n"/>
      <c r="AM297" s="84" t="n"/>
      <c r="AN297" s="84" t="n"/>
      <c r="AO297" s="84" t="n"/>
      <c r="AP297" s="84" t="n"/>
    </row>
    <row r="298" ht="15" customHeight="1" s="65">
      <c r="A298" s="84" t="n"/>
      <c r="B298" s="84" t="n"/>
      <c r="C298" s="84" t="n"/>
      <c r="D298" s="84" t="n"/>
      <c r="E298" s="84" t="n"/>
      <c r="F298" s="84" t="n"/>
      <c r="G298" s="84" t="n"/>
      <c r="H298" s="84" t="n"/>
      <c r="I298" s="84" t="n"/>
      <c r="J298" s="84" t="n"/>
      <c r="K298" s="84" t="n"/>
      <c r="L298" s="84" t="n"/>
      <c r="M298" s="84" t="n"/>
      <c r="N298" s="84" t="n"/>
      <c r="O298" s="84" t="n"/>
      <c r="P298" s="84" t="n"/>
      <c r="Q298" s="84" t="n"/>
      <c r="R298" s="84" t="n"/>
      <c r="S298" s="84" t="n"/>
      <c r="T298" s="84" t="n"/>
      <c r="U298" s="84" t="n"/>
      <c r="V298" s="84" t="n"/>
      <c r="W298" s="84" t="n"/>
      <c r="X298" s="84" t="n"/>
      <c r="Y298" s="84" t="n"/>
      <c r="Z298" s="84" t="n"/>
      <c r="AA298" s="84" t="n"/>
      <c r="AB298" s="84" t="n"/>
      <c r="AC298" s="84" t="n"/>
      <c r="AD298" s="84" t="n"/>
      <c r="AE298" s="84" t="n"/>
      <c r="AF298" s="84" t="n"/>
      <c r="AG298" s="84" t="n"/>
      <c r="AH298" s="84" t="n"/>
      <c r="AI298" s="84" t="n"/>
      <c r="AJ298" s="84" t="n"/>
      <c r="AK298" s="84" t="n"/>
      <c r="AL298" s="84" t="n"/>
      <c r="AM298" s="84" t="n"/>
      <c r="AN298" s="84" t="n"/>
      <c r="AO298" s="84" t="n"/>
      <c r="AP298" s="84" t="n"/>
    </row>
    <row r="299" ht="15" customHeight="1" s="65">
      <c r="A299" s="84" t="n"/>
      <c r="B299" s="84" t="n"/>
      <c r="C299" s="84" t="n"/>
      <c r="D299" s="84" t="n"/>
      <c r="E299" s="84" t="n"/>
      <c r="F299" s="84" t="n"/>
      <c r="G299" s="84" t="n"/>
      <c r="H299" s="84" t="n"/>
      <c r="I299" s="84" t="n"/>
      <c r="J299" s="84" t="n"/>
      <c r="K299" s="84" t="n"/>
      <c r="L299" s="84" t="n"/>
      <c r="M299" s="84" t="n"/>
      <c r="N299" s="84" t="n"/>
      <c r="O299" s="84" t="n"/>
      <c r="P299" s="84" t="n"/>
      <c r="Q299" s="84" t="n"/>
      <c r="R299" s="84" t="n"/>
      <c r="S299" s="84" t="n"/>
      <c r="T299" s="84" t="n"/>
      <c r="U299" s="84" t="n"/>
      <c r="V299" s="84" t="n"/>
      <c r="W299" s="84" t="n"/>
      <c r="X299" s="84" t="n"/>
      <c r="Y299" s="84" t="n"/>
      <c r="Z299" s="84" t="n"/>
      <c r="AA299" s="84" t="n"/>
      <c r="AB299" s="84" t="n"/>
      <c r="AC299" s="84" t="n"/>
      <c r="AD299" s="84" t="n"/>
      <c r="AE299" s="84" t="n"/>
      <c r="AF299" s="84" t="n"/>
      <c r="AG299" s="84" t="n"/>
      <c r="AH299" s="84" t="n"/>
      <c r="AI299" s="84" t="n"/>
      <c r="AJ299" s="84" t="n"/>
      <c r="AK299" s="84" t="n"/>
      <c r="AL299" s="84" t="n"/>
      <c r="AM299" s="84" t="n"/>
      <c r="AN299" s="84" t="n"/>
      <c r="AO299" s="84" t="n"/>
      <c r="AP299" s="84" t="n"/>
    </row>
    <row r="300" ht="15" customHeight="1" s="65">
      <c r="A300" s="84" t="n"/>
      <c r="B300" s="84" t="n"/>
      <c r="C300" s="84" t="n"/>
      <c r="D300" s="84" t="n"/>
      <c r="E300" s="84" t="n"/>
      <c r="F300" s="84" t="n"/>
      <c r="G300" s="84" t="n"/>
      <c r="H300" s="84" t="n"/>
      <c r="I300" s="84" t="n"/>
      <c r="J300" s="84" t="n"/>
      <c r="K300" s="84" t="n"/>
      <c r="L300" s="84" t="n"/>
      <c r="M300" s="84" t="n"/>
      <c r="N300" s="84" t="n"/>
      <c r="O300" s="84" t="n"/>
      <c r="P300" s="84" t="n"/>
      <c r="Q300" s="84" t="n"/>
      <c r="R300" s="84" t="n"/>
      <c r="S300" s="84" t="n"/>
      <c r="T300" s="84" t="n"/>
      <c r="U300" s="84" t="n"/>
      <c r="V300" s="84" t="n"/>
      <c r="W300" s="84" t="n"/>
      <c r="X300" s="84" t="n"/>
      <c r="Y300" s="84" t="n"/>
      <c r="Z300" s="84" t="n"/>
      <c r="AA300" s="84" t="n"/>
      <c r="AB300" s="84" t="n"/>
      <c r="AC300" s="84" t="n"/>
      <c r="AD300" s="84" t="n"/>
      <c r="AE300" s="84" t="n"/>
      <c r="AF300" s="84" t="n"/>
      <c r="AG300" s="84" t="n"/>
      <c r="AH300" s="84" t="n"/>
      <c r="AI300" s="84" t="n"/>
      <c r="AJ300" s="84" t="n"/>
      <c r="AK300" s="84" t="n"/>
      <c r="AL300" s="84" t="n"/>
      <c r="AM300" s="84" t="n"/>
      <c r="AN300" s="84" t="n"/>
      <c r="AO300" s="84" t="n"/>
      <c r="AP300" s="84" t="n"/>
    </row>
  </sheetData>
  <mergeCells count="348">
    <mergeCell ref="F16:G16"/>
    <mergeCell ref="G62:I62"/>
    <mergeCell ref="C21:E21"/>
    <mergeCell ref="B88:Y88"/>
    <mergeCell ref="A1:Z1"/>
    <mergeCell ref="C23:E23"/>
    <mergeCell ref="C62:F62"/>
    <mergeCell ref="F70:G70"/>
    <mergeCell ref="B83:Y83"/>
    <mergeCell ref="C64:F64"/>
    <mergeCell ref="F23:G23"/>
    <mergeCell ref="C18:E18"/>
    <mergeCell ref="J31:K31"/>
    <mergeCell ref="B85:Y85"/>
    <mergeCell ref="L31:M31"/>
    <mergeCell ref="C34:E34"/>
    <mergeCell ref="F71:G71"/>
    <mergeCell ref="C74:E74"/>
    <mergeCell ref="J65:L65"/>
    <mergeCell ref="J63:L63"/>
    <mergeCell ref="L42:M42"/>
    <mergeCell ref="F18:G18"/>
    <mergeCell ref="F45:G45"/>
    <mergeCell ref="F42:G42"/>
    <mergeCell ref="G64:I64"/>
    <mergeCell ref="F17:G17"/>
    <mergeCell ref="B53:C53"/>
    <mergeCell ref="H17:I17"/>
    <mergeCell ref="D53:E53"/>
    <mergeCell ref="D47:E47"/>
    <mergeCell ref="B5:D5"/>
    <mergeCell ref="F47:G47"/>
    <mergeCell ref="H19:I19"/>
    <mergeCell ref="H75:I75"/>
    <mergeCell ref="J75:K75"/>
    <mergeCell ref="C24:E24"/>
    <mergeCell ref="F48:G48"/>
    <mergeCell ref="H48:I48"/>
    <mergeCell ref="J60:L60"/>
    <mergeCell ref="C26:E26"/>
    <mergeCell ref="H14:I14"/>
    <mergeCell ref="L70:M70"/>
    <mergeCell ref="F73:G73"/>
    <mergeCell ref="J81:K81"/>
    <mergeCell ref="B86:Y86"/>
    <mergeCell ref="L32:M32"/>
    <mergeCell ref="H43:I43"/>
    <mergeCell ref="J55:L55"/>
    <mergeCell ref="L47:M47"/>
    <mergeCell ref="G58:I58"/>
    <mergeCell ref="C37:E37"/>
    <mergeCell ref="J58:L58"/>
    <mergeCell ref="J25:K25"/>
    <mergeCell ref="L50:M50"/>
    <mergeCell ref="L25:M25"/>
    <mergeCell ref="C14:E14"/>
    <mergeCell ref="L52:M52"/>
    <mergeCell ref="F69:G69"/>
    <mergeCell ref="H20:I20"/>
    <mergeCell ref="L9:O9"/>
    <mergeCell ref="J14:K14"/>
    <mergeCell ref="J13:K13"/>
    <mergeCell ref="L13:M13"/>
    <mergeCell ref="J78:K78"/>
    <mergeCell ref="L78:M78"/>
    <mergeCell ref="C27:E27"/>
    <mergeCell ref="C76:E76"/>
    <mergeCell ref="J15:K15"/>
    <mergeCell ref="F51:G51"/>
    <mergeCell ref="L15:M15"/>
    <mergeCell ref="H51:I51"/>
    <mergeCell ref="L71:M71"/>
    <mergeCell ref="J80:K80"/>
    <mergeCell ref="J79:K79"/>
    <mergeCell ref="L73:M73"/>
    <mergeCell ref="F38:G38"/>
    <mergeCell ref="G60:I60"/>
    <mergeCell ref="F67:G67"/>
    <mergeCell ref="C45:E45"/>
    <mergeCell ref="B54:Y54"/>
    <mergeCell ref="F82:G82"/>
    <mergeCell ref="H33:I33"/>
    <mergeCell ref="C59:F59"/>
    <mergeCell ref="J33:K33"/>
    <mergeCell ref="H35:I35"/>
    <mergeCell ref="C61:F61"/>
    <mergeCell ref="C40:E40"/>
    <mergeCell ref="J28:K28"/>
    <mergeCell ref="L53:M53"/>
    <mergeCell ref="L28:M28"/>
    <mergeCell ref="D50:E50"/>
    <mergeCell ref="H39:I39"/>
    <mergeCell ref="J68:K68"/>
    <mergeCell ref="L68:M68"/>
    <mergeCell ref="C71:E71"/>
    <mergeCell ref="F72:G72"/>
    <mergeCell ref="H72:I72"/>
    <mergeCell ref="L79:M79"/>
    <mergeCell ref="C77:E77"/>
    <mergeCell ref="B49:C49"/>
    <mergeCell ref="J21:K21"/>
    <mergeCell ref="L21:M21"/>
    <mergeCell ref="C56:F56"/>
    <mergeCell ref="L81:M81"/>
    <mergeCell ref="M5:O5"/>
    <mergeCell ref="H23:I23"/>
    <mergeCell ref="J23:K23"/>
    <mergeCell ref="L16:M16"/>
    <mergeCell ref="F19:G19"/>
    <mergeCell ref="H41:I41"/>
    <mergeCell ref="H34:I34"/>
    <mergeCell ref="J34:K34"/>
    <mergeCell ref="F20:G20"/>
    <mergeCell ref="H49:I49"/>
    <mergeCell ref="J49:K49"/>
    <mergeCell ref="H36:I36"/>
    <mergeCell ref="J36:K36"/>
    <mergeCell ref="L30:M30"/>
    <mergeCell ref="G56:I56"/>
    <mergeCell ref="L69:M69"/>
    <mergeCell ref="L44:M44"/>
    <mergeCell ref="H80:I80"/>
    <mergeCell ref="V9:Y9"/>
    <mergeCell ref="C16:E16"/>
    <mergeCell ref="B12:Y12"/>
    <mergeCell ref="H31:I31"/>
    <mergeCell ref="C57:F57"/>
    <mergeCell ref="B52:C52"/>
    <mergeCell ref="C36:E36"/>
    <mergeCell ref="D52:E52"/>
    <mergeCell ref="H73:I73"/>
    <mergeCell ref="J24:K24"/>
    <mergeCell ref="L24:M24"/>
    <mergeCell ref="L18:M18"/>
    <mergeCell ref="C58:F58"/>
    <mergeCell ref="C67:E67"/>
    <mergeCell ref="J26:K26"/>
    <mergeCell ref="L26:M26"/>
    <mergeCell ref="C69:E69"/>
    <mergeCell ref="F22:G22"/>
    <mergeCell ref="H22:I22"/>
    <mergeCell ref="L8:O8"/>
    <mergeCell ref="J50:K50"/>
    <mergeCell ref="H42:I42"/>
    <mergeCell ref="J42:K42"/>
    <mergeCell ref="L10:O10"/>
    <mergeCell ref="J52:K52"/>
    <mergeCell ref="L77:M77"/>
    <mergeCell ref="J39:K39"/>
    <mergeCell ref="B9:E9"/>
    <mergeCell ref="J44:K44"/>
    <mergeCell ref="B47:C47"/>
    <mergeCell ref="G57:I57"/>
    <mergeCell ref="J37:K37"/>
    <mergeCell ref="L37:M37"/>
    <mergeCell ref="F40:G40"/>
    <mergeCell ref="B48:C48"/>
    <mergeCell ref="C17:E17"/>
    <mergeCell ref="C82:E82"/>
    <mergeCell ref="F41:G41"/>
    <mergeCell ref="B84:Y84"/>
    <mergeCell ref="H70:I70"/>
    <mergeCell ref="F35:G35"/>
    <mergeCell ref="J70:K70"/>
    <mergeCell ref="S5:U5"/>
    <mergeCell ref="C19:E19"/>
    <mergeCell ref="H32:I32"/>
    <mergeCell ref="J32:K32"/>
    <mergeCell ref="H47:I47"/>
    <mergeCell ref="J47:K47"/>
    <mergeCell ref="H76:I76"/>
    <mergeCell ref="J76:K76"/>
    <mergeCell ref="L27:M27"/>
    <mergeCell ref="F25:G25"/>
    <mergeCell ref="G65:I65"/>
    <mergeCell ref="J53:K53"/>
    <mergeCell ref="J45:K45"/>
    <mergeCell ref="L45:M45"/>
    <mergeCell ref="D48:E48"/>
    <mergeCell ref="G63:I63"/>
    <mergeCell ref="L38:M38"/>
    <mergeCell ref="G8:J8"/>
    <mergeCell ref="J61:L61"/>
    <mergeCell ref="F13:G13"/>
    <mergeCell ref="H13:I13"/>
    <mergeCell ref="L40:M40"/>
    <mergeCell ref="G10:J10"/>
    <mergeCell ref="F43:G43"/>
    <mergeCell ref="B51:C51"/>
    <mergeCell ref="H15:I15"/>
    <mergeCell ref="D51:E51"/>
    <mergeCell ref="H71:I71"/>
    <mergeCell ref="J71:K71"/>
    <mergeCell ref="C20:E20"/>
    <mergeCell ref="C25:E25"/>
    <mergeCell ref="J73:K73"/>
    <mergeCell ref="C22:E22"/>
    <mergeCell ref="H25:I25"/>
    <mergeCell ref="J77:K77"/>
    <mergeCell ref="B87:Y87"/>
    <mergeCell ref="F33:G33"/>
    <mergeCell ref="G55:I55"/>
    <mergeCell ref="C38:E38"/>
    <mergeCell ref="F75:G75"/>
    <mergeCell ref="C13:E13"/>
    <mergeCell ref="F31:G31"/>
    <mergeCell ref="V10:Y10"/>
    <mergeCell ref="F28:G28"/>
    <mergeCell ref="H28:I28"/>
    <mergeCell ref="C15:E15"/>
    <mergeCell ref="F39:G39"/>
    <mergeCell ref="C33:E33"/>
    <mergeCell ref="C79:E79"/>
    <mergeCell ref="C73:E73"/>
    <mergeCell ref="C35:E35"/>
    <mergeCell ref="F21:G21"/>
    <mergeCell ref="G9:J9"/>
    <mergeCell ref="H21:I21"/>
    <mergeCell ref="B29:Y29"/>
    <mergeCell ref="L43:M43"/>
    <mergeCell ref="G5:I5"/>
    <mergeCell ref="F50:G50"/>
    <mergeCell ref="J74:K74"/>
    <mergeCell ref="L74:M74"/>
    <mergeCell ref="C72:E72"/>
    <mergeCell ref="C28:E28"/>
    <mergeCell ref="H16:I16"/>
    <mergeCell ref="J16:K16"/>
    <mergeCell ref="B89:Y89"/>
    <mergeCell ref="L76:M76"/>
    <mergeCell ref="C65:F65"/>
    <mergeCell ref="C30:E30"/>
    <mergeCell ref="J57:L57"/>
    <mergeCell ref="B90:Y90"/>
    <mergeCell ref="F49:G49"/>
    <mergeCell ref="F14:G14"/>
    <mergeCell ref="C60:F60"/>
    <mergeCell ref="H30:I30"/>
    <mergeCell ref="H67:I67"/>
    <mergeCell ref="C41:E41"/>
    <mergeCell ref="J67:K67"/>
    <mergeCell ref="F78:G78"/>
    <mergeCell ref="L67:M67"/>
    <mergeCell ref="H78:I78"/>
    <mergeCell ref="H44:I44"/>
    <mergeCell ref="C43:E43"/>
    <mergeCell ref="J69:K69"/>
    <mergeCell ref="L51:M51"/>
    <mergeCell ref="C55:F55"/>
    <mergeCell ref="F52:G52"/>
    <mergeCell ref="F37:G37"/>
    <mergeCell ref="H24:I24"/>
    <mergeCell ref="H18:I18"/>
    <mergeCell ref="J18:K18"/>
    <mergeCell ref="J17:K17"/>
    <mergeCell ref="F53:G53"/>
    <mergeCell ref="H82:I82"/>
    <mergeCell ref="L17:M17"/>
    <mergeCell ref="H53:I53"/>
    <mergeCell ref="J82:K82"/>
    <mergeCell ref="H26:I26"/>
    <mergeCell ref="C44:E44"/>
    <mergeCell ref="L82:M82"/>
    <mergeCell ref="C31:E31"/>
    <mergeCell ref="F68:G68"/>
    <mergeCell ref="C80:E80"/>
    <mergeCell ref="J19:K19"/>
    <mergeCell ref="L19:M19"/>
    <mergeCell ref="L75:M75"/>
    <mergeCell ref="F15:G15"/>
    <mergeCell ref="F80:G80"/>
    <mergeCell ref="L39:M39"/>
    <mergeCell ref="L14:M14"/>
    <mergeCell ref="F79:G79"/>
    <mergeCell ref="H52:I52"/>
    <mergeCell ref="H79:I79"/>
    <mergeCell ref="H45:I45"/>
    <mergeCell ref="F81:G81"/>
    <mergeCell ref="H81:I81"/>
    <mergeCell ref="H37:I37"/>
    <mergeCell ref="C63:F63"/>
    <mergeCell ref="C42:E42"/>
    <mergeCell ref="L72:M72"/>
    <mergeCell ref="B46:Y46"/>
    <mergeCell ref="Q9:T9"/>
    <mergeCell ref="C75:E75"/>
    <mergeCell ref="F34:G34"/>
    <mergeCell ref="H50:I50"/>
    <mergeCell ref="F74:G74"/>
    <mergeCell ref="H74:I74"/>
    <mergeCell ref="H68:I68"/>
    <mergeCell ref="F30:G30"/>
    <mergeCell ref="C39:E39"/>
    <mergeCell ref="F76:G76"/>
    <mergeCell ref="C70:E70"/>
    <mergeCell ref="J27:K27"/>
    <mergeCell ref="C32:E32"/>
    <mergeCell ref="C81:E81"/>
    <mergeCell ref="H69:I69"/>
    <mergeCell ref="J20:K20"/>
    <mergeCell ref="L20:M20"/>
    <mergeCell ref="A2:Z2"/>
    <mergeCell ref="J22:K22"/>
    <mergeCell ref="L22:M22"/>
    <mergeCell ref="J51:K51"/>
    <mergeCell ref="L80:M80"/>
    <mergeCell ref="B66:Y66"/>
    <mergeCell ref="H38:I38"/>
    <mergeCell ref="J38:K38"/>
    <mergeCell ref="H40:I40"/>
    <mergeCell ref="J40:K40"/>
    <mergeCell ref="D49:E49"/>
    <mergeCell ref="L33:M33"/>
    <mergeCell ref="F36:G36"/>
    <mergeCell ref="B4:Z4"/>
    <mergeCell ref="J56:L56"/>
    <mergeCell ref="J35:K35"/>
    <mergeCell ref="L35:M35"/>
    <mergeCell ref="V8:Y8"/>
    <mergeCell ref="C78:E78"/>
    <mergeCell ref="F77:G77"/>
    <mergeCell ref="H77:I77"/>
    <mergeCell ref="J59:L59"/>
    <mergeCell ref="J72:K72"/>
    <mergeCell ref="J30:K30"/>
    <mergeCell ref="F24:G24"/>
    <mergeCell ref="L23:M23"/>
    <mergeCell ref="F32:G32"/>
    <mergeCell ref="F26:G26"/>
    <mergeCell ref="J62:L62"/>
    <mergeCell ref="Q8:T8"/>
    <mergeCell ref="J41:K41"/>
    <mergeCell ref="L41:M41"/>
    <mergeCell ref="C68:E68"/>
    <mergeCell ref="F27:G27"/>
    <mergeCell ref="G59:I59"/>
    <mergeCell ref="J64:L64"/>
    <mergeCell ref="Q10:T10"/>
    <mergeCell ref="H27:I27"/>
    <mergeCell ref="L34:M34"/>
    <mergeCell ref="B8:E8"/>
    <mergeCell ref="J43:K43"/>
    <mergeCell ref="G61:I61"/>
    <mergeCell ref="L49:M49"/>
    <mergeCell ref="B50:C50"/>
    <mergeCell ref="L36:M36"/>
    <mergeCell ref="B10:E10"/>
    <mergeCell ref="F44:G44"/>
  </mergeCells>
  <dataValidations count="4">
    <dataValidation sqref="E5" showDropDown="0" showInputMessage="0" showErrorMessage="0" allowBlank="0" type="list" errorStyle="stop" operator="between">
      <formula1>"Acct1,Acct2,Combined"</formula1>
      <formula2>0</formula2>
    </dataValidation>
    <dataValidation sqref="K5" showDropDown="0" showInputMessage="0" showErrorMessage="0" allowBlank="0" type="list">
      <formula1>=Months_Ref!$A$2:$A$25</formula1>
    </dataValidation>
    <dataValidation sqref="Q5" showDropDown="0" showInputMessage="0" showErrorMessage="0" allowBlank="0" type="list">
      <formula1>=Months_Ref!$A$2:$A$25</formula1>
    </dataValidation>
    <dataValidation sqref="W5" showDropDown="0" showInputMessage="0" showErrorMessage="0" allowBlank="0" type="list" errorStyle="stop" operator="between">
      <formula1>"5,10,15"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B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64" min="1" max="1"/>
    <col width="95" customWidth="1" style="64" min="2" max="2"/>
  </cols>
  <sheetData>
    <row r="1" ht="27.75" customHeight="1" s="65">
      <c r="A1" s="125" t="inlineStr">
        <is>
          <t>HOW IT WORKS — v5: Dynamic Months, Fixed MoM Ranking, Dropdown-Responsive Filters</t>
        </is>
      </c>
    </row>
    <row r="2" ht="19.5" customHeight="1" s="65">
      <c r="A2" s="126" t="inlineStr">
        <is>
          <t>WHAT WAS FIXED IN v5</t>
        </is>
      </c>
    </row>
    <row r="3" ht="16.5" customHeight="1" s="65">
      <c r="A3" s="127" t="inlineStr">
        <is>
          <t>✓</t>
        </is>
      </c>
      <c r="B3" s="128" t="inlineStr">
        <is>
          <t>BUG 1 FIXED: Service_List formulas no longer hardcode month strings. They reference Months_Ref!$A$N which reads dynamically from Acct1_Raw col A. Paste any months — formulas follow automatically.</t>
        </is>
      </c>
    </row>
    <row r="4" ht="16.5" customHeight="1" s="65">
      <c r="A4" s="127" t="inlineStr">
        <is>
          <t>✓</t>
        </is>
      </c>
      <c r="B4" s="129" t="inlineStr">
        <is>
          <t>BUG 2 FIXED: Chart_Engine month lookup table reads from Months_Ref (not hardcoded). Col resolver for curr/prior months always points to the right Service_List column regardless of what months you paste.</t>
        </is>
      </c>
    </row>
    <row r="5" ht="16.5" customHeight="1" s="65">
      <c r="A5" s="127" t="inlineStr">
        <is>
          <t>✓</t>
        </is>
      </c>
      <c r="B5" s="128" t="inlineStr">
        <is>
          <t>BUG 3 FIXED: MoM ranking used RANK(ABS(H), ABS(range)) which Excel cannot evaluate. Now col K stores =ABS(H) as plain values, and RANK(K, $K$range) works correctly across all 66 services.</t>
        </is>
      </c>
    </row>
    <row r="6" ht="19.5" customHeight="1" s="65">
      <c r="A6" s="130" t="inlineStr">
        <is>
          <t>DATA FLOW</t>
        </is>
      </c>
    </row>
    <row r="7" ht="16.5" customHeight="1" s="65">
      <c r="B7" s="128" t="inlineStr">
        <is>
          <t>Acct1_Raw / Acct2_Raw  →  Months_Ref (dynamic month list)  →  Service_List (INDEX/MATCH)  →  Chart_Engine (RANK + ranked tables)  →  Dashboard (KPIs + 5 charts)</t>
        </is>
      </c>
    </row>
    <row r="8" ht="19.5" customHeight="1" s="65">
      <c r="A8" s="130" t="inlineStr">
        <is>
          <t>MONTHS_REF SHEET (hidden)</t>
        </is>
      </c>
    </row>
    <row r="9" ht="16.5" customHeight="1" s="65">
      <c r="B9" s="128" t="inlineStr">
        <is>
          <t>Reads Acct1_Raw col A rows 3–26 directly. Supports up to 24 months. No hardcoded dates anywhere.</t>
        </is>
      </c>
    </row>
    <row r="10" ht="16.5" customHeight="1" s="65">
      <c r="B10" s="129" t="inlineStr">
        <is>
          <t>When you paste a new month (e.g. 2/1/26), it automatically appears in Months_Ref after recalc.</t>
        </is>
      </c>
    </row>
    <row r="11" ht="19.5" customHeight="1" s="65">
      <c r="A11" s="130" t="inlineStr">
        <is>
          <t>SERVICE_LIST SHEET (hidden)</t>
        </is>
      </c>
    </row>
    <row r="12" ht="16.5" customHeight="1" s="65">
      <c r="B12" s="129" t="inlineStr">
        <is>
          <t>Each cell: =IFERROR(IF(Months_Ref!$A$N="",0, INDEX(Acct1_Raw data, MATCH(Months_Ref!$A$N,...), MATCH(service,...))),0)</t>
        </is>
      </c>
    </row>
    <row r="13" ht="16.5" customHeight="1" s="65">
      <c r="B13" s="128" t="inlineStr">
        <is>
          <t>The month string comes from Months_Ref, not hardcoded. Change the raw data — formulas follow.</t>
        </is>
      </c>
    </row>
    <row r="14" ht="19.5" customHeight="1" s="65">
      <c r="A14" s="130" t="inlineStr">
        <is>
          <t>CHART_ENGINE SHEET (hidden)</t>
        </is>
      </c>
    </row>
    <row r="15" ht="16.5" customHeight="1" s="65">
      <c r="B15" s="128" t="inlineStr">
        <is>
          <t>Col F (curr cost): =INDEX(Service_List row, col from resolver). Col resolver uses Dashboard!E5+K5 to pick the right account×month column.</t>
        </is>
      </c>
    </row>
    <row r="16" ht="16.5" customHeight="1" s="65">
      <c r="B16" s="129" t="inlineStr">
        <is>
          <t>Col K (AbsMoM): =ABS(H) — plain value. Col L (Rank_MoM): =RANK(K, $K$range) — works correctly.</t>
        </is>
      </c>
    </row>
    <row r="17" ht="19.5" customHeight="1" s="65">
      <c r="A17" s="131" t="inlineStr">
        <is>
          <t>MONTHLY WORKFLOW</t>
        </is>
      </c>
    </row>
    <row r="18" ht="16.5" customHeight="1" s="65">
      <c r="A18" s="127" t="inlineStr">
        <is>
          <t>1</t>
        </is>
      </c>
      <c r="B18" s="129" t="inlineStr">
        <is>
          <t>Download CSV from AWS Cost Explorer (Wide format, Monthly granularity) for Account 1.</t>
        </is>
      </c>
    </row>
    <row r="19" ht="16.5" customHeight="1" s="65">
      <c r="A19" s="127" t="inlineStr">
        <is>
          <t>2</t>
        </is>
      </c>
      <c r="B19" s="128" t="inlineStr">
        <is>
          <t>Acct1_Raw: select all rows below header row 1 → Delete → Paste new CSV data.</t>
        </is>
      </c>
    </row>
    <row r="20" ht="16.5" customHeight="1" s="65">
      <c r="A20" s="127" t="inlineStr">
        <is>
          <t>3</t>
        </is>
      </c>
      <c r="B20" s="129" t="inlineStr">
        <is>
          <t>Repeat for Account 2 → Acct2_Raw.</t>
        </is>
      </c>
    </row>
    <row r="21" ht="16.5" customHeight="1" s="65">
      <c r="A21" s="127" t="inlineStr">
        <is>
          <t>4</t>
        </is>
      </c>
      <c r="B21" s="128" t="inlineStr">
        <is>
          <t>Press Cmd+Option+F9 (Mac). Months_Ref picks up new month. All formulas cascade.</t>
        </is>
      </c>
    </row>
    <row r="22" ht="16.5" customHeight="1" s="65">
      <c r="A22" s="127" t="inlineStr">
        <is>
          <t>5</t>
        </is>
      </c>
      <c r="B22" s="129" t="inlineStr">
        <is>
          <t>Update K5, Q5 dropdowns. If new month not listed: Data → Data Validation → add to source list.</t>
        </is>
      </c>
    </row>
    <row r="23" ht="16.5" customHeight="1" s="65">
      <c r="A23" s="127" t="inlineStr">
        <is>
          <t>6</t>
        </is>
      </c>
      <c r="B23" s="128" t="inlineStr">
        <is>
          <t>All 5 charts and all KPIs reflect new data.</t>
        </is>
      </c>
    </row>
  </sheetData>
  <mergeCells count="7">
    <mergeCell ref="A2:B2"/>
    <mergeCell ref="A11:B11"/>
    <mergeCell ref="A14:B14"/>
    <mergeCell ref="A1:B1"/>
    <mergeCell ref="A17:B17"/>
    <mergeCell ref="A8:B8"/>
    <mergeCell ref="A6:B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2026-03-03T03:24:38Z</dcterms:created>
  <dcterms:modified xsi:type="dcterms:W3CDTF">2026-03-03T04:21:31Z</dcterms:modified>
  <cp:revision>1</cp:revision>
</cp:coreProperties>
</file>