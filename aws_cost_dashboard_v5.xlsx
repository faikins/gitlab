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backupFile="false" showObjects="all" date1904="false"/>
  <bookViews>
    <workbookView showHorizontalScroll="true" showVerticalScroll="true" showSheetTabs="true" xWindow="0" yWindow="0" windowWidth="16384" windowHeight="8192" tabRatio="500" firstSheet="0" activeTab="0"/>
  </bookViews>
  <sheets>
    <sheet name="Acct1_Raw" sheetId="1" state="visible" r:id="rId3"/>
    <sheet name="Acct2_Raw" sheetId="2" state="visible" r:id="rId4"/>
    <sheet name="Months_Ref" sheetId="3" state="hidden" r:id="rId5"/>
    <sheet name="Service_List" sheetId="4" state="hidden" r:id="rId6"/>
    <sheet name="Chart_Engine" sheetId="5" state="hidden" r:id="rId7"/>
    <sheet name="Dashboard" sheetId="6" state="visible" r:id="rId8"/>
    <sheet name="How_It_Works" sheetId="7" state="visible" r:id="rId9"/>
  </sheets>
  <calcPr iterateCount="100" refMode="A1" iterate="false" iterateDelta="0.0001"/>
</workbook>
</file>

<file path=xl/sharedStrings.xml><?xml version="1.0" encoding="utf-8"?>
<sst xmlns="http://schemas.openxmlformats.org/spreadsheetml/2006/main" count="496" uniqueCount="307">
  <si>
    <t xml:space="preserve">Service</t>
  </si>
  <si>
    <t xml:space="preserve">Relational Database Service($)</t>
  </si>
  <si>
    <t xml:space="preserve">S3($)</t>
  </si>
  <si>
    <t xml:space="preserve">DMS($)</t>
  </si>
  <si>
    <t xml:space="preserve">Glue($)</t>
  </si>
  <si>
    <t xml:space="preserve">EC2-Instances($)</t>
  </si>
  <si>
    <t xml:space="preserve">Lambda($)</t>
  </si>
  <si>
    <t xml:space="preserve">CloudFront($)</t>
  </si>
  <si>
    <t xml:space="preserve">Route53($)</t>
  </si>
  <si>
    <t xml:space="preserve">CloudWatch($)</t>
  </si>
  <si>
    <t xml:space="preserve">SNS($)</t>
  </si>
  <si>
    <t xml:space="preserve">SQS($)</t>
  </si>
  <si>
    <t xml:space="preserve">DynamoDB($)</t>
  </si>
  <si>
    <t xml:space="preserve">ElastiCache($)</t>
  </si>
  <si>
    <t xml:space="preserve">ECS($)</t>
  </si>
  <si>
    <t xml:space="preserve">EKS($)</t>
  </si>
  <si>
    <t xml:space="preserve">ECR($)</t>
  </si>
  <si>
    <t xml:space="preserve">VPC($)</t>
  </si>
  <si>
    <t xml:space="preserve">Direct Connect($)</t>
  </si>
  <si>
    <t xml:space="preserve">API Gateway($)</t>
  </si>
  <si>
    <t xml:space="preserve">Kinesis($)</t>
  </si>
  <si>
    <t xml:space="preserve">Firehose($)</t>
  </si>
  <si>
    <t xml:space="preserve">Athena($)</t>
  </si>
  <si>
    <t xml:space="preserve">Redshift($)</t>
  </si>
  <si>
    <t xml:space="preserve">EMR($)</t>
  </si>
  <si>
    <t xml:space="preserve">SageMaker($)</t>
  </si>
  <si>
    <t xml:space="preserve">Rekognition($)</t>
  </si>
  <si>
    <t xml:space="preserve">Textract($)</t>
  </si>
  <si>
    <t xml:space="preserve">Comprehend($)</t>
  </si>
  <si>
    <t xml:space="preserve">Translate($)</t>
  </si>
  <si>
    <t xml:space="preserve">Polly($)</t>
  </si>
  <si>
    <t xml:space="preserve">Transcribe($)</t>
  </si>
  <si>
    <t xml:space="preserve">Lex($)</t>
  </si>
  <si>
    <t xml:space="preserve">Connect($)</t>
  </si>
  <si>
    <t xml:space="preserve">Chime($)</t>
  </si>
  <si>
    <t xml:space="preserve">WorkSpaces($)</t>
  </si>
  <si>
    <t xml:space="preserve">AppStream($)</t>
  </si>
  <si>
    <t xml:space="preserve">WAF($)</t>
  </si>
  <si>
    <t xml:space="preserve">Shield($)</t>
  </si>
  <si>
    <t xml:space="preserve">GuardDuty($)</t>
  </si>
  <si>
    <t xml:space="preserve">Inspector($)</t>
  </si>
  <si>
    <t xml:space="preserve">Macie($)</t>
  </si>
  <si>
    <t xml:space="preserve">Security Hub($)</t>
  </si>
  <si>
    <t xml:space="preserve">Config($)</t>
  </si>
  <si>
    <t xml:space="preserve">CloudTrail($)</t>
  </si>
  <si>
    <t xml:space="preserve">Systems Manager($)</t>
  </si>
  <si>
    <t xml:space="preserve">Secrets Manager($)</t>
  </si>
  <si>
    <t xml:space="preserve">KMS($)</t>
  </si>
  <si>
    <t xml:space="preserve">ACM($)</t>
  </si>
  <si>
    <t xml:space="preserve">IAM($)</t>
  </si>
  <si>
    <t xml:space="preserve">Organizations($)</t>
  </si>
  <si>
    <t xml:space="preserve">Control Tower($)</t>
  </si>
  <si>
    <t xml:space="preserve">Service Catalog($)</t>
  </si>
  <si>
    <t xml:space="preserve">CodePipeline($)</t>
  </si>
  <si>
    <t xml:space="preserve">CodeBuild($)</t>
  </si>
  <si>
    <t xml:space="preserve">CodeDeploy($)</t>
  </si>
  <si>
    <t xml:space="preserve">CodeCommit($)</t>
  </si>
  <si>
    <t xml:space="preserve">Amplify($)</t>
  </si>
  <si>
    <t xml:space="preserve">AppSync($)</t>
  </si>
  <si>
    <t xml:space="preserve">EventBridge($)</t>
  </si>
  <si>
    <t xml:space="preserve">Step Functions($)</t>
  </si>
  <si>
    <t xml:space="preserve">Batch($)</t>
  </si>
  <si>
    <t xml:space="preserve">Fargate($)</t>
  </si>
  <si>
    <t xml:space="preserve">Lightsail($)</t>
  </si>
  <si>
    <t xml:space="preserve">Transfer Family($)</t>
  </si>
  <si>
    <t xml:space="preserve">DataSync($)</t>
  </si>
  <si>
    <t xml:space="preserve">Backup($)</t>
  </si>
  <si>
    <t xml:space="preserve">Total($)</t>
  </si>
  <si>
    <t xml:space="preserve">Service total</t>
  </si>
  <si>
    <t xml:space="preserve">54634.461</t>
  </si>
  <si>
    <t xml:space="preserve">2570.572</t>
  </si>
  <si>
    <t xml:space="preserve">24257.961</t>
  </si>
  <si>
    <t xml:space="preserve">19600.221</t>
  </si>
  <si>
    <t xml:space="preserve">62600.036</t>
  </si>
  <si>
    <t xml:space="preserve">66509.019</t>
  </si>
  <si>
    <t xml:space="preserve">86409.898</t>
  </si>
  <si>
    <t xml:space="preserve">8062.016</t>
  </si>
  <si>
    <t xml:space="preserve">39511.087</t>
  </si>
  <si>
    <t xml:space="preserve">3195.743</t>
  </si>
  <si>
    <t xml:space="preserve">21816.55</t>
  </si>
  <si>
    <t xml:space="preserve">45402.021</t>
  </si>
  <si>
    <t xml:space="preserve">2832.546</t>
  </si>
  <si>
    <t xml:space="preserve">17444.887</t>
  </si>
  <si>
    <t xml:space="preserve">59420.127</t>
  </si>
  <si>
    <t xml:space="preserve">46977.557</t>
  </si>
  <si>
    <t xml:space="preserve">20650.936</t>
  </si>
  <si>
    <t xml:space="preserve">57519.581</t>
  </si>
  <si>
    <t xml:space="preserve">71495.073</t>
  </si>
  <si>
    <t xml:space="preserve">1114.693</t>
  </si>
  <si>
    <t xml:space="preserve">79868.491</t>
  </si>
  <si>
    <t xml:space="preserve">63133.719</t>
  </si>
  <si>
    <t xml:space="preserve">28480.529</t>
  </si>
  <si>
    <t xml:space="preserve">13186.517</t>
  </si>
  <si>
    <t xml:space="preserve">79447.163</t>
  </si>
  <si>
    <t xml:space="preserve">31473.856</t>
  </si>
  <si>
    <t xml:space="preserve">9410.882</t>
  </si>
  <si>
    <t xml:space="preserve">9102.495</t>
  </si>
  <si>
    <t xml:space="preserve">69699.668</t>
  </si>
  <si>
    <t xml:space="preserve">53281.027</t>
  </si>
  <si>
    <t xml:space="preserve">79976.555</t>
  </si>
  <si>
    <t xml:space="preserve">66221.388</t>
  </si>
  <si>
    <t xml:space="preserve">53111.906</t>
  </si>
  <si>
    <t xml:space="preserve">93917.161</t>
  </si>
  <si>
    <t xml:space="preserve">31075.96</t>
  </si>
  <si>
    <t xml:space="preserve">52157.551</t>
  </si>
  <si>
    <t xml:space="preserve">77465.303</t>
  </si>
  <si>
    <t xml:space="preserve">56308.962</t>
  </si>
  <si>
    <t xml:space="preserve">74016.017</t>
  </si>
  <si>
    <t xml:space="preserve">53687.354</t>
  </si>
  <si>
    <t xml:space="preserve">58648.542</t>
  </si>
  <si>
    <t xml:space="preserve">4635.422</t>
  </si>
  <si>
    <t xml:space="preserve">20779.985</t>
  </si>
  <si>
    <t xml:space="preserve">28873.902</t>
  </si>
  <si>
    <t xml:space="preserve">8314.727</t>
  </si>
  <si>
    <t xml:space="preserve">20398.266</t>
  </si>
  <si>
    <t xml:space="preserve">9630.657</t>
  </si>
  <si>
    <t xml:space="preserve">23815.124</t>
  </si>
  <si>
    <t xml:space="preserve">62169.648</t>
  </si>
  <si>
    <t xml:space="preserve">35677.426</t>
  </si>
  <si>
    <t xml:space="preserve">32335.931</t>
  </si>
  <si>
    <t xml:space="preserve">19867.105</t>
  </si>
  <si>
    <t xml:space="preserve">25001.07</t>
  </si>
  <si>
    <t xml:space="preserve">78481.227</t>
  </si>
  <si>
    <t xml:space="preserve">61607.544</t>
  </si>
  <si>
    <t xml:space="preserve">55489.925</t>
  </si>
  <si>
    <t xml:space="preserve">16785.816</t>
  </si>
  <si>
    <t xml:space="preserve">66183.293</t>
  </si>
  <si>
    <t xml:space="preserve">13689.104</t>
  </si>
  <si>
    <t xml:space="preserve">33309.173</t>
  </si>
  <si>
    <t xml:space="preserve">80503.982</t>
  </si>
  <si>
    <t xml:space="preserve">62777.73</t>
  </si>
  <si>
    <t xml:space="preserve">54208.165</t>
  </si>
  <si>
    <t xml:space="preserve">65904.199</t>
  </si>
  <si>
    <t xml:space="preserve">73027.064</t>
  </si>
  <si>
    <t xml:space="preserve">63787.609</t>
  </si>
  <si>
    <t xml:space="preserve">2862950.125</t>
  </si>
  <si>
    <t xml:space="preserve">8/1/25</t>
  </si>
  <si>
    <t xml:space="preserve">9/1/25</t>
  </si>
  <si>
    <t xml:space="preserve">10/1/25</t>
  </si>
  <si>
    <t xml:space="preserve">11/1/25</t>
  </si>
  <si>
    <t xml:space="preserve">12/1/25</t>
  </si>
  <si>
    <t xml:space="preserve">1/1/26</t>
  </si>
  <si>
    <t xml:space="preserve">55859.312</t>
  </si>
  <si>
    <t xml:space="preserve">66208.262</t>
  </si>
  <si>
    <t xml:space="preserve">46089.558</t>
  </si>
  <si>
    <t xml:space="preserve">48133.683</t>
  </si>
  <si>
    <t xml:space="preserve">33536.154</t>
  </si>
  <si>
    <t xml:space="preserve">82390.927</t>
  </si>
  <si>
    <t xml:space="preserve">25591.611</t>
  </si>
  <si>
    <t xml:space="preserve">8492.748</t>
  </si>
  <si>
    <t xml:space="preserve">15860.747</t>
  </si>
  <si>
    <t xml:space="preserve">46149.767</t>
  </si>
  <si>
    <t xml:space="preserve">81773.745</t>
  </si>
  <si>
    <t xml:space="preserve">44171.148</t>
  </si>
  <si>
    <t xml:space="preserve">4272.455</t>
  </si>
  <si>
    <t xml:space="preserve">24151.186</t>
  </si>
  <si>
    <t xml:space="preserve">8632.52</t>
  </si>
  <si>
    <t xml:space="preserve">26290.596</t>
  </si>
  <si>
    <t xml:space="preserve">30115.969</t>
  </si>
  <si>
    <t xml:space="preserve">89157.66</t>
  </si>
  <si>
    <t xml:space="preserve">48023.915</t>
  </si>
  <si>
    <t xml:space="preserve">77760.722</t>
  </si>
  <si>
    <t xml:space="preserve">77001.727</t>
  </si>
  <si>
    <t xml:space="preserve">10905.133</t>
  </si>
  <si>
    <t xml:space="preserve">13328.324</t>
  </si>
  <si>
    <t xml:space="preserve">85931.348</t>
  </si>
  <si>
    <t xml:space="preserve">1015.105</t>
  </si>
  <si>
    <t xml:space="preserve">41424.242</t>
  </si>
  <si>
    <t xml:space="preserve">64982.802</t>
  </si>
  <si>
    <t xml:space="preserve">21453.139</t>
  </si>
  <si>
    <t xml:space="preserve">68228.944</t>
  </si>
  <si>
    <t xml:space="preserve">74821.604</t>
  </si>
  <si>
    <t xml:space="preserve">78999.392</t>
  </si>
  <si>
    <t xml:space="preserve">29544.305</t>
  </si>
  <si>
    <t xml:space="preserve">23355.999</t>
  </si>
  <si>
    <t xml:space="preserve">30370.471</t>
  </si>
  <si>
    <t xml:space="preserve">3472.252</t>
  </si>
  <si>
    <t xml:space="preserve">2599.511</t>
  </si>
  <si>
    <t xml:space="preserve">21217.32</t>
  </si>
  <si>
    <t xml:space="preserve">17178.338</t>
  </si>
  <si>
    <t xml:space="preserve">63673.442</t>
  </si>
  <si>
    <t xml:space="preserve">31874.19</t>
  </si>
  <si>
    <t xml:space="preserve">5000.685</t>
  </si>
  <si>
    <t xml:space="preserve">29340.297</t>
  </si>
  <si>
    <t xml:space="preserve">11165.981</t>
  </si>
  <si>
    <t xml:space="preserve">2570.355</t>
  </si>
  <si>
    <t xml:space="preserve">53615.247</t>
  </si>
  <si>
    <t xml:space="preserve">22481.161</t>
  </si>
  <si>
    <t xml:space="preserve">23684.128</t>
  </si>
  <si>
    <t xml:space="preserve">16681.628</t>
  </si>
  <si>
    <t xml:space="preserve">59218.188</t>
  </si>
  <si>
    <t xml:space="preserve">64379.922</t>
  </si>
  <si>
    <t xml:space="preserve">92618.417</t>
  </si>
  <si>
    <t xml:space="preserve">79214.059</t>
  </si>
  <si>
    <t xml:space="preserve">21089.409</t>
  </si>
  <si>
    <t xml:space="preserve">56730.102</t>
  </si>
  <si>
    <t xml:space="preserve">25129.477</t>
  </si>
  <si>
    <t xml:space="preserve">12508.267</t>
  </si>
  <si>
    <t xml:space="preserve">41899.573</t>
  </si>
  <si>
    <t xml:space="preserve">87673.043</t>
  </si>
  <si>
    <t xml:space="preserve">29815.843</t>
  </si>
  <si>
    <t xml:space="preserve">45830.589</t>
  </si>
  <si>
    <t xml:space="preserve">70010.662</t>
  </si>
  <si>
    <t xml:space="preserve">7535.836</t>
  </si>
  <si>
    <t xml:space="preserve">1199.364</t>
  </si>
  <si>
    <t xml:space="preserve">84939.778</t>
  </si>
  <si>
    <t xml:space="preserve">79360.156</t>
  </si>
  <si>
    <t xml:space="preserve">61879.021</t>
  </si>
  <si>
    <t xml:space="preserve">2709611.461</t>
  </si>
  <si>
    <t xml:space="preserve">Month (from Acct1_Raw)</t>
  </si>
  <si>
    <t xml:space="preserve">N_Months</t>
  </si>
  <si>
    <t xml:space="preserve">Month</t>
  </si>
  <si>
    <t xml:space="preserve">A1_col</t>
  </si>
  <si>
    <t xml:space="preserve">A2_col</t>
  </si>
  <si>
    <t xml:space="preserve">CB_col</t>
  </si>
  <si>
    <t xml:space="preserve">curr_col</t>
  </si>
  <si>
    <t xml:space="preserve">prior_col</t>
  </si>
  <si>
    <t xml:space="preserve">Curr($)</t>
  </si>
  <si>
    <t xml:space="preserve">Prior($)</t>
  </si>
  <si>
    <t xml:space="preserve">MoM_D</t>
  </si>
  <si>
    <t xml:space="preserve">MoM_P</t>
  </si>
  <si>
    <t xml:space="preserve">Rank_Curr</t>
  </si>
  <si>
    <t xml:space="preserve">AbsMoM</t>
  </si>
  <si>
    <t xml:space="preserve">Rank_MoM</t>
  </si>
  <si>
    <t xml:space="preserve">Rank</t>
  </si>
  <si>
    <t xml:space="preserve">Acct1($)</t>
  </si>
  <si>
    <t xml:space="preserve">Acct2($)</t>
  </si>
  <si>
    <t xml:space="preserve">Comb($)</t>
  </si>
  <si>
    <t xml:space="preserve">Cost($)</t>
  </si>
  <si>
    <t xml:space="preserve">topn</t>
  </si>
  <si>
    <t xml:space="preserve">Other</t>
  </si>
  <si>
    <t xml:space="preserve">☁  AWS Cost Explorer — Interactive Cost Dashboard</t>
  </si>
  <si>
    <t xml:space="preserve">Live formulas throughout — paste CSVs → Cmd+Option+F9 → all data, charts &amp; KPIs update</t>
  </si>
  <si>
    <t xml:space="preserve">Current($)</t>
  </si>
  <si>
    <t xml:space="preserve">  🎛  FILTERS — Select below, then press Cmd+Option+F9 (Mac) or Ctrl+Alt+F5 (Windows)</t>
  </si>
  <si>
    <t xml:space="preserve">Account</t>
  </si>
  <si>
    <t xml:space="preserve">Acct1</t>
  </si>
  <si>
    <t xml:space="preserve">Current Month</t>
  </si>
  <si>
    <t xml:space="preserve">Prior Month</t>
  </si>
  <si>
    <t xml:space="preserve">Top N</t>
  </si>
  <si>
    <t xml:space="preserve">10</t>
  </si>
  <si>
    <t xml:space="preserve">Current Month Total</t>
  </si>
  <si>
    <t xml:space="preserve">Prior Month Total</t>
  </si>
  <si>
    <t xml:space="preserve">MoM Change ($)</t>
  </si>
  <si>
    <t xml:space="preserve">MoM Change (%)</t>
  </si>
  <si>
    <t xml:space="preserve">Services Tracked</t>
  </si>
  <si>
    <t xml:space="preserve">"vs Prior Month"</t>
  </si>
  <si>
    <t xml:space="preserve">"Both accounts combined"</t>
  </si>
  <si>
    <t xml:space="preserve">📊  Chart 1 of 5: Top N Services by Current Month Cost  (Account &amp; Month from filters)</t>
  </si>
  <si>
    <t xml:space="preserve">#</t>
  </si>
  <si>
    <t xml:space="preserve">Current ($)</t>
  </si>
  <si>
    <t xml:space="preserve">Prior ($)</t>
  </si>
  <si>
    <t xml:space="preserve">MoM Δ ($)</t>
  </si>
  <si>
    <t xml:space="preserve">MoM Δ %</t>
  </si>
  <si>
    <t xml:space="preserve">MoM_D($)</t>
  </si>
  <si>
    <t xml:space="preserve">📈  Chart 2 of 5: Top N Services by MoM Change ($)  (biggest movers, all accounts)</t>
  </si>
  <si>
    <t xml:space="preserve">Acct2</t>
  </si>
  <si>
    <t xml:space="preserve">Combined</t>
  </si>
  <si>
    <t xml:space="preserve">📉  Chart 3 of 5: Monthly Cost Trend — All Months (auto-expands as you add months)</t>
  </si>
  <si>
    <t xml:space="preserve">Acct1 ($)</t>
  </si>
  <si>
    <t xml:space="preserve">Acct2 ($)</t>
  </si>
  <si>
    <t xml:space="preserve">Combined ($)</t>
  </si>
  <si>
    <t xml:space="preserve">Acct1 MoM%</t>
  </si>
  <si>
    <t xml:space="preserve">Acct2 MoM%</t>
  </si>
  <si>
    <t xml:space="preserve">🥧  Chart 4 of 5: Cost Share by Service — Top 9 + Other  (reflects all filters)</t>
  </si>
  <si>
    <t xml:space="preserve">% of Total</t>
  </si>
  <si>
    <t xml:space="preserve">⚖️   Chart 5 of 5: Account Comparison — Acct1 vs Acct2  (Top N by Selected Account | Current Month)</t>
  </si>
  <si>
    <t xml:space="preserve">Difference ($)</t>
  </si>
  <si>
    <t xml:space="preserve">Acct1 %</t>
  </si>
  <si>
    <t xml:space="preserve">📋  MONTHLY REFRESH CHECKLIST</t>
  </si>
  <si>
    <t xml:space="preserve">1. ☐  Download CSV from AWS Cost Explorer for Acct1 (Wide format, Monthly granularity)</t>
  </si>
  <si>
    <t xml:space="preserve">2. ☐  Acct1_Raw → select all rows BELOW the header (row 1) → Delete → Paste new CSV data</t>
  </si>
  <si>
    <t xml:space="preserve">3. ☐  Repeat for Acct2 → Acct2_Raw</t>
  </si>
  <si>
    <t xml:space="preserve">4. ☐  Cmd+Option+F9 (Mac) or Ctrl+Alt+F5 (Windows) — Months_Ref auto-reads new dates</t>
  </si>
  <si>
    <t xml:space="preserve">5. ☐  Update E5 (Account), K5 (Current Month), Q5 (Prior Month), W5 (Top N) dropdowns</t>
  </si>
  <si>
    <t xml:space="preserve">6. ☐  If new month not in dropdowns: Data → Data Validation → add new month to K5/Q5 source</t>
  </si>
  <si>
    <t xml:space="preserve">7. ☐  All 5 charts, KPIs, and tables now reflect the new data  ✓</t>
  </si>
  <si>
    <t xml:space="preserve">HOW IT WORKS — v5: Dynamic Months, Fixed MoM Ranking, Dropdown-Responsive Filters</t>
  </si>
  <si>
    <t xml:space="preserve">WHAT WAS FIXED IN v5</t>
  </si>
  <si>
    <t xml:space="preserve">✓</t>
  </si>
  <si>
    <t xml:space="preserve">BUG 1 FIXED: Service_List formulas no longer hardcode month strings. They reference Months_Ref!$A$N which reads dynamically from Acct1_Raw col A. Paste any months — formulas follow automatically.</t>
  </si>
  <si>
    <t xml:space="preserve">BUG 2 FIXED: Chart_Engine month lookup table reads from Months_Ref (not hardcoded). Col resolver for curr/prior months always points to the right Service_List column regardless of what months you paste.</t>
  </si>
  <si>
    <t xml:space="preserve">BUG 3 FIXED: MoM ranking used RANK(ABS(H), ABS(range)) which Excel cannot evaluate. Now col K stores =ABS(H) as plain values, and RANK(K, $K$range) works correctly across all 66 services.</t>
  </si>
  <si>
    <t xml:space="preserve">DATA FLOW</t>
  </si>
  <si>
    <t xml:space="preserve">Acct1_Raw / Acct2_Raw  →  Months_Ref (dynamic month list)  →  Service_List (INDEX/MATCH)  →  Chart_Engine (RANK + ranked tables)  →  Dashboard (KPIs + 5 charts)</t>
  </si>
  <si>
    <t xml:space="preserve">MONTHS_REF SHEET (hidden)</t>
  </si>
  <si>
    <t xml:space="preserve">Reads Acct1_Raw col A rows 3–26 directly. Supports up to 24 months. No hardcoded dates anywhere.</t>
  </si>
  <si>
    <t xml:space="preserve">When you paste a new month (e.g. 2/1/26), it automatically appears in Months_Ref after recalc.</t>
  </si>
  <si>
    <t xml:space="preserve">SERVICE_LIST SHEET (hidden)</t>
  </si>
  <si>
    <t xml:space="preserve">Each cell: =IFERROR(IF(Months_Ref!$A$N="",0, INDEX(Acct1_Raw data, MATCH(Months_Ref!$A$N,...), MATCH(service,...))),0)</t>
  </si>
  <si>
    <t xml:space="preserve">The month string comes from Months_Ref, not hardcoded. Change the raw data — formulas follow.</t>
  </si>
  <si>
    <t xml:space="preserve">CHART_ENGINE SHEET (hidden)</t>
  </si>
  <si>
    <t xml:space="preserve">Col F (curr cost): =INDEX(Service_List row, col from resolver). Col resolver uses Dashboard!E5+K5 to pick the right account×month column.</t>
  </si>
  <si>
    <t xml:space="preserve">Col K (AbsMoM): =ABS(H) — plain value. Col L (Rank_MoM): =RANK(K, $K$range) — works correctly.</t>
  </si>
  <si>
    <t xml:space="preserve">MONTHLY WORKFLOW</t>
  </si>
  <si>
    <t xml:space="preserve">1</t>
  </si>
  <si>
    <t xml:space="preserve">Download CSV from AWS Cost Explorer (Wide format, Monthly granularity) for Account 1.</t>
  </si>
  <si>
    <t xml:space="preserve">2</t>
  </si>
  <si>
    <t xml:space="preserve">Acct1_Raw: select all rows below header row 1 → Delete → Paste new CSV data.</t>
  </si>
  <si>
    <t xml:space="preserve">3</t>
  </si>
  <si>
    <t xml:space="preserve">Repeat for Account 2 → Acct2_Raw.</t>
  </si>
  <si>
    <t xml:space="preserve">4</t>
  </si>
  <si>
    <t xml:space="preserve">Press Cmd+Option+F9 (Mac). Months_Ref picks up new month. All formulas cascade.</t>
  </si>
  <si>
    <t xml:space="preserve">5</t>
  </si>
  <si>
    <t xml:space="preserve">Update K5, Q5 dropdowns. If new month not listed: Data → Data Validation → add to source list.</t>
  </si>
  <si>
    <t xml:space="preserve">6</t>
  </si>
  <si>
    <t xml:space="preserve">All 5 charts and all KPIs reflect new data.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</si>
</sst>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%"/>
    <numFmt numFmtId="167" formatCode="#,##0"/>
    <numFmt numFmtId="168" formatCode="\+#,##0;\-#,##0"/>
    <numFmt numFmtId="169" formatCode="\+0.0%;\-0.0%;0.0%"/>
    <numFmt numFmtId="170" formatCode="0"/>
    <numFmt numFmtId="171" formatCode="\+#,##0.00;\-#,##0.00"/>
    <numFmt numFmtId="172" formatCode="\+0.0%;\-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9"/>
      <color rgb="FFBDD7E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8"/>
      <color rgb="FFBDD7E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C55A11"/>
        <bgColor rgb="FFED7D31"/>
      </patternFill>
    </fill>
    <fill>
      <patternFill patternType="solid">
        <fgColor rgb="FF375623"/>
        <bgColor rgb="FF595959"/>
      </patternFill>
    </fill>
    <fill>
      <patternFill patternType="solid">
        <fgColor rgb="FF2E75B6"/>
        <bgColor rgb="FF4472C4"/>
      </patternFill>
    </fill>
    <fill>
      <patternFill patternType="solid">
        <fgColor rgb="FFF0F4F8"/>
        <bgColor rgb="FFEEF4FB"/>
      </patternFill>
    </fill>
    <fill>
      <patternFill patternType="solid">
        <fgColor rgb="FFDEEAF1"/>
        <bgColor rgb="FFEEF4FB"/>
      </patternFill>
    </fill>
    <fill>
      <patternFill patternType="solid">
        <fgColor rgb="FFFFFFFF"/>
        <bgColor rgb="FFF9F9F9"/>
      </patternFill>
    </fill>
    <fill>
      <patternFill patternType="solid">
        <fgColor rgb="FFEEF4FB"/>
        <bgColor rgb="FFF0F4F8"/>
      </patternFill>
    </fill>
    <fill>
      <patternFill patternType="solid">
        <fgColor rgb="FF843C0C"/>
        <bgColor rgb="FF595959"/>
      </patternFill>
    </fill>
    <fill>
      <patternFill patternType="solid">
        <fgColor rgb="FFC00000"/>
        <bgColor rgb="FFFF0000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F0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EAF1"/>
      </left>
      <right style="thin">
        <color rgb="FFDEEAF1"/>
      </right>
      <top style="thin">
        <color rgb="FFDEEAF1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6" fillId="1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EF4FB"/>
      <rgbColor rgb="FFF0F4F8"/>
      <rgbColor rgb="FFF2F2F2"/>
      <rgbColor rgb="FFA9D18E"/>
      <rgbColor rgb="FFF9F9F9"/>
      <rgbColor rgb="FFCC99FF"/>
      <rgbColor rgb="FFD9D9D9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003366"/>
      <rgbColor rgb="FF4F81BD"/>
      <rgbColor rgb="FF003300"/>
      <rgbColor rgb="FF333300"/>
      <rgbColor rgb="FF843C0C"/>
      <rgbColor rgb="FFC55A11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N Services — Current Month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Dashboard!AC2</c:f>
              <c:strCache>
                <c:ptCount val="1"/>
                <c:pt idx="0">
                  <c:v>Current($)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Dashboard!$AB$3:$AB$17</c:f>
              <c:strCache>
                <c:ptCount val="15"/>
                <c:pt idx="0">
                  <c:v>Batch($)</c:v>
                </c:pt>
                <c:pt idx="1">
                  <c:v>CodeBuild($)</c:v>
                </c:pt>
                <c:pt idx="2">
                  <c:v>Chime($)</c:v>
                </c:pt>
                <c:pt idx="3">
                  <c:v>DataSync($)</c:v>
                </c:pt>
                <c:pt idx="4">
                  <c:v>CloudFront($)</c:v>
                </c:pt>
                <c:pt idx="5">
                  <c:v>SageMaker($)</c:v>
                </c:pt>
                <c:pt idx="6">
                  <c:v>GuardDuty($)</c:v>
                </c:pt>
                <c:pt idx="7">
                  <c:v>WAF($)</c:v>
                </c:pt>
                <c:pt idx="8">
                  <c:v>Transcribe($)</c:v>
                </c:pt>
                <c:pt idx="9">
                  <c:v>API Gateway($)</c:v>
                </c:pt>
                <c:pt idx="10">
                  <c:v>Translate($)</c:v>
                </c:pt>
                <c:pt idx="11">
                  <c:v>Firehose($)</c:v>
                </c:pt>
                <c:pt idx="12">
                  <c:v>Athena($)</c:v>
                </c:pt>
                <c:pt idx="13">
                  <c:v>AppSync($)</c:v>
                </c:pt>
                <c:pt idx="14">
                  <c:v>Transfer Family($)</c:v>
                </c:pt>
              </c:strCache>
            </c:strRef>
          </c:cat>
          <c:val>
            <c:numRef>
              <c:f>Dashboard!$AC$3:$AC$17</c:f>
              <c:numCache>
                <c:formatCode>#,##0.00</c:formatCode>
                <c:ptCount val="15"/>
                <c:pt idx="0">
                  <c:v>15512.515</c:v>
                </c:pt>
                <c:pt idx="1">
                  <c:v>15455.827</c:v>
                </c:pt>
                <c:pt idx="2">
                  <c:v>15384.035</c:v>
                </c:pt>
                <c:pt idx="3">
                  <c:v>14365.916</c:v>
                </c:pt>
                <c:pt idx="4">
                  <c:v>14222.876</c:v>
                </c:pt>
                <c:pt idx="5">
                  <c:v>14013.558</c:v>
                </c:pt>
                <c:pt idx="6">
                  <c:v>13414.014</c:v>
                </c:pt>
                <c:pt idx="7">
                  <c:v>12336.252</c:v>
                </c:pt>
                <c:pt idx="8">
                  <c:v>11892.791</c:v>
                </c:pt>
                <c:pt idx="9">
                  <c:v>11724.125</c:v>
                </c:pt>
                <c:pt idx="10">
                  <c:v>11660.599</c:v>
                </c:pt>
                <c:pt idx="11">
                  <c:v>11568.293</c:v>
                </c:pt>
                <c:pt idx="12">
                  <c:v>11300.897</c:v>
                </c:pt>
                <c:pt idx="13">
                  <c:v>11093.646</c:v>
                </c:pt>
                <c:pt idx="14">
                  <c:v>11086.39</c:v>
                </c:pt>
              </c:numCache>
            </c:numRef>
          </c:val>
        </c:ser>
        <c:ser>
          <c:idx val="1"/>
          <c:order val="1"/>
          <c:tx>
            <c:strRef>
              <c:f>Dashboard!AD2</c:f>
              <c:strCache>
                <c:ptCount val="1"/>
                <c:pt idx="0">
                  <c:v>Prior($)</c:v>
                </c:pt>
              </c:strCache>
            </c:strRef>
          </c:tx>
          <c:spPr>
            <a:solidFill>
              <a:srgbClr val="bdd7e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Dashboard!$AB$3:$AB$17</c:f>
              <c:strCache>
                <c:ptCount val="15"/>
                <c:pt idx="0">
                  <c:v>Batch($)</c:v>
                </c:pt>
                <c:pt idx="1">
                  <c:v>CodeBuild($)</c:v>
                </c:pt>
                <c:pt idx="2">
                  <c:v>Chime($)</c:v>
                </c:pt>
                <c:pt idx="3">
                  <c:v>DataSync($)</c:v>
                </c:pt>
                <c:pt idx="4">
                  <c:v>CloudFront($)</c:v>
                </c:pt>
                <c:pt idx="5">
                  <c:v>SageMaker($)</c:v>
                </c:pt>
                <c:pt idx="6">
                  <c:v>GuardDuty($)</c:v>
                </c:pt>
                <c:pt idx="7">
                  <c:v>WAF($)</c:v>
                </c:pt>
                <c:pt idx="8">
                  <c:v>Transcribe($)</c:v>
                </c:pt>
                <c:pt idx="9">
                  <c:v>API Gateway($)</c:v>
                </c:pt>
                <c:pt idx="10">
                  <c:v>Translate($)</c:v>
                </c:pt>
                <c:pt idx="11">
                  <c:v>Firehose($)</c:v>
                </c:pt>
                <c:pt idx="12">
                  <c:v>Athena($)</c:v>
                </c:pt>
                <c:pt idx="13">
                  <c:v>AppSync($)</c:v>
                </c:pt>
                <c:pt idx="14">
                  <c:v>Transfer Family($)</c:v>
                </c:pt>
              </c:strCache>
            </c:strRef>
          </c:cat>
          <c:val>
            <c:numRef>
              <c:f>Dashboard!$AD$3:$AD$17</c:f>
              <c:numCache>
                <c:formatCode>#,##0.00</c:formatCode>
                <c:ptCount val="15"/>
                <c:pt idx="0">
                  <c:v>16027.611</c:v>
                </c:pt>
                <c:pt idx="1">
                  <c:v>14258.022</c:v>
                </c:pt>
                <c:pt idx="2">
                  <c:v>15782.181</c:v>
                </c:pt>
                <c:pt idx="3">
                  <c:v>11053.966</c:v>
                </c:pt>
                <c:pt idx="4">
                  <c:v>13285.737</c:v>
                </c:pt>
                <c:pt idx="5">
                  <c:v>13993.823</c:v>
                </c:pt>
                <c:pt idx="6">
                  <c:v>13009.142</c:v>
                </c:pt>
                <c:pt idx="7">
                  <c:v>11246.776</c:v>
                </c:pt>
                <c:pt idx="8">
                  <c:v>12693.929</c:v>
                </c:pt>
                <c:pt idx="9">
                  <c:v>11062.893</c:v>
                </c:pt>
                <c:pt idx="10">
                  <c:v>12706.196</c:v>
                </c:pt>
                <c:pt idx="11">
                  <c:v>11179.972</c:v>
                </c:pt>
                <c:pt idx="12">
                  <c:v>10423.939</c:v>
                </c:pt>
                <c:pt idx="13">
                  <c:v>10171.923</c:v>
                </c:pt>
                <c:pt idx="14">
                  <c:v>9604.208</c:v>
                </c:pt>
              </c:numCache>
            </c:numRef>
          </c:val>
        </c:ser>
        <c:gapWidth val="150"/>
        <c:overlap val="-10"/>
        <c:axId val="13291015"/>
        <c:axId val="71157035"/>
      </c:barChart>
      <c:catAx>
        <c:axId val="1329101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57035"/>
        <c:crosses val="autoZero"/>
        <c:auto val="1"/>
        <c:lblAlgn val="ctr"/>
        <c:lblOffset val="100"/>
        <c:noMultiLvlLbl val="0"/>
      </c:catAx>
      <c:valAx>
        <c:axId val="711570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910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N Services — MoM Change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Dashboard!AC19</c:f>
              <c:strCache>
                <c:ptCount val="1"/>
                <c:pt idx="0">
                  <c:v>MoM_D($)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Dashboard!$AB$20:$AB$34</c:f>
              <c:strCache>
                <c:ptCount val="15"/>
                <c:pt idx="0">
                  <c:v>DataSync($)</c:v>
                </c:pt>
                <c:pt idx="1">
                  <c:v>Shield($)</c:v>
                </c:pt>
                <c:pt idx="2">
                  <c:v>IAM($)</c:v>
                </c:pt>
                <c:pt idx="3">
                  <c:v>CodeDeploy($)</c:v>
                </c:pt>
                <c:pt idx="4">
                  <c:v>CodeCommit($)</c:v>
                </c:pt>
                <c:pt idx="5">
                  <c:v>Transfer Family($)</c:v>
                </c:pt>
                <c:pt idx="6">
                  <c:v>Lambda($)</c:v>
                </c:pt>
                <c:pt idx="7">
                  <c:v>Direct Connect($)</c:v>
                </c:pt>
                <c:pt idx="8">
                  <c:v>CodeBuild($)</c:v>
                </c:pt>
                <c:pt idx="9">
                  <c:v>WAF($)</c:v>
                </c:pt>
                <c:pt idx="10">
                  <c:v>Translate($)</c:v>
                </c:pt>
                <c:pt idx="11">
                  <c:v>Connect($)</c:v>
                </c:pt>
                <c:pt idx="12">
                  <c:v>CloudFront($)</c:v>
                </c:pt>
                <c:pt idx="13">
                  <c:v>AppSync($)</c:v>
                </c:pt>
                <c:pt idx="14">
                  <c:v>Athena($)</c:v>
                </c:pt>
              </c:strCache>
            </c:strRef>
          </c:cat>
          <c:val>
            <c:numRef>
              <c:f>Dashboard!$AC$20:$AC$34</c:f>
              <c:numCache>
                <c:formatCode>#,##0.00</c:formatCode>
                <c:ptCount val="15"/>
                <c:pt idx="0">
                  <c:v>3311.95</c:v>
                </c:pt>
                <c:pt idx="1">
                  <c:v>-2320.615</c:v>
                </c:pt>
                <c:pt idx="2">
                  <c:v>-1951.953</c:v>
                </c:pt>
                <c:pt idx="3">
                  <c:v>-1887.547</c:v>
                </c:pt>
                <c:pt idx="4">
                  <c:v>-1821.673</c:v>
                </c:pt>
                <c:pt idx="5">
                  <c:v>1482.182</c:v>
                </c:pt>
                <c:pt idx="6">
                  <c:v>1467.085</c:v>
                </c:pt>
                <c:pt idx="7">
                  <c:v>1441.11</c:v>
                </c:pt>
                <c:pt idx="8">
                  <c:v>1197.805</c:v>
                </c:pt>
                <c:pt idx="9">
                  <c:v>1089.476</c:v>
                </c:pt>
                <c:pt idx="10">
                  <c:v>-1045.597</c:v>
                </c:pt>
                <c:pt idx="11">
                  <c:v>-1006.779</c:v>
                </c:pt>
                <c:pt idx="12">
                  <c:v>937.139000000001</c:v>
                </c:pt>
                <c:pt idx="13">
                  <c:v>921.723</c:v>
                </c:pt>
                <c:pt idx="14">
                  <c:v>876.958000000001</c:v>
                </c:pt>
              </c:numCache>
            </c:numRef>
          </c:val>
        </c:ser>
        <c:gapWidth val="150"/>
        <c:overlap val="0"/>
        <c:axId val="66492730"/>
        <c:axId val="26381225"/>
      </c:barChart>
      <c:catAx>
        <c:axId val="6649273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MoM Δ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81225"/>
        <c:crosses val="autoZero"/>
        <c:auto val="1"/>
        <c:lblAlgn val="ctr"/>
        <c:lblOffset val="100"/>
        <c:noMultiLvlLbl val="0"/>
      </c:catAx>
      <c:valAx>
        <c:axId val="26381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927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Cost Trend — Acct1 / Acct2 / Combined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Dashboard!AC36</c:f>
              <c:strCache>
                <c:ptCount val="1"/>
                <c:pt idx="0">
                  <c:v>Acct1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Dashboard!$AB$37:$AB$42</c:f>
              <c:strCache>
                <c:ptCount val="6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</c:strCache>
            </c:strRef>
          </c:cat>
          <c:val>
            <c:numRef>
              <c:f>Dashboard!$AC$37:$AC$42</c:f>
              <c:numCache>
                <c:formatCode>#,##0.00</c:formatCode>
                <c:ptCount val="6"/>
                <c:pt idx="0">
                  <c:v>474371.397</c:v>
                </c:pt>
                <c:pt idx="1">
                  <c:v>480182.009</c:v>
                </c:pt>
                <c:pt idx="2">
                  <c:v>483330.519</c:v>
                </c:pt>
                <c:pt idx="3">
                  <c:v>477796.982</c:v>
                </c:pt>
                <c:pt idx="4">
                  <c:v>474735.204</c:v>
                </c:pt>
                <c:pt idx="5">
                  <c:v>472288.498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Dashboard!AD36</c:f>
              <c:strCache>
                <c:ptCount val="1"/>
                <c:pt idx="0">
                  <c:v>Acct2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Dashboard!$AB$37:$AB$42</c:f>
              <c:strCache>
                <c:ptCount val="6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</c:strCache>
            </c:strRef>
          </c:cat>
          <c:val>
            <c:numRef>
              <c:f>Dashboard!$AD$37:$AD$42</c:f>
              <c:numCache>
                <c:formatCode>#,##0.00</c:formatCode>
                <c:ptCount val="6"/>
                <c:pt idx="0">
                  <c:v>447795.004</c:v>
                </c:pt>
                <c:pt idx="1">
                  <c:v>433250.809</c:v>
                </c:pt>
                <c:pt idx="2">
                  <c:v>441339.158</c:v>
                </c:pt>
                <c:pt idx="3">
                  <c:v>454138.274</c:v>
                </c:pt>
                <c:pt idx="4">
                  <c:v>449403.33</c:v>
                </c:pt>
                <c:pt idx="5">
                  <c:v>449777.497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Dashboard!AE36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375623"/>
            </a:solidFill>
            <a:ln w="24840">
              <a:solidFill>
                <a:srgbClr val="375623"/>
              </a:solidFill>
              <a:round/>
            </a:ln>
          </c:spPr>
          <c:marker>
            <c:symbol val="circle"/>
            <c:size val="6"/>
            <c:spPr>
              <a:solidFill>
                <a:srgbClr val="37562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Dashboard!$AB$37:$AB$42</c:f>
              <c:strCache>
                <c:ptCount val="6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</c:strCache>
            </c:strRef>
          </c:cat>
          <c:val>
            <c:numRef>
              <c:f>Dashboard!$AE$37:$AE$42</c:f>
              <c:numCache>
                <c:formatCode>#,##0.00</c:formatCode>
                <c:ptCount val="6"/>
                <c:pt idx="0">
                  <c:v>922166.401</c:v>
                </c:pt>
                <c:pt idx="1">
                  <c:v>913432.818</c:v>
                </c:pt>
                <c:pt idx="2">
                  <c:v>924669.677</c:v>
                </c:pt>
                <c:pt idx="3">
                  <c:v>931935.256</c:v>
                </c:pt>
                <c:pt idx="4">
                  <c:v>924138.534</c:v>
                </c:pt>
                <c:pt idx="5">
                  <c:v>922065.995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0307339"/>
        <c:axId val="33881319"/>
      </c:lineChart>
      <c:catAx>
        <c:axId val="103073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81319"/>
        <c:crosses val="autoZero"/>
        <c:auto val="1"/>
        <c:lblAlgn val="ctr"/>
        <c:lblOffset val="100"/>
        <c:noMultiLvlLbl val="0"/>
      </c:catAx>
      <c:valAx>
        <c:axId val="33881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073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Share by Service (Current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Dashboard!AC44</c:f>
              <c:strCache>
                <c:ptCount val="1"/>
                <c:pt idx="0">
                  <c:v>Cost($)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37562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ff0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00b0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843c0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bfbfbf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Dashboard!$AB$45:$AB$54</c:f>
              <c:strCache>
                <c:ptCount val="10"/>
                <c:pt idx="0">
                  <c:v>Batch($)</c:v>
                </c:pt>
                <c:pt idx="1">
                  <c:v>CodeBuild($)</c:v>
                </c:pt>
                <c:pt idx="2">
                  <c:v>Chime($)</c:v>
                </c:pt>
                <c:pt idx="3">
                  <c:v>DataSync($)</c:v>
                </c:pt>
                <c:pt idx="4">
                  <c:v>CloudFront($)</c:v>
                </c:pt>
                <c:pt idx="5">
                  <c:v>SageMaker($)</c:v>
                </c:pt>
                <c:pt idx="6">
                  <c:v>GuardDuty($)</c:v>
                </c:pt>
                <c:pt idx="7">
                  <c:v>WAF($)</c:v>
                </c:pt>
                <c:pt idx="8">
                  <c:v>Transcribe($)</c:v>
                </c:pt>
                <c:pt idx="9">
                  <c:v>Other</c:v>
                </c:pt>
              </c:strCache>
            </c:strRef>
          </c:cat>
          <c:val>
            <c:numRef>
              <c:f>Dashboard!$AC$45:$AC$54</c:f>
              <c:numCache>
                <c:formatCode>#,##0.00</c:formatCode>
                <c:ptCount val="10"/>
                <c:pt idx="0">
                  <c:v>15512.515</c:v>
                </c:pt>
                <c:pt idx="1">
                  <c:v>15455.827</c:v>
                </c:pt>
                <c:pt idx="2">
                  <c:v>15384.035</c:v>
                </c:pt>
                <c:pt idx="3">
                  <c:v>14365.916</c:v>
                </c:pt>
                <c:pt idx="4">
                  <c:v>14222.876</c:v>
                </c:pt>
                <c:pt idx="5">
                  <c:v>14013.558</c:v>
                </c:pt>
                <c:pt idx="6">
                  <c:v>13414.014</c:v>
                </c:pt>
                <c:pt idx="7">
                  <c:v>12336.252</c:v>
                </c:pt>
                <c:pt idx="8">
                  <c:v>11892.791</c:v>
                </c:pt>
                <c:pt idx="9">
                  <c:v>345690.714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Acct1 vs Acct2 — Current Month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Dashboard!AC56</c:f>
              <c:strCache>
                <c:ptCount val="1"/>
                <c:pt idx="0">
                  <c:v>Acct1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Dashboard!$AB$57:$AB$71</c:f>
              <c:strCache>
                <c:ptCount val="15"/>
                <c:pt idx="0">
                  <c:v>Batch($)</c:v>
                </c:pt>
                <c:pt idx="1">
                  <c:v>CodeBuild($)</c:v>
                </c:pt>
                <c:pt idx="2">
                  <c:v>Chime($)</c:v>
                </c:pt>
                <c:pt idx="3">
                  <c:v>DataSync($)</c:v>
                </c:pt>
                <c:pt idx="4">
                  <c:v>CloudFront($)</c:v>
                </c:pt>
                <c:pt idx="5">
                  <c:v>SageMaker($)</c:v>
                </c:pt>
                <c:pt idx="6">
                  <c:v>GuardDuty($)</c:v>
                </c:pt>
                <c:pt idx="7">
                  <c:v>WAF($)</c:v>
                </c:pt>
                <c:pt idx="8">
                  <c:v>Transcribe($)</c:v>
                </c:pt>
                <c:pt idx="9">
                  <c:v>API Gateway($)</c:v>
                </c:pt>
                <c:pt idx="10">
                  <c:v>Translate($)</c:v>
                </c:pt>
                <c:pt idx="11">
                  <c:v>Firehose($)</c:v>
                </c:pt>
                <c:pt idx="12">
                  <c:v>Athena($)</c:v>
                </c:pt>
                <c:pt idx="13">
                  <c:v>AppSync($)</c:v>
                </c:pt>
                <c:pt idx="14">
                  <c:v>Transfer Family($)</c:v>
                </c:pt>
              </c:strCache>
            </c:strRef>
          </c:cat>
          <c:val>
            <c:numRef>
              <c:f>Dashboard!$AC$57:$AC$71</c:f>
              <c:numCache>
                <c:formatCode>#,##0.00</c:formatCode>
                <c:ptCount val="15"/>
                <c:pt idx="0">
                  <c:v>15512.515</c:v>
                </c:pt>
                <c:pt idx="1">
                  <c:v>15455.827</c:v>
                </c:pt>
                <c:pt idx="2">
                  <c:v>15384.035</c:v>
                </c:pt>
                <c:pt idx="3">
                  <c:v>14365.916</c:v>
                </c:pt>
                <c:pt idx="4">
                  <c:v>14222.876</c:v>
                </c:pt>
                <c:pt idx="5">
                  <c:v>14013.558</c:v>
                </c:pt>
                <c:pt idx="6">
                  <c:v>13414.014</c:v>
                </c:pt>
                <c:pt idx="7">
                  <c:v>12336.252</c:v>
                </c:pt>
                <c:pt idx="8">
                  <c:v>11892.791</c:v>
                </c:pt>
                <c:pt idx="9">
                  <c:v>11724.125</c:v>
                </c:pt>
                <c:pt idx="10">
                  <c:v>11660.599</c:v>
                </c:pt>
                <c:pt idx="11">
                  <c:v>11568.293</c:v>
                </c:pt>
                <c:pt idx="12">
                  <c:v>11300.897</c:v>
                </c:pt>
                <c:pt idx="13">
                  <c:v>11093.646</c:v>
                </c:pt>
                <c:pt idx="14">
                  <c:v>11086.39</c:v>
                </c:pt>
              </c:numCache>
            </c:numRef>
          </c:val>
        </c:ser>
        <c:ser>
          <c:idx val="1"/>
          <c:order val="1"/>
          <c:tx>
            <c:strRef>
              <c:f>Dashboard!AD56</c:f>
              <c:strCache>
                <c:ptCount val="1"/>
                <c:pt idx="0">
                  <c:v>Acct2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Dashboard!$AB$57:$AB$71</c:f>
              <c:strCache>
                <c:ptCount val="15"/>
                <c:pt idx="0">
                  <c:v>Batch($)</c:v>
                </c:pt>
                <c:pt idx="1">
                  <c:v>CodeBuild($)</c:v>
                </c:pt>
                <c:pt idx="2">
                  <c:v>Chime($)</c:v>
                </c:pt>
                <c:pt idx="3">
                  <c:v>DataSync($)</c:v>
                </c:pt>
                <c:pt idx="4">
                  <c:v>CloudFront($)</c:v>
                </c:pt>
                <c:pt idx="5">
                  <c:v>SageMaker($)</c:v>
                </c:pt>
                <c:pt idx="6">
                  <c:v>GuardDuty($)</c:v>
                </c:pt>
                <c:pt idx="7">
                  <c:v>WAF($)</c:v>
                </c:pt>
                <c:pt idx="8">
                  <c:v>Transcribe($)</c:v>
                </c:pt>
                <c:pt idx="9">
                  <c:v>API Gateway($)</c:v>
                </c:pt>
                <c:pt idx="10">
                  <c:v>Translate($)</c:v>
                </c:pt>
                <c:pt idx="11">
                  <c:v>Firehose($)</c:v>
                </c:pt>
                <c:pt idx="12">
                  <c:v>Athena($)</c:v>
                </c:pt>
                <c:pt idx="13">
                  <c:v>AppSync($)</c:v>
                </c:pt>
                <c:pt idx="14">
                  <c:v>Transfer Family($)</c:v>
                </c:pt>
              </c:strCache>
            </c:strRef>
          </c:cat>
          <c:val>
            <c:numRef>
              <c:f>Dashboard!$AD$57:$AD$71</c:f>
              <c:numCache>
                <c:formatCode>#,##0.00</c:formatCode>
                <c:ptCount val="15"/>
                <c:pt idx="0">
                  <c:v>10580.265</c:v>
                </c:pt>
                <c:pt idx="1">
                  <c:v>8166.235</c:v>
                </c:pt>
                <c:pt idx="2">
                  <c:v>4827.409</c:v>
                </c:pt>
                <c:pt idx="3">
                  <c:v>13517.198</c:v>
                </c:pt>
                <c:pt idx="4">
                  <c:v>3871.446</c:v>
                </c:pt>
                <c:pt idx="5">
                  <c:v>169.57</c:v>
                </c:pt>
                <c:pt idx="6">
                  <c:v>11676.934</c:v>
                </c:pt>
                <c:pt idx="7">
                  <c:v>3327.782</c:v>
                </c:pt>
                <c:pt idx="8">
                  <c:v>13663.332</c:v>
                </c:pt>
                <c:pt idx="9">
                  <c:v>8243.276</c:v>
                </c:pt>
                <c:pt idx="10">
                  <c:v>9714.62</c:v>
                </c:pt>
                <c:pt idx="11">
                  <c:v>13047.047</c:v>
                </c:pt>
                <c:pt idx="12">
                  <c:v>2112.433</c:v>
                </c:pt>
                <c:pt idx="13">
                  <c:v>15178.999</c:v>
                </c:pt>
                <c:pt idx="14">
                  <c:v>13576.395</c:v>
                </c:pt>
              </c:numCache>
            </c:numRef>
          </c:val>
        </c:ser>
        <c:gapWidth val="150"/>
        <c:overlap val="-10"/>
        <c:axId val="72081847"/>
        <c:axId val="22124554"/>
      </c:barChart>
      <c:catAx>
        <c:axId val="7208184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24554"/>
        <c:crosses val="autoZero"/>
        <c:auto val="1"/>
        <c:lblAlgn val="ctr"/>
        <c:lblOffset val="100"/>
        <c:noMultiLvlLbl val="0"/>
      </c:catAx>
      <c:valAx>
        <c:axId val="221245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818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12</xdr:row>
      <xdr:rowOff>0</xdr:rowOff>
    </xdr:from>
    <xdr:to>
      <xdr:col>22</xdr:col>
      <xdr:colOff>551520</xdr:colOff>
      <xdr:row>33</xdr:row>
      <xdr:rowOff>119160</xdr:rowOff>
    </xdr:to>
    <xdr:graphicFrame>
      <xdr:nvGraphicFramePr>
        <xdr:cNvPr id="0" name="Chart 1"/>
        <xdr:cNvGraphicFramePr/>
      </xdr:nvGraphicFramePr>
      <xdr:xfrm>
        <a:off x="8141400" y="296244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29</xdr:row>
      <xdr:rowOff>0</xdr:rowOff>
    </xdr:from>
    <xdr:to>
      <xdr:col>22</xdr:col>
      <xdr:colOff>551520</xdr:colOff>
      <xdr:row>50</xdr:row>
      <xdr:rowOff>90360</xdr:rowOff>
    </xdr:to>
    <xdr:graphicFrame>
      <xdr:nvGraphicFramePr>
        <xdr:cNvPr id="1" name="Chart 2"/>
        <xdr:cNvGraphicFramePr/>
      </xdr:nvGraphicFramePr>
      <xdr:xfrm>
        <a:off x="8141400" y="634356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46</xdr:row>
      <xdr:rowOff>0</xdr:rowOff>
    </xdr:from>
    <xdr:to>
      <xdr:col>22</xdr:col>
      <xdr:colOff>551520</xdr:colOff>
      <xdr:row>66</xdr:row>
      <xdr:rowOff>166680</xdr:rowOff>
    </xdr:to>
    <xdr:graphicFrame>
      <xdr:nvGraphicFramePr>
        <xdr:cNvPr id="2" name="Chart 3"/>
        <xdr:cNvGraphicFramePr/>
      </xdr:nvGraphicFramePr>
      <xdr:xfrm>
        <a:off x="8141400" y="972504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54</xdr:row>
      <xdr:rowOff>0</xdr:rowOff>
    </xdr:from>
    <xdr:to>
      <xdr:col>22</xdr:col>
      <xdr:colOff>551520</xdr:colOff>
      <xdr:row>79</xdr:row>
      <xdr:rowOff>77040</xdr:rowOff>
    </xdr:to>
    <xdr:graphicFrame>
      <xdr:nvGraphicFramePr>
        <xdr:cNvPr id="3" name="Chart 4"/>
        <xdr:cNvGraphicFramePr/>
      </xdr:nvGraphicFramePr>
      <xdr:xfrm>
        <a:off x="8141400" y="11449080"/>
        <a:ext cx="61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66</xdr:row>
      <xdr:rowOff>0</xdr:rowOff>
    </xdr:from>
    <xdr:to>
      <xdr:col>22</xdr:col>
      <xdr:colOff>551520</xdr:colOff>
      <xdr:row>87</xdr:row>
      <xdr:rowOff>100080</xdr:rowOff>
    </xdr:to>
    <xdr:graphicFrame>
      <xdr:nvGraphicFramePr>
        <xdr:cNvPr id="4" name="Chart 5"/>
        <xdr:cNvGraphicFramePr/>
      </xdr:nvGraphicFramePr>
      <xdr:xfrm>
        <a:off x="8141400" y="1387800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acct1" displayName="tbl_acct1" ref="A1:BP8" headerRowCount="1" totalsRowCount="0" totalsRowShown="0">
  <autoFilter ref="A1:BP8"/>
  <tableColumns count="68">
    <tableColumn id="1" name="Service"/>
    <tableColumn id="2" name="Relational Database Service($)"/>
    <tableColumn id="3" name="S3($)"/>
    <tableColumn id="4" name="DMS($)"/>
    <tableColumn id="5" name="Glue($)"/>
    <tableColumn id="6" name="EC2-Instances($)"/>
    <tableColumn id="7" name="Lambda($)"/>
    <tableColumn id="8" name="CloudFront($)"/>
    <tableColumn id="9" name="Route53($)"/>
    <tableColumn id="10" name="CloudWatch($)"/>
    <tableColumn id="11" name="SNS($)"/>
    <tableColumn id="12" name="SQS($)"/>
    <tableColumn id="13" name="DynamoDB($)"/>
    <tableColumn id="14" name="ElastiCache($)"/>
    <tableColumn id="15" name="ECS($)"/>
    <tableColumn id="16" name="EKS($)"/>
    <tableColumn id="17" name="ECR($)"/>
    <tableColumn id="18" name="VPC($)"/>
    <tableColumn id="19" name="Direct Connect($)"/>
    <tableColumn id="20" name="API Gateway($)"/>
    <tableColumn id="21" name="Kinesis($)"/>
    <tableColumn id="22" name="Firehose($)"/>
    <tableColumn id="23" name="Athena($)"/>
    <tableColumn id="24" name="Redshift($)"/>
    <tableColumn id="25" name="EMR($)"/>
    <tableColumn id="26" name="SageMaker($)"/>
    <tableColumn id="27" name="Rekognition($)"/>
    <tableColumn id="28" name="Textract($)"/>
    <tableColumn id="29" name="Comprehend($)"/>
    <tableColumn id="30" name="Translate($)"/>
    <tableColumn id="31" name="Polly($)"/>
    <tableColumn id="32" name="Transcribe($)"/>
    <tableColumn id="33" name="Lex($)"/>
    <tableColumn id="34" name="Connect($)"/>
    <tableColumn id="35" name="Chime($)"/>
    <tableColumn id="36" name="WorkSpaces($)"/>
    <tableColumn id="37" name="AppStream($)"/>
    <tableColumn id="38" name="WAF($)"/>
    <tableColumn id="39" name="Shield($)"/>
    <tableColumn id="40" name="GuardDuty($)"/>
    <tableColumn id="41" name="Inspector($)"/>
    <tableColumn id="42" name="Macie($)"/>
    <tableColumn id="43" name="Security Hub($)"/>
    <tableColumn id="44" name="Config($)"/>
    <tableColumn id="45" name="CloudTrail($)"/>
    <tableColumn id="46" name="Systems Manager($)"/>
    <tableColumn id="47" name="Secrets Manager($)"/>
    <tableColumn id="48" name="KMS($)"/>
    <tableColumn id="49" name="ACM($)"/>
    <tableColumn id="50" name="IAM($)"/>
    <tableColumn id="51" name="Organizations($)"/>
    <tableColumn id="52" name="Control Tower($)"/>
    <tableColumn id="53" name="Service Catalog($)"/>
    <tableColumn id="54" name="CodePipeline($)"/>
    <tableColumn id="55" name="CodeBuild($)"/>
    <tableColumn id="56" name="CodeDeploy($)"/>
    <tableColumn id="57" name="CodeCommit($)"/>
    <tableColumn id="58" name="Amplify($)"/>
    <tableColumn id="59" name="AppSync($)"/>
    <tableColumn id="60" name="EventBridge($)"/>
    <tableColumn id="61" name="Step Functions($)"/>
    <tableColumn id="62" name="Batch($)"/>
    <tableColumn id="63" name="Fargate($)"/>
    <tableColumn id="64" name="Lightsail($)"/>
    <tableColumn id="65" name="Transfer Family($)"/>
    <tableColumn id="66" name="DataSync($)"/>
    <tableColumn id="67" name="Backup($)"/>
    <tableColumn id="68" name="Total($)"/>
  </tableColumns>
</table>
</file>

<file path=xl/tables/table2.xml><?xml version="1.0" encoding="utf-8"?>
<table xmlns="http://schemas.openxmlformats.org/spreadsheetml/2006/main" id="2" name="tbl_acct2" displayName="tbl_acct2" ref="A1:BP8" headerRowCount="1" totalsRowCount="0" totalsRowShown="0">
  <autoFilter ref="A1:BP8"/>
  <tableColumns count="68">
    <tableColumn id="1" name="Service"/>
    <tableColumn id="2" name="Relational Database Service($)"/>
    <tableColumn id="3" name="S3($)"/>
    <tableColumn id="4" name="DMS($)"/>
    <tableColumn id="5" name="Glue($)"/>
    <tableColumn id="6" name="EC2-Instances($)"/>
    <tableColumn id="7" name="Lambda($)"/>
    <tableColumn id="8" name="CloudFront($)"/>
    <tableColumn id="9" name="Route53($)"/>
    <tableColumn id="10" name="CloudWatch($)"/>
    <tableColumn id="11" name="SNS($)"/>
    <tableColumn id="12" name="SQS($)"/>
    <tableColumn id="13" name="DynamoDB($)"/>
    <tableColumn id="14" name="ElastiCache($)"/>
    <tableColumn id="15" name="ECS($)"/>
    <tableColumn id="16" name="EKS($)"/>
    <tableColumn id="17" name="ECR($)"/>
    <tableColumn id="18" name="VPC($)"/>
    <tableColumn id="19" name="Direct Connect($)"/>
    <tableColumn id="20" name="API Gateway($)"/>
    <tableColumn id="21" name="Kinesis($)"/>
    <tableColumn id="22" name="Firehose($)"/>
    <tableColumn id="23" name="Athena($)"/>
    <tableColumn id="24" name="Redshift($)"/>
    <tableColumn id="25" name="EMR($)"/>
    <tableColumn id="26" name="SageMaker($)"/>
    <tableColumn id="27" name="Rekognition($)"/>
    <tableColumn id="28" name="Textract($)"/>
    <tableColumn id="29" name="Comprehend($)"/>
    <tableColumn id="30" name="Translate($)"/>
    <tableColumn id="31" name="Polly($)"/>
    <tableColumn id="32" name="Transcribe($)"/>
    <tableColumn id="33" name="Lex($)"/>
    <tableColumn id="34" name="Connect($)"/>
    <tableColumn id="35" name="Chime($)"/>
    <tableColumn id="36" name="WorkSpaces($)"/>
    <tableColumn id="37" name="AppStream($)"/>
    <tableColumn id="38" name="WAF($)"/>
    <tableColumn id="39" name="Shield($)"/>
    <tableColumn id="40" name="GuardDuty($)"/>
    <tableColumn id="41" name="Inspector($)"/>
    <tableColumn id="42" name="Macie($)"/>
    <tableColumn id="43" name="Security Hub($)"/>
    <tableColumn id="44" name="Config($)"/>
    <tableColumn id="45" name="CloudTrail($)"/>
    <tableColumn id="46" name="Systems Manager($)"/>
    <tableColumn id="47" name="Secrets Manager($)"/>
    <tableColumn id="48" name="KMS($)"/>
    <tableColumn id="49" name="ACM($)"/>
    <tableColumn id="50" name="IAM($)"/>
    <tableColumn id="51" name="Organizations($)"/>
    <tableColumn id="52" name="Control Tower($)"/>
    <tableColumn id="53" name="Service Catalog($)"/>
    <tableColumn id="54" name="CodePipeline($)"/>
    <tableColumn id="55" name="CodeBuild($)"/>
    <tableColumn id="56" name="CodeDeploy($)"/>
    <tableColumn id="57" name="CodeCommit($)"/>
    <tableColumn id="58" name="Amplify($)"/>
    <tableColumn id="59" name="AppSync($)"/>
    <tableColumn id="60" name="EventBridge($)"/>
    <tableColumn id="61" name="Step Functions($)"/>
    <tableColumn id="62" name="Batch($)"/>
    <tableColumn id="63" name="Fargate($)"/>
    <tableColumn id="64" name="Lightsail($)"/>
    <tableColumn id="65" name="Transfer Family($)"/>
    <tableColumn id="66" name="DataSync($)"/>
    <tableColumn id="67" name="Backup($)"/>
    <tableColumn id="68" name="Total($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8" min="2" style="0" width="14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customFormat="false" ht="15" hidden="false" customHeight="false" outlineLevel="0" collapsed="false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81</v>
      </c>
      <c r="O2" s="2" t="s">
        <v>82</v>
      </c>
      <c r="P2" s="2" t="s">
        <v>83</v>
      </c>
      <c r="Q2" s="2" t="s">
        <v>84</v>
      </c>
      <c r="R2" s="2" t="s">
        <v>85</v>
      </c>
      <c r="S2" s="2" t="s">
        <v>86</v>
      </c>
      <c r="T2" s="2" t="s">
        <v>87</v>
      </c>
      <c r="U2" s="2" t="s">
        <v>88</v>
      </c>
      <c r="V2" s="2" t="s">
        <v>89</v>
      </c>
      <c r="W2" s="2" t="s">
        <v>90</v>
      </c>
      <c r="X2" s="2" t="s">
        <v>91</v>
      </c>
      <c r="Y2" s="2" t="s">
        <v>92</v>
      </c>
      <c r="Z2" s="2" t="s">
        <v>93</v>
      </c>
      <c r="AA2" s="2" t="s">
        <v>94</v>
      </c>
      <c r="AB2" s="2" t="s">
        <v>95</v>
      </c>
      <c r="AC2" s="2" t="s">
        <v>96</v>
      </c>
      <c r="AD2" s="2" t="s">
        <v>97</v>
      </c>
      <c r="AE2" s="2" t="s">
        <v>98</v>
      </c>
      <c r="AF2" s="2" t="s">
        <v>99</v>
      </c>
      <c r="AG2" s="2" t="s">
        <v>100</v>
      </c>
      <c r="AH2" s="2" t="s">
        <v>101</v>
      </c>
      <c r="AI2" s="2" t="s">
        <v>102</v>
      </c>
      <c r="AJ2" s="2" t="s">
        <v>103</v>
      </c>
      <c r="AK2" s="2" t="s">
        <v>104</v>
      </c>
      <c r="AL2" s="2" t="s">
        <v>105</v>
      </c>
      <c r="AM2" s="2" t="s">
        <v>106</v>
      </c>
      <c r="AN2" s="2" t="s">
        <v>107</v>
      </c>
      <c r="AO2" s="2" t="s">
        <v>108</v>
      </c>
      <c r="AP2" s="2" t="s">
        <v>109</v>
      </c>
      <c r="AQ2" s="2" t="s">
        <v>110</v>
      </c>
      <c r="AR2" s="2" t="s">
        <v>111</v>
      </c>
      <c r="AS2" s="2" t="s">
        <v>112</v>
      </c>
      <c r="AT2" s="2" t="s">
        <v>113</v>
      </c>
      <c r="AU2" s="2" t="s">
        <v>114</v>
      </c>
      <c r="AV2" s="2" t="s">
        <v>115</v>
      </c>
      <c r="AW2" s="2" t="s">
        <v>116</v>
      </c>
      <c r="AX2" s="2" t="s">
        <v>117</v>
      </c>
      <c r="AY2" s="2" t="s">
        <v>118</v>
      </c>
      <c r="AZ2" s="2" t="s">
        <v>119</v>
      </c>
      <c r="BA2" s="2" t="s">
        <v>120</v>
      </c>
      <c r="BB2" s="2" t="s">
        <v>121</v>
      </c>
      <c r="BC2" s="2" t="s">
        <v>122</v>
      </c>
      <c r="BD2" s="2" t="s">
        <v>123</v>
      </c>
      <c r="BE2" s="2" t="s">
        <v>124</v>
      </c>
      <c r="BF2" s="2" t="s">
        <v>125</v>
      </c>
      <c r="BG2" s="2" t="s">
        <v>126</v>
      </c>
      <c r="BH2" s="2" t="s">
        <v>127</v>
      </c>
      <c r="BI2" s="2" t="s">
        <v>128</v>
      </c>
      <c r="BJ2" s="2" t="s">
        <v>129</v>
      </c>
      <c r="BK2" s="2" t="s">
        <v>130</v>
      </c>
      <c r="BL2" s="2" t="s">
        <v>131</v>
      </c>
      <c r="BM2" s="2" t="s">
        <v>132</v>
      </c>
      <c r="BN2" s="2" t="s">
        <v>133</v>
      </c>
      <c r="BO2" s="2" t="s">
        <v>134</v>
      </c>
      <c r="BP2" s="2" t="s">
        <v>135</v>
      </c>
    </row>
    <row r="3" customFormat="false" ht="15" hidden="false" customHeight="false" outlineLevel="0" collapsed="false">
      <c r="A3" s="3" t="s">
        <v>136</v>
      </c>
      <c r="B3" s="4" t="n">
        <v>10719.241</v>
      </c>
      <c r="C3" s="4" t="n">
        <v>536.037</v>
      </c>
      <c r="D3" s="4" t="n">
        <v>3676.117</v>
      </c>
      <c r="E3" s="4" t="n">
        <v>3411.442</v>
      </c>
      <c r="F3" s="4" t="n">
        <v>9642.334</v>
      </c>
      <c r="G3" s="4" t="n">
        <v>10978.922</v>
      </c>
      <c r="H3" s="4" t="n">
        <v>14461.61</v>
      </c>
      <c r="I3" s="4" t="n">
        <v>1239.827</v>
      </c>
      <c r="J3" s="4" t="n">
        <v>6339.276</v>
      </c>
      <c r="K3" s="4" t="n">
        <v>552.106</v>
      </c>
      <c r="L3" s="4" t="n">
        <v>3121.045</v>
      </c>
      <c r="M3" s="4" t="n">
        <v>8482.27</v>
      </c>
      <c r="N3" s="4" t="n">
        <v>483.963</v>
      </c>
      <c r="O3" s="4" t="n">
        <v>2797.88</v>
      </c>
      <c r="P3" s="4" t="n">
        <v>9898.611</v>
      </c>
      <c r="Q3" s="4" t="n">
        <v>8786.612</v>
      </c>
      <c r="R3" s="4" t="n">
        <v>3081.123</v>
      </c>
      <c r="S3" s="4" t="n">
        <v>8378.468</v>
      </c>
      <c r="T3" s="4" t="n">
        <v>13966.895</v>
      </c>
      <c r="U3" s="4" t="n">
        <v>205.682</v>
      </c>
      <c r="V3" s="4" t="n">
        <v>11881.886</v>
      </c>
      <c r="W3" s="4" t="n">
        <v>10557.653</v>
      </c>
      <c r="X3" s="4" t="n">
        <v>4581.941</v>
      </c>
      <c r="Y3" s="4" t="n">
        <v>2217.052</v>
      </c>
      <c r="Z3" s="4" t="n">
        <v>13664.827</v>
      </c>
      <c r="AA3" s="4" t="n">
        <v>5250.775</v>
      </c>
      <c r="AB3" s="4" t="n">
        <v>1361.929</v>
      </c>
      <c r="AC3" s="4" t="n">
        <v>1411.724</v>
      </c>
      <c r="AD3" s="4" t="n">
        <v>11089.589</v>
      </c>
      <c r="AE3" s="4" t="n">
        <v>9453.253</v>
      </c>
      <c r="AF3" s="4" t="n">
        <v>11140.139</v>
      </c>
      <c r="AG3" s="4" t="n">
        <v>12307.606</v>
      </c>
      <c r="AH3" s="4" t="n">
        <v>8962.612</v>
      </c>
      <c r="AI3" s="4" t="n">
        <v>12719.854</v>
      </c>
      <c r="AJ3" s="4" t="n">
        <v>5288.993</v>
      </c>
      <c r="AK3" s="4" t="n">
        <v>8747.448</v>
      </c>
      <c r="AL3" s="4" t="n">
        <v>11390.107</v>
      </c>
      <c r="AM3" s="4" t="n">
        <v>8288.336</v>
      </c>
      <c r="AN3" s="4" t="n">
        <v>14630.025</v>
      </c>
      <c r="AO3" s="4" t="n">
        <v>8888.024</v>
      </c>
      <c r="AP3" s="4" t="n">
        <v>10511.23</v>
      </c>
      <c r="AQ3" s="4" t="n">
        <v>849.622</v>
      </c>
      <c r="AR3" s="4" t="n">
        <v>3818.158</v>
      </c>
      <c r="AS3" s="4" t="n">
        <v>4002.118</v>
      </c>
      <c r="AT3" s="4" t="n">
        <v>1133.046</v>
      </c>
      <c r="AU3" s="4" t="n">
        <v>3494.769</v>
      </c>
      <c r="AV3" s="4" t="n">
        <v>1568.126</v>
      </c>
      <c r="AW3" s="4" t="n">
        <v>4199.844</v>
      </c>
      <c r="AX3" s="4" t="n">
        <v>10229.492</v>
      </c>
      <c r="AY3" s="4" t="n">
        <v>5823.923</v>
      </c>
      <c r="AZ3" s="4" t="n">
        <v>6431.374</v>
      </c>
      <c r="BA3" s="4" t="n">
        <v>2833.527</v>
      </c>
      <c r="BB3" s="4" t="n">
        <v>3958.837</v>
      </c>
      <c r="BC3" s="4" t="n">
        <v>13378.517</v>
      </c>
      <c r="BD3" s="4" t="n">
        <v>10814.241</v>
      </c>
      <c r="BE3" s="4" t="n">
        <v>8484.149</v>
      </c>
      <c r="BF3" s="4" t="n">
        <v>2403.685</v>
      </c>
      <c r="BG3" s="4" t="n">
        <v>10794.969</v>
      </c>
      <c r="BH3" s="4" t="n">
        <v>2475.295</v>
      </c>
      <c r="BI3" s="4" t="n">
        <v>5371.618</v>
      </c>
      <c r="BJ3" s="4" t="n">
        <v>13729.744</v>
      </c>
      <c r="BK3" s="4" t="n">
        <v>10859.572</v>
      </c>
      <c r="BL3" s="4" t="n">
        <v>8255.265</v>
      </c>
      <c r="BM3" s="4" t="n">
        <v>11417.403</v>
      </c>
      <c r="BN3" s="4" t="n">
        <v>12849.606</v>
      </c>
      <c r="BO3" s="4" t="n">
        <v>10090.033</v>
      </c>
      <c r="BP3" s="4" t="n">
        <v>474371.397</v>
      </c>
    </row>
    <row r="4" customFormat="false" ht="15" hidden="false" customHeight="false" outlineLevel="0" collapsed="false">
      <c r="A4" s="3" t="s">
        <v>137</v>
      </c>
      <c r="B4" s="4" t="n">
        <v>11069.506</v>
      </c>
      <c r="C4" s="4" t="n">
        <v>520.308</v>
      </c>
      <c r="D4" s="4" t="n">
        <v>4788.582</v>
      </c>
      <c r="E4" s="4" t="n">
        <v>3864.04</v>
      </c>
      <c r="F4" s="4" t="n">
        <v>12231.798</v>
      </c>
      <c r="G4" s="4" t="n">
        <v>9163.454</v>
      </c>
      <c r="H4" s="4" t="n">
        <v>13335.781</v>
      </c>
      <c r="I4" s="4" t="n">
        <v>1275.558</v>
      </c>
      <c r="J4" s="4" t="n">
        <v>6197.029</v>
      </c>
      <c r="K4" s="4" t="n">
        <v>471.951</v>
      </c>
      <c r="L4" s="4" t="n">
        <v>3235.794</v>
      </c>
      <c r="M4" s="4" t="n">
        <v>8740.636</v>
      </c>
      <c r="N4" s="4" t="n">
        <v>460.491</v>
      </c>
      <c r="O4" s="4" t="n">
        <v>3323.686</v>
      </c>
      <c r="P4" s="4" t="n">
        <v>9651.228</v>
      </c>
      <c r="Q4" s="4" t="n">
        <v>8029.773</v>
      </c>
      <c r="R4" s="4" t="n">
        <v>3848.912</v>
      </c>
      <c r="S4" s="4" t="n">
        <v>10199.873</v>
      </c>
      <c r="T4" s="4" t="n">
        <v>12363.965</v>
      </c>
      <c r="U4" s="4" t="n">
        <v>209.728</v>
      </c>
      <c r="V4" s="4" t="n">
        <v>10852.925</v>
      </c>
      <c r="W4" s="4" t="n">
        <v>9861.768</v>
      </c>
      <c r="X4" s="4" t="n">
        <v>5896.663</v>
      </c>
      <c r="Y4" s="4" t="n">
        <v>2474.05</v>
      </c>
      <c r="Z4" s="4" t="n">
        <v>14544.283</v>
      </c>
      <c r="AA4" s="4" t="n">
        <v>5495.796</v>
      </c>
      <c r="AB4" s="4" t="n">
        <v>1285.04</v>
      </c>
      <c r="AC4" s="4" t="n">
        <v>1579.991</v>
      </c>
      <c r="AD4" s="4" t="n">
        <v>12738.55</v>
      </c>
      <c r="AE4" s="4" t="n">
        <v>10057.969</v>
      </c>
      <c r="AF4" s="4" t="n">
        <v>10879.998</v>
      </c>
      <c r="AG4" s="4" t="n">
        <v>12489.842</v>
      </c>
      <c r="AH4" s="4" t="n">
        <v>7070.754</v>
      </c>
      <c r="AI4" s="4" t="n">
        <v>13223.392</v>
      </c>
      <c r="AJ4" s="4" t="n">
        <v>5903.817</v>
      </c>
      <c r="AK4" s="4" t="n">
        <v>8763.02</v>
      </c>
      <c r="AL4" s="4" t="n">
        <v>11468.47</v>
      </c>
      <c r="AM4" s="4" t="n">
        <v>8253.61</v>
      </c>
      <c r="AN4" s="4" t="n">
        <v>14454.462</v>
      </c>
      <c r="AO4" s="4" t="n">
        <v>8039.975</v>
      </c>
      <c r="AP4" s="4" t="n">
        <v>10898.638</v>
      </c>
      <c r="AQ4" s="4" t="n">
        <v>810.818</v>
      </c>
      <c r="AR4" s="4" t="n">
        <v>3410.975</v>
      </c>
      <c r="AS4" s="4" t="n">
        <v>4522.626</v>
      </c>
      <c r="AT4" s="4" t="n">
        <v>1297.71</v>
      </c>
      <c r="AU4" s="4" t="n">
        <v>4033.97</v>
      </c>
      <c r="AV4" s="4" t="n">
        <v>1462.529</v>
      </c>
      <c r="AW4" s="4" t="n">
        <v>4516.92</v>
      </c>
      <c r="AX4" s="4" t="n">
        <v>8821.332</v>
      </c>
      <c r="AY4" s="4" t="n">
        <v>5362.921</v>
      </c>
      <c r="AZ4" s="4" t="n">
        <v>5904.944</v>
      </c>
      <c r="BA4" s="4" t="n">
        <v>3028.353</v>
      </c>
      <c r="BB4" s="4" t="n">
        <v>3853.082</v>
      </c>
      <c r="BC4" s="4" t="n">
        <v>15118.227</v>
      </c>
      <c r="BD4" s="4" t="n">
        <v>8504.681</v>
      </c>
      <c r="BE4" s="4" t="n">
        <v>9061.22</v>
      </c>
      <c r="BF4" s="4" t="n">
        <v>3046.232</v>
      </c>
      <c r="BG4" s="4" t="n">
        <v>12595.748</v>
      </c>
      <c r="BH4" s="4" t="n">
        <v>2210.201</v>
      </c>
      <c r="BI4" s="4" t="n">
        <v>5258.743</v>
      </c>
      <c r="BJ4" s="4" t="n">
        <v>13798.296</v>
      </c>
      <c r="BK4" s="4" t="n">
        <v>10888.462</v>
      </c>
      <c r="BL4" s="4" t="n">
        <v>9358.163</v>
      </c>
      <c r="BM4" s="4" t="n">
        <v>11472.783</v>
      </c>
      <c r="BN4" s="4" t="n">
        <v>12163.016</v>
      </c>
      <c r="BO4" s="4" t="n">
        <v>10464.951</v>
      </c>
      <c r="BP4" s="4" t="n">
        <v>480182.013</v>
      </c>
    </row>
    <row r="5" customFormat="false" ht="15" hidden="false" customHeight="false" outlineLevel="0" collapsed="false">
      <c r="A5" s="3" t="s">
        <v>138</v>
      </c>
      <c r="B5" s="4" t="n">
        <v>10591.394</v>
      </c>
      <c r="C5" s="4" t="n">
        <v>501.522</v>
      </c>
      <c r="D5" s="4" t="n">
        <v>4338.582</v>
      </c>
      <c r="E5" s="4" t="n">
        <v>3926.595</v>
      </c>
      <c r="F5" s="4" t="n">
        <v>11584.934</v>
      </c>
      <c r="G5" s="4" t="n">
        <v>8679.297</v>
      </c>
      <c r="H5" s="4" t="n">
        <v>14667.614</v>
      </c>
      <c r="I5" s="4" t="n">
        <v>1311.405</v>
      </c>
      <c r="J5" s="4" t="n">
        <v>6699.686</v>
      </c>
      <c r="K5" s="4" t="n">
        <v>615.609</v>
      </c>
      <c r="L5" s="4" t="n">
        <v>2989.323</v>
      </c>
      <c r="M5" s="4" t="n">
        <v>6749.534</v>
      </c>
      <c r="N5" s="4" t="n">
        <v>436.985</v>
      </c>
      <c r="O5" s="4" t="n">
        <v>3111.583</v>
      </c>
      <c r="P5" s="4" t="n">
        <v>9115.124</v>
      </c>
      <c r="Q5" s="4" t="n">
        <v>8478.127</v>
      </c>
      <c r="R5" s="4" t="n">
        <v>3605.522</v>
      </c>
      <c r="S5" s="4" t="n">
        <v>8090.437</v>
      </c>
      <c r="T5" s="4" t="n">
        <v>12650.235</v>
      </c>
      <c r="U5" s="4" t="n">
        <v>182.895</v>
      </c>
      <c r="V5" s="4" t="n">
        <v>12065.054</v>
      </c>
      <c r="W5" s="4" t="n">
        <v>11779.364</v>
      </c>
      <c r="X5" s="4" t="n">
        <v>5706.512</v>
      </c>
      <c r="Y5" s="4" t="n">
        <v>2121.064</v>
      </c>
      <c r="Z5" s="4" t="n">
        <v>14033.182</v>
      </c>
      <c r="AA5" s="4" t="n">
        <v>4772.557</v>
      </c>
      <c r="AB5" s="4" t="n">
        <v>1261.202</v>
      </c>
      <c r="AC5" s="4" t="n">
        <v>1666.418</v>
      </c>
      <c r="AD5" s="4" t="n">
        <v>13251.206</v>
      </c>
      <c r="AE5" s="4" t="n">
        <v>8445.976</v>
      </c>
      <c r="AF5" s="4" t="n">
        <v>13003.776</v>
      </c>
      <c r="AG5" s="4" t="n">
        <v>11143.13</v>
      </c>
      <c r="AH5" s="4" t="n">
        <v>7914.299</v>
      </c>
      <c r="AI5" s="4" t="n">
        <v>12451.863</v>
      </c>
      <c r="AJ5" s="4" t="n">
        <v>5008.711</v>
      </c>
      <c r="AK5" s="4" t="n">
        <v>9282.26</v>
      </c>
      <c r="AL5" s="4" t="n">
        <v>13967.788</v>
      </c>
      <c r="AM5" s="4" t="n">
        <v>9443.359</v>
      </c>
      <c r="AN5" s="4" t="n">
        <v>14238.274</v>
      </c>
      <c r="AO5" s="4" t="n">
        <v>8917.96</v>
      </c>
      <c r="AP5" s="4" t="n">
        <v>9479.257</v>
      </c>
      <c r="AQ5" s="4" t="n">
        <v>695.294</v>
      </c>
      <c r="AR5" s="4" t="n">
        <v>3294.604</v>
      </c>
      <c r="AS5" s="4" t="n">
        <v>4939.958</v>
      </c>
      <c r="AT5" s="4" t="n">
        <v>1403.402</v>
      </c>
      <c r="AU5" s="4" t="n">
        <v>3954.743</v>
      </c>
      <c r="AV5" s="4" t="n">
        <v>1796.994</v>
      </c>
      <c r="AW5" s="4" t="n">
        <v>3872.867</v>
      </c>
      <c r="AX5" s="4" t="n">
        <v>8852.47</v>
      </c>
      <c r="AY5" s="4" t="n">
        <v>4876.319</v>
      </c>
      <c r="AZ5" s="4" t="n">
        <v>6087.611</v>
      </c>
      <c r="BA5" s="4" t="n">
        <v>3592.92</v>
      </c>
      <c r="BB5" s="4" t="n">
        <v>3963.433</v>
      </c>
      <c r="BC5" s="4" t="n">
        <v>14564.964</v>
      </c>
      <c r="BD5" s="4" t="n">
        <v>8744.702</v>
      </c>
      <c r="BE5" s="4" t="n">
        <v>10359.435</v>
      </c>
      <c r="BF5" s="4" t="n">
        <v>2939.824</v>
      </c>
      <c r="BG5" s="4" t="n">
        <v>12530.325</v>
      </c>
      <c r="BH5" s="4" t="n">
        <v>2771.011</v>
      </c>
      <c r="BI5" s="4" t="n">
        <v>6412.274</v>
      </c>
      <c r="BJ5" s="4" t="n">
        <v>12727.691</v>
      </c>
      <c r="BK5" s="4" t="n">
        <v>10319.857</v>
      </c>
      <c r="BL5" s="4" t="n">
        <v>7975.732</v>
      </c>
      <c r="BM5" s="4" t="n">
        <v>11632.071</v>
      </c>
      <c r="BN5" s="4" t="n">
        <v>13806.246</v>
      </c>
      <c r="BO5" s="4" t="n">
        <v>12936.157</v>
      </c>
      <c r="BP5" s="4" t="n">
        <v>483330.52</v>
      </c>
    </row>
    <row r="6" customFormat="false" ht="15" hidden="false" customHeight="false" outlineLevel="0" collapsed="false">
      <c r="A6" s="3" t="s">
        <v>139</v>
      </c>
      <c r="B6" s="4" t="n">
        <v>10524.977</v>
      </c>
      <c r="C6" s="4" t="n">
        <v>439.594</v>
      </c>
      <c r="D6" s="4" t="n">
        <v>4559.851</v>
      </c>
      <c r="E6" s="4" t="n">
        <v>3023.059</v>
      </c>
      <c r="F6" s="4" t="n">
        <v>12309.769</v>
      </c>
      <c r="G6" s="4" t="n">
        <v>11278.27</v>
      </c>
      <c r="H6" s="4" t="n">
        <v>12278.202</v>
      </c>
      <c r="I6" s="4" t="n">
        <v>1527.917</v>
      </c>
      <c r="J6" s="4" t="n">
        <v>6310.576</v>
      </c>
      <c r="K6" s="4" t="n">
        <v>512.187</v>
      </c>
      <c r="L6" s="4" t="n">
        <v>3655.211</v>
      </c>
      <c r="M6" s="4" t="n">
        <v>7006.277</v>
      </c>
      <c r="N6" s="4" t="n">
        <v>424.595</v>
      </c>
      <c r="O6" s="4" t="n">
        <v>2780.727</v>
      </c>
      <c r="P6" s="4" t="n">
        <v>9279.23</v>
      </c>
      <c r="Q6" s="4" t="n">
        <v>9118.082</v>
      </c>
      <c r="R6" s="4" t="n">
        <v>3858.63</v>
      </c>
      <c r="S6" s="4" t="n">
        <v>8291.644</v>
      </c>
      <c r="T6" s="4" t="n">
        <v>12676.661</v>
      </c>
      <c r="U6" s="4" t="n">
        <v>190.908</v>
      </c>
      <c r="V6" s="4" t="n">
        <v>13854.248</v>
      </c>
      <c r="W6" s="4" t="n">
        <v>10616.381</v>
      </c>
      <c r="X6" s="4" t="n">
        <v>5850.954</v>
      </c>
      <c r="Y6" s="4" t="n">
        <v>2137.77</v>
      </c>
      <c r="Z6" s="4" t="n">
        <v>16389.31</v>
      </c>
      <c r="AA6" s="4" t="n">
        <v>4621.996</v>
      </c>
      <c r="AB6" s="4" t="n">
        <v>1687.544</v>
      </c>
      <c r="AC6" s="4" t="n">
        <v>1432.644</v>
      </c>
      <c r="AD6" s="4" t="n">
        <v>11232.43</v>
      </c>
      <c r="AE6" s="4" t="n">
        <v>8916.965</v>
      </c>
      <c r="AF6" s="4" t="n">
        <v>12957.627</v>
      </c>
      <c r="AG6" s="4" t="n">
        <v>10359.648</v>
      </c>
      <c r="AH6" s="4" t="n">
        <v>8347.561</v>
      </c>
      <c r="AI6" s="4" t="n">
        <v>14649.456</v>
      </c>
      <c r="AJ6" s="4" t="n">
        <v>5542.463</v>
      </c>
      <c r="AK6" s="4" t="n">
        <v>8516.693</v>
      </c>
      <c r="AL6" s="4" t="n">
        <v>11541.42</v>
      </c>
      <c r="AM6" s="4" t="n">
        <v>9899.454</v>
      </c>
      <c r="AN6" s="4" t="n">
        <v>11005.083</v>
      </c>
      <c r="AO6" s="4" t="n">
        <v>9813.623</v>
      </c>
      <c r="AP6" s="4" t="n">
        <v>10720.376</v>
      </c>
      <c r="AQ6" s="4" t="n">
        <v>834.313</v>
      </c>
      <c r="AR6" s="4" t="n">
        <v>3749.419</v>
      </c>
      <c r="AS6" s="4" t="n">
        <v>4637.718</v>
      </c>
      <c r="AT6" s="4" t="n">
        <v>1236.399</v>
      </c>
      <c r="AU6" s="4" t="n">
        <v>3108.209</v>
      </c>
      <c r="AV6" s="4" t="n">
        <v>1683.998</v>
      </c>
      <c r="AW6" s="4" t="n">
        <v>4025.729</v>
      </c>
      <c r="AX6" s="4" t="n">
        <v>9037.355</v>
      </c>
      <c r="AY6" s="4" t="n">
        <v>6113.983</v>
      </c>
      <c r="AZ6" s="4" t="n">
        <v>5985.918</v>
      </c>
      <c r="BA6" s="4" t="n">
        <v>3028.667</v>
      </c>
      <c r="BB6" s="4" t="n">
        <v>3844.65</v>
      </c>
      <c r="BC6" s="4" t="n">
        <v>13669.86</v>
      </c>
      <c r="BD6" s="4" t="n">
        <v>9470.081</v>
      </c>
      <c r="BE6" s="4" t="n">
        <v>8613.528</v>
      </c>
      <c r="BF6" s="4" t="n">
        <v>2353.663</v>
      </c>
      <c r="BG6" s="4" t="n">
        <v>10702.322</v>
      </c>
      <c r="BH6" s="4" t="n">
        <v>2869.554</v>
      </c>
      <c r="BI6" s="4" t="n">
        <v>6059.966</v>
      </c>
      <c r="BJ6" s="4" t="n">
        <v>16637.659</v>
      </c>
      <c r="BK6" s="4" t="n">
        <v>9969.927</v>
      </c>
      <c r="BL6" s="4" t="n">
        <v>7897.031</v>
      </c>
      <c r="BM6" s="4" t="n">
        <v>10448.889</v>
      </c>
      <c r="BN6" s="4" t="n">
        <v>10761.261</v>
      </c>
      <c r="BO6" s="4" t="n">
        <v>10916.87</v>
      </c>
      <c r="BP6" s="4" t="n">
        <v>477796.984</v>
      </c>
    </row>
    <row r="7" customFormat="false" ht="15" hidden="false" customHeight="false" outlineLevel="0" collapsed="false">
      <c r="A7" s="3" t="s">
        <v>140</v>
      </c>
      <c r="B7" s="4" t="n">
        <v>9424.96</v>
      </c>
      <c r="C7" s="4" t="n">
        <v>484.002</v>
      </c>
      <c r="D7" s="4" t="n">
        <v>4392.77</v>
      </c>
      <c r="E7" s="4" t="n">
        <v>3389.857</v>
      </c>
      <c r="F7" s="4" t="n">
        <v>10881.274</v>
      </c>
      <c r="G7" s="4" t="n">
        <v>9308.224</v>
      </c>
      <c r="H7" s="4" t="n">
        <v>13285.737</v>
      </c>
      <c r="I7" s="4" t="n">
        <v>1563.33</v>
      </c>
      <c r="J7" s="4" t="n">
        <v>6953.816</v>
      </c>
      <c r="K7" s="4" t="n">
        <v>490.074</v>
      </c>
      <c r="L7" s="4" t="n">
        <v>2939.465</v>
      </c>
      <c r="M7" s="4" t="n">
        <v>7665.162</v>
      </c>
      <c r="N7" s="4" t="n">
        <v>515.143</v>
      </c>
      <c r="O7" s="4" t="n">
        <v>2911.251</v>
      </c>
      <c r="P7" s="4" t="n">
        <v>10717.846</v>
      </c>
      <c r="Q7" s="4" t="n">
        <v>8838.907</v>
      </c>
      <c r="R7" s="4" t="n">
        <v>3560.017</v>
      </c>
      <c r="S7" s="4" t="n">
        <v>8146.497</v>
      </c>
      <c r="T7" s="4" t="n">
        <v>11062.893</v>
      </c>
      <c r="U7" s="4" t="n">
        <v>168.749</v>
      </c>
      <c r="V7" s="4" t="n">
        <v>11179.972</v>
      </c>
      <c r="W7" s="4" t="n">
        <v>10423.939</v>
      </c>
      <c r="X7" s="4" t="n">
        <v>5712.148</v>
      </c>
      <c r="Y7" s="4" t="n">
        <v>2106.948</v>
      </c>
      <c r="Z7" s="4" t="n">
        <v>13993.823</v>
      </c>
      <c r="AA7" s="4" t="n">
        <v>5314.394</v>
      </c>
      <c r="AB7" s="4" t="n">
        <v>1346.067</v>
      </c>
      <c r="AC7" s="4" t="n">
        <v>1631.853</v>
      </c>
      <c r="AD7" s="4" t="n">
        <v>12706.196</v>
      </c>
      <c r="AE7" s="4" t="n">
        <v>8396.94</v>
      </c>
      <c r="AF7" s="4" t="n">
        <v>12693.929</v>
      </c>
      <c r="AG7" s="4" t="n">
        <v>9345.306</v>
      </c>
      <c r="AH7" s="4" t="n">
        <v>8698.874</v>
      </c>
      <c r="AI7" s="4" t="n">
        <v>15782.181</v>
      </c>
      <c r="AJ7" s="4" t="n">
        <v>5062.686</v>
      </c>
      <c r="AK7" s="4" t="n">
        <v>8138.449</v>
      </c>
      <c r="AL7" s="4" t="n">
        <v>11246.776</v>
      </c>
      <c r="AM7" s="4" t="n">
        <v>10595.86</v>
      </c>
      <c r="AN7" s="4" t="n">
        <v>13009.142</v>
      </c>
      <c r="AO7" s="4" t="n">
        <v>7528.273</v>
      </c>
      <c r="AP7" s="4" t="n">
        <v>9800.712</v>
      </c>
      <c r="AQ7" s="4" t="n">
        <v>864.585</v>
      </c>
      <c r="AR7" s="4" t="n">
        <v>3450.026</v>
      </c>
      <c r="AS7" s="4" t="n">
        <v>4810.825</v>
      </c>
      <c r="AT7" s="4" t="n">
        <v>1353.698</v>
      </c>
      <c r="AU7" s="4" t="n">
        <v>4090.91</v>
      </c>
      <c r="AV7" s="4" t="n">
        <v>1650.879</v>
      </c>
      <c r="AW7" s="4" t="n">
        <v>4814.501</v>
      </c>
      <c r="AX7" s="4" t="n">
        <v>10695.681</v>
      </c>
      <c r="AY7" s="4" t="n">
        <v>5723.092</v>
      </c>
      <c r="AZ7" s="4" t="n">
        <v>5985.109</v>
      </c>
      <c r="BA7" s="4" t="n">
        <v>3226.273</v>
      </c>
      <c r="BB7" s="4" t="n">
        <v>4482.385</v>
      </c>
      <c r="BC7" s="4" t="n">
        <v>14258.022</v>
      </c>
      <c r="BD7" s="4" t="n">
        <v>10918.243</v>
      </c>
      <c r="BE7" s="4" t="n">
        <v>9846.79</v>
      </c>
      <c r="BF7" s="4" t="n">
        <v>2629.832</v>
      </c>
      <c r="BG7" s="4" t="n">
        <v>10171.923</v>
      </c>
      <c r="BH7" s="4" t="n">
        <v>2342.496</v>
      </c>
      <c r="BI7" s="4" t="n">
        <v>5991.513</v>
      </c>
      <c r="BJ7" s="4" t="n">
        <v>16027.611</v>
      </c>
      <c r="BK7" s="4" t="n">
        <v>9697.57</v>
      </c>
      <c r="BL7" s="4" t="n">
        <v>8717.902</v>
      </c>
      <c r="BM7" s="4" t="n">
        <v>9604.208</v>
      </c>
      <c r="BN7" s="4" t="n">
        <v>11053.966</v>
      </c>
      <c r="BO7" s="4" t="n">
        <v>10912.722</v>
      </c>
      <c r="BP7" s="4" t="n">
        <v>474735.204</v>
      </c>
    </row>
    <row r="8" customFormat="false" ht="15" hidden="false" customHeight="false" outlineLevel="0" collapsed="false">
      <c r="A8" s="3" t="s">
        <v>141</v>
      </c>
      <c r="B8" s="4" t="n">
        <v>8968.118</v>
      </c>
      <c r="C8" s="4" t="n">
        <v>447.095</v>
      </c>
      <c r="D8" s="4" t="n">
        <v>4248.504</v>
      </c>
      <c r="E8" s="4" t="n">
        <v>3054.178</v>
      </c>
      <c r="F8" s="4" t="n">
        <v>10180.665</v>
      </c>
      <c r="G8" s="4" t="n">
        <v>10775.309</v>
      </c>
      <c r="H8" s="4" t="n">
        <v>14222.876</v>
      </c>
      <c r="I8" s="4" t="n">
        <v>1212.968</v>
      </c>
      <c r="J8" s="4" t="n">
        <v>6209.596</v>
      </c>
      <c r="K8" s="4" t="n">
        <v>550.932</v>
      </c>
      <c r="L8" s="4" t="n">
        <v>3272.864</v>
      </c>
      <c r="M8" s="4" t="n">
        <v>6958.756</v>
      </c>
      <c r="N8" s="4" t="n">
        <v>483.518</v>
      </c>
      <c r="O8" s="4" t="n">
        <v>3434.648</v>
      </c>
      <c r="P8" s="4" t="n">
        <v>10030.05</v>
      </c>
      <c r="Q8" s="4" t="n">
        <v>8701.766</v>
      </c>
      <c r="R8" s="4" t="n">
        <v>3746.78</v>
      </c>
      <c r="S8" s="4" t="n">
        <v>9587.607</v>
      </c>
      <c r="T8" s="4" t="n">
        <v>11724.125</v>
      </c>
      <c r="U8" s="4" t="n">
        <v>167.655</v>
      </c>
      <c r="V8" s="4" t="n">
        <v>11568.293</v>
      </c>
      <c r="W8" s="4" t="n">
        <v>11300.897</v>
      </c>
      <c r="X8" s="4" t="n">
        <v>5717.902</v>
      </c>
      <c r="Y8" s="4" t="n">
        <v>2745.379</v>
      </c>
      <c r="Z8" s="4" t="n">
        <v>14013.558</v>
      </c>
      <c r="AA8" s="4" t="n">
        <v>5495.091</v>
      </c>
      <c r="AB8" s="4" t="n">
        <v>1502.422</v>
      </c>
      <c r="AC8" s="4" t="n">
        <v>1588.81</v>
      </c>
      <c r="AD8" s="4" t="n">
        <v>11660.599</v>
      </c>
      <c r="AE8" s="4" t="n">
        <v>8329.916</v>
      </c>
      <c r="AF8" s="4" t="n">
        <v>11892.791</v>
      </c>
      <c r="AG8" s="4" t="n">
        <v>9422.6</v>
      </c>
      <c r="AH8" s="4" t="n">
        <v>7692.095</v>
      </c>
      <c r="AI8" s="4" t="n">
        <v>15384.035</v>
      </c>
      <c r="AJ8" s="4" t="n">
        <v>5575.391</v>
      </c>
      <c r="AK8" s="4" t="n">
        <v>7488.814</v>
      </c>
      <c r="AL8" s="4" t="n">
        <v>12336.252</v>
      </c>
      <c r="AM8" s="4" t="n">
        <v>8275.245</v>
      </c>
      <c r="AN8" s="4" t="n">
        <v>13414.014</v>
      </c>
      <c r="AO8" s="4" t="n">
        <v>7467.568</v>
      </c>
      <c r="AP8" s="4" t="n">
        <v>10261.165</v>
      </c>
      <c r="AQ8" s="4" t="n">
        <v>797.905</v>
      </c>
      <c r="AR8" s="4" t="n">
        <v>2999.754</v>
      </c>
      <c r="AS8" s="4" t="n">
        <v>4600.819</v>
      </c>
      <c r="AT8" s="4" t="n">
        <v>1148.036</v>
      </c>
      <c r="AU8" s="4" t="n">
        <v>3527.58</v>
      </c>
      <c r="AV8" s="4" t="n">
        <v>1388.394</v>
      </c>
      <c r="AW8" s="4" t="n">
        <v>4087.961</v>
      </c>
      <c r="AX8" s="4" t="n">
        <v>8743.728</v>
      </c>
      <c r="AY8" s="4" t="n">
        <v>5248.425</v>
      </c>
      <c r="AZ8" s="4" t="n">
        <v>6055.792</v>
      </c>
      <c r="BA8" s="4" t="n">
        <v>3104.831</v>
      </c>
      <c r="BB8" s="4" t="n">
        <v>4386.276</v>
      </c>
      <c r="BC8" s="4" t="n">
        <v>15455.827</v>
      </c>
      <c r="BD8" s="4" t="n">
        <v>9030.696</v>
      </c>
      <c r="BE8" s="4" t="n">
        <v>8025.117</v>
      </c>
      <c r="BF8" s="4" t="n">
        <v>2267.88</v>
      </c>
      <c r="BG8" s="4" t="n">
        <v>11093.646</v>
      </c>
      <c r="BH8" s="4" t="n">
        <v>2914.832</v>
      </c>
      <c r="BI8" s="4" t="n">
        <v>5494.893</v>
      </c>
      <c r="BJ8" s="4" t="n">
        <v>15512.515</v>
      </c>
      <c r="BK8" s="4" t="n">
        <v>10448.985</v>
      </c>
      <c r="BL8" s="4" t="n">
        <v>8780.907</v>
      </c>
      <c r="BM8" s="4" t="n">
        <v>11086.39</v>
      </c>
      <c r="BN8" s="4" t="n">
        <v>14365.916</v>
      </c>
      <c r="BO8" s="4" t="n">
        <v>10610.546</v>
      </c>
      <c r="BP8" s="4" t="n">
        <v>472288.499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B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8" min="2" style="0" width="14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customFormat="false" ht="15" hidden="false" customHeight="false" outlineLevel="0" collapsed="false">
      <c r="A2" s="2" t="s">
        <v>68</v>
      </c>
      <c r="B2" s="2" t="s">
        <v>142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  <c r="H2" s="2" t="s">
        <v>148</v>
      </c>
      <c r="I2" s="2" t="s">
        <v>149</v>
      </c>
      <c r="J2" s="2" t="s">
        <v>150</v>
      </c>
      <c r="K2" s="2" t="s">
        <v>151</v>
      </c>
      <c r="L2" s="2" t="s">
        <v>152</v>
      </c>
      <c r="M2" s="2" t="s">
        <v>153</v>
      </c>
      <c r="N2" s="2" t="s">
        <v>154</v>
      </c>
      <c r="O2" s="2" t="s">
        <v>155</v>
      </c>
      <c r="P2" s="2" t="s">
        <v>156</v>
      </c>
      <c r="Q2" s="2" t="s">
        <v>157</v>
      </c>
      <c r="R2" s="2" t="s">
        <v>158</v>
      </c>
      <c r="S2" s="2" t="s">
        <v>159</v>
      </c>
      <c r="T2" s="2" t="s">
        <v>160</v>
      </c>
      <c r="U2" s="2" t="s">
        <v>161</v>
      </c>
      <c r="V2" s="2" t="s">
        <v>162</v>
      </c>
      <c r="W2" s="2" t="s">
        <v>163</v>
      </c>
      <c r="X2" s="2" t="s">
        <v>164</v>
      </c>
      <c r="Y2" s="2" t="s">
        <v>165</v>
      </c>
      <c r="Z2" s="2" t="s">
        <v>166</v>
      </c>
      <c r="AA2" s="2" t="s">
        <v>167</v>
      </c>
      <c r="AB2" s="2" t="s">
        <v>168</v>
      </c>
      <c r="AC2" s="2" t="s">
        <v>169</v>
      </c>
      <c r="AD2" s="2" t="s">
        <v>170</v>
      </c>
      <c r="AE2" s="2" t="s">
        <v>171</v>
      </c>
      <c r="AF2" s="2" t="s">
        <v>172</v>
      </c>
      <c r="AG2" s="2" t="s">
        <v>173</v>
      </c>
      <c r="AH2" s="2" t="s">
        <v>174</v>
      </c>
      <c r="AI2" s="2" t="s">
        <v>175</v>
      </c>
      <c r="AJ2" s="2" t="s">
        <v>176</v>
      </c>
      <c r="AK2" s="2" t="s">
        <v>177</v>
      </c>
      <c r="AL2" s="2" t="s">
        <v>178</v>
      </c>
      <c r="AM2" s="2" t="s">
        <v>179</v>
      </c>
      <c r="AN2" s="2" t="s">
        <v>180</v>
      </c>
      <c r="AO2" s="2" t="s">
        <v>181</v>
      </c>
      <c r="AP2" s="2" t="s">
        <v>182</v>
      </c>
      <c r="AQ2" s="2" t="s">
        <v>183</v>
      </c>
      <c r="AR2" s="2" t="s">
        <v>184</v>
      </c>
      <c r="AS2" s="2" t="s">
        <v>185</v>
      </c>
      <c r="AT2" s="2" t="s">
        <v>186</v>
      </c>
      <c r="AU2" s="2" t="s">
        <v>187</v>
      </c>
      <c r="AV2" s="2" t="s">
        <v>188</v>
      </c>
      <c r="AW2" s="2" t="s">
        <v>189</v>
      </c>
      <c r="AX2" s="2" t="s">
        <v>190</v>
      </c>
      <c r="AY2" s="2" t="s">
        <v>191</v>
      </c>
      <c r="AZ2" s="2" t="s">
        <v>192</v>
      </c>
      <c r="BA2" s="2" t="s">
        <v>193</v>
      </c>
      <c r="BB2" s="2" t="s">
        <v>194</v>
      </c>
      <c r="BC2" s="2" t="s">
        <v>195</v>
      </c>
      <c r="BD2" s="2" t="s">
        <v>196</v>
      </c>
      <c r="BE2" s="2" t="s">
        <v>197</v>
      </c>
      <c r="BF2" s="2" t="s">
        <v>198</v>
      </c>
      <c r="BG2" s="2" t="s">
        <v>199</v>
      </c>
      <c r="BH2" s="2" t="s">
        <v>200</v>
      </c>
      <c r="BI2" s="2" t="s">
        <v>201</v>
      </c>
      <c r="BJ2" s="2" t="s">
        <v>202</v>
      </c>
      <c r="BK2" s="2" t="s">
        <v>203</v>
      </c>
      <c r="BL2" s="2" t="s">
        <v>204</v>
      </c>
      <c r="BM2" s="2" t="s">
        <v>205</v>
      </c>
      <c r="BN2" s="2" t="s">
        <v>206</v>
      </c>
      <c r="BO2" s="2" t="s">
        <v>207</v>
      </c>
      <c r="BP2" s="2" t="s">
        <v>208</v>
      </c>
    </row>
    <row r="3" customFormat="false" ht="15" hidden="false" customHeight="false" outlineLevel="0" collapsed="false">
      <c r="A3" s="3" t="s">
        <v>136</v>
      </c>
      <c r="B3" s="4" t="n">
        <v>7898.098</v>
      </c>
      <c r="C3" s="4" t="n">
        <v>8927.59</v>
      </c>
      <c r="D3" s="4" t="n">
        <v>7967.424</v>
      </c>
      <c r="E3" s="4" t="n">
        <v>7065.866</v>
      </c>
      <c r="F3" s="4" t="n">
        <v>5133.419</v>
      </c>
      <c r="G3" s="4" t="n">
        <v>11187.475</v>
      </c>
      <c r="H3" s="4" t="n">
        <v>4120.433</v>
      </c>
      <c r="I3" s="4" t="n">
        <v>1510.105</v>
      </c>
      <c r="J3" s="4" t="n">
        <v>2748.396</v>
      </c>
      <c r="K3" s="4" t="n">
        <v>7936.271</v>
      </c>
      <c r="L3" s="4" t="n">
        <v>14973.54</v>
      </c>
      <c r="M3" s="4" t="n">
        <v>9124.385</v>
      </c>
      <c r="N3" s="4" t="n">
        <v>718.748</v>
      </c>
      <c r="O3" s="4" t="n">
        <v>3314.026</v>
      </c>
      <c r="P3" s="4" t="n">
        <v>1514.846</v>
      </c>
      <c r="Q3" s="4" t="n">
        <v>4912.813</v>
      </c>
      <c r="R3" s="4" t="n">
        <v>4668.925</v>
      </c>
      <c r="S3" s="4" t="n">
        <v>13331.391</v>
      </c>
      <c r="T3" s="4" t="n">
        <v>7216.727</v>
      </c>
      <c r="U3" s="4" t="n">
        <v>11355.949</v>
      </c>
      <c r="V3" s="4" t="n">
        <v>11466.074</v>
      </c>
      <c r="W3" s="4" t="n">
        <v>2053.301</v>
      </c>
      <c r="X3" s="4" t="n">
        <v>1819.557</v>
      </c>
      <c r="Y3" s="4" t="n">
        <v>14376.949</v>
      </c>
      <c r="Z3" s="4" t="n">
        <v>154.545</v>
      </c>
      <c r="AA3" s="4" t="n">
        <v>7561.849</v>
      </c>
      <c r="AB3" s="4" t="n">
        <v>11218.648</v>
      </c>
      <c r="AC3" s="4" t="n">
        <v>3614.896</v>
      </c>
      <c r="AD3" s="4" t="n">
        <v>11317.451</v>
      </c>
      <c r="AE3" s="4" t="n">
        <v>12798.692</v>
      </c>
      <c r="AF3" s="4" t="n">
        <v>14128.784</v>
      </c>
      <c r="AG3" s="4" t="n">
        <v>4487.099</v>
      </c>
      <c r="AH3" s="4" t="n">
        <v>3803.23</v>
      </c>
      <c r="AI3" s="4" t="n">
        <v>5216.507</v>
      </c>
      <c r="AJ3" s="4" t="n">
        <v>502.34</v>
      </c>
      <c r="AK3" s="4" t="n">
        <v>487.019</v>
      </c>
      <c r="AL3" s="4" t="n">
        <v>3672.031</v>
      </c>
      <c r="AM3" s="4" t="n">
        <v>2665.919</v>
      </c>
      <c r="AN3" s="4" t="n">
        <v>12012.646</v>
      </c>
      <c r="AO3" s="4" t="n">
        <v>5287.608</v>
      </c>
      <c r="AP3" s="4" t="n">
        <v>1022.227</v>
      </c>
      <c r="AQ3" s="4" t="n">
        <v>4995.328</v>
      </c>
      <c r="AR3" s="4" t="n">
        <v>1988.796</v>
      </c>
      <c r="AS3" s="4" t="n">
        <v>401.206</v>
      </c>
      <c r="AT3" s="4" t="n">
        <v>9272.859</v>
      </c>
      <c r="AU3" s="4" t="n">
        <v>4110.269</v>
      </c>
      <c r="AV3" s="4" t="n">
        <v>4615.064</v>
      </c>
      <c r="AW3" s="4" t="n">
        <v>2886.477</v>
      </c>
      <c r="AX3" s="4" t="n">
        <v>8025.743</v>
      </c>
      <c r="AY3" s="4" t="n">
        <v>12635.014</v>
      </c>
      <c r="AZ3" s="4" t="n">
        <v>12572.796</v>
      </c>
      <c r="BA3" s="4" t="n">
        <v>14886.216</v>
      </c>
      <c r="BB3" s="4" t="n">
        <v>3903.414</v>
      </c>
      <c r="BC3" s="4" t="n">
        <v>9929.547</v>
      </c>
      <c r="BD3" s="4" t="n">
        <v>4299.51</v>
      </c>
      <c r="BE3" s="4" t="n">
        <v>1950.759</v>
      </c>
      <c r="BF3" s="4" t="n">
        <v>7148.863</v>
      </c>
      <c r="BG3" s="4" t="n">
        <v>14367.663</v>
      </c>
      <c r="BH3" s="4" t="n">
        <v>5719.498</v>
      </c>
      <c r="BI3" s="4" t="n">
        <v>8323.423</v>
      </c>
      <c r="BJ3" s="4" t="n">
        <v>12410.901</v>
      </c>
      <c r="BK3" s="4" t="n">
        <v>1361.646</v>
      </c>
      <c r="BL3" s="4" t="n">
        <v>175.933</v>
      </c>
      <c r="BM3" s="4" t="n">
        <v>14398.88</v>
      </c>
      <c r="BN3" s="4" t="n">
        <v>13090.782</v>
      </c>
      <c r="BO3" s="4" t="n">
        <v>9030.618</v>
      </c>
      <c r="BP3" s="4" t="n">
        <v>447795.003</v>
      </c>
    </row>
    <row r="4" customFormat="false" ht="15" hidden="false" customHeight="false" outlineLevel="0" collapsed="false">
      <c r="A4" s="3" t="s">
        <v>137</v>
      </c>
      <c r="B4" s="4" t="n">
        <v>7596.897</v>
      </c>
      <c r="C4" s="4" t="n">
        <v>9268.954</v>
      </c>
      <c r="D4" s="4" t="n">
        <v>6790.932</v>
      </c>
      <c r="E4" s="4" t="n">
        <v>8153.059</v>
      </c>
      <c r="F4" s="4" t="n">
        <v>5149.737</v>
      </c>
      <c r="G4" s="4" t="n">
        <v>13633.146</v>
      </c>
      <c r="H4" s="4" t="n">
        <v>3648.681</v>
      </c>
      <c r="I4" s="4" t="n">
        <v>1743.431</v>
      </c>
      <c r="J4" s="4" t="n">
        <v>2463.461</v>
      </c>
      <c r="K4" s="4" t="n">
        <v>7675.444</v>
      </c>
      <c r="L4" s="4" t="n">
        <v>11209.926</v>
      </c>
      <c r="M4" s="4" t="n">
        <v>7779.739</v>
      </c>
      <c r="N4" s="4" t="n">
        <v>678.232</v>
      </c>
      <c r="O4" s="4" t="n">
        <v>3377.53</v>
      </c>
      <c r="P4" s="4" t="n">
        <v>1365.381</v>
      </c>
      <c r="Q4" s="4" t="n">
        <v>4420.502</v>
      </c>
      <c r="R4" s="4" t="n">
        <v>4474.725</v>
      </c>
      <c r="S4" s="4" t="n">
        <v>12849.22</v>
      </c>
      <c r="T4" s="4" t="n">
        <v>6337.681</v>
      </c>
      <c r="U4" s="4" t="n">
        <v>12378.144</v>
      </c>
      <c r="V4" s="4" t="n">
        <v>12655.27</v>
      </c>
      <c r="W4" s="4" t="n">
        <v>1654.192</v>
      </c>
      <c r="X4" s="4" t="n">
        <v>1847.866</v>
      </c>
      <c r="Y4" s="4" t="n">
        <v>14312.5</v>
      </c>
      <c r="Z4" s="4" t="n">
        <v>181.468</v>
      </c>
      <c r="AA4" s="4" t="n">
        <v>6574.922</v>
      </c>
      <c r="AB4" s="4" t="n">
        <v>11817.905</v>
      </c>
      <c r="AC4" s="4" t="n">
        <v>3207.623</v>
      </c>
      <c r="AD4" s="4" t="n">
        <v>11873.515</v>
      </c>
      <c r="AE4" s="4" t="n">
        <v>12278.082</v>
      </c>
      <c r="AF4" s="4" t="n">
        <v>12282.106</v>
      </c>
      <c r="AG4" s="4" t="n">
        <v>3965.718</v>
      </c>
      <c r="AH4" s="4" t="n">
        <v>4400.507</v>
      </c>
      <c r="AI4" s="4" t="n">
        <v>4564.86</v>
      </c>
      <c r="AJ4" s="4" t="n">
        <v>479.741</v>
      </c>
      <c r="AK4" s="4" t="n">
        <v>433.15</v>
      </c>
      <c r="AL4" s="4" t="n">
        <v>3313.456</v>
      </c>
      <c r="AM4" s="4" t="n">
        <v>2784.284</v>
      </c>
      <c r="AN4" s="4" t="n">
        <v>9961.73</v>
      </c>
      <c r="AO4" s="4" t="n">
        <v>4930.822</v>
      </c>
      <c r="AP4" s="4" t="n">
        <v>788.509</v>
      </c>
      <c r="AQ4" s="4" t="n">
        <v>4167.48</v>
      </c>
      <c r="AR4" s="4" t="n">
        <v>1894.061</v>
      </c>
      <c r="AS4" s="4" t="n">
        <v>467.396</v>
      </c>
      <c r="AT4" s="4" t="n">
        <v>9353.237</v>
      </c>
      <c r="AU4" s="4" t="n">
        <v>3361.99</v>
      </c>
      <c r="AV4" s="4" t="n">
        <v>4099.656</v>
      </c>
      <c r="AW4" s="4" t="n">
        <v>2551.972</v>
      </c>
      <c r="AX4" s="4" t="n">
        <v>8227.403</v>
      </c>
      <c r="AY4" s="4" t="n">
        <v>10164.525</v>
      </c>
      <c r="AZ4" s="4" t="n">
        <v>15348.839</v>
      </c>
      <c r="BA4" s="4" t="n">
        <v>12210.292</v>
      </c>
      <c r="BB4" s="4" t="n">
        <v>3162.482</v>
      </c>
      <c r="BC4" s="4" t="n">
        <v>8344.085</v>
      </c>
      <c r="BD4" s="4" t="n">
        <v>4161.362</v>
      </c>
      <c r="BE4" s="4" t="n">
        <v>1797.211</v>
      </c>
      <c r="BF4" s="4" t="n">
        <v>8152.294</v>
      </c>
      <c r="BG4" s="4" t="n">
        <v>14098.042</v>
      </c>
      <c r="BH4" s="4" t="n">
        <v>6023.96</v>
      </c>
      <c r="BI4" s="4" t="n">
        <v>8812.195</v>
      </c>
      <c r="BJ4" s="4" t="n">
        <v>11089.226</v>
      </c>
      <c r="BK4" s="4" t="n">
        <v>1379.31</v>
      </c>
      <c r="BL4" s="4" t="n">
        <v>207.919</v>
      </c>
      <c r="BM4" s="4" t="n">
        <v>13630.938</v>
      </c>
      <c r="BN4" s="4" t="n">
        <v>14413.818</v>
      </c>
      <c r="BO4" s="4" t="n">
        <v>10828.068</v>
      </c>
      <c r="BP4" s="4" t="n">
        <v>433250.812</v>
      </c>
    </row>
    <row r="5" customFormat="false" ht="15" hidden="false" customHeight="false" outlineLevel="0" collapsed="false">
      <c r="A5" s="3" t="s">
        <v>138</v>
      </c>
      <c r="B5" s="4" t="n">
        <v>7489.551</v>
      </c>
      <c r="C5" s="4" t="n">
        <v>10298.611</v>
      </c>
      <c r="D5" s="4" t="n">
        <v>6863.146</v>
      </c>
      <c r="E5" s="4" t="n">
        <v>6431.837</v>
      </c>
      <c r="F5" s="4" t="n">
        <v>4553.487</v>
      </c>
      <c r="G5" s="4" t="n">
        <v>13201.623</v>
      </c>
      <c r="H5" s="4" t="n">
        <v>4306.469</v>
      </c>
      <c r="I5" s="4" t="n">
        <v>1528.405</v>
      </c>
      <c r="J5" s="4" t="n">
        <v>2670.448</v>
      </c>
      <c r="K5" s="4" t="n">
        <v>7474.942</v>
      </c>
      <c r="L5" s="4" t="n">
        <v>11676.622</v>
      </c>
      <c r="M5" s="4" t="n">
        <v>6905.741</v>
      </c>
      <c r="N5" s="4" t="n">
        <v>763.133</v>
      </c>
      <c r="O5" s="4" t="n">
        <v>3319.038</v>
      </c>
      <c r="P5" s="4" t="n">
        <v>1733.295</v>
      </c>
      <c r="Q5" s="4" t="n">
        <v>4774.336</v>
      </c>
      <c r="R5" s="4" t="n">
        <v>5424.851</v>
      </c>
      <c r="S5" s="4" t="n">
        <v>15107.134</v>
      </c>
      <c r="T5" s="4" t="n">
        <v>8046.277</v>
      </c>
      <c r="U5" s="4" t="n">
        <v>11458.732</v>
      </c>
      <c r="V5" s="4" t="n">
        <v>10845.309</v>
      </c>
      <c r="W5" s="4" t="n">
        <v>2120.294</v>
      </c>
      <c r="X5" s="4" t="n">
        <v>2127.275</v>
      </c>
      <c r="Y5" s="4" t="n">
        <v>15196.368</v>
      </c>
      <c r="Z5" s="4" t="n">
        <v>184.277</v>
      </c>
      <c r="AA5" s="4" t="n">
        <v>6289.953</v>
      </c>
      <c r="AB5" s="4" t="n">
        <v>11724.439</v>
      </c>
      <c r="AC5" s="4" t="n">
        <v>3160.007</v>
      </c>
      <c r="AD5" s="4" t="n">
        <v>12150.703</v>
      </c>
      <c r="AE5" s="4" t="n">
        <v>14413.834</v>
      </c>
      <c r="AF5" s="4" t="n">
        <v>11119.388</v>
      </c>
      <c r="AG5" s="4" t="n">
        <v>3961.071</v>
      </c>
      <c r="AH5" s="4" t="n">
        <v>3638.733</v>
      </c>
      <c r="AI5" s="4" t="n">
        <v>5563.655</v>
      </c>
      <c r="AJ5" s="4" t="n">
        <v>599.416</v>
      </c>
      <c r="AK5" s="4" t="n">
        <v>446.019</v>
      </c>
      <c r="AL5" s="4" t="n">
        <v>3242.532</v>
      </c>
      <c r="AM5" s="4" t="n">
        <v>2452.259</v>
      </c>
      <c r="AN5" s="4" t="n">
        <v>10706.872</v>
      </c>
      <c r="AO5" s="4" t="n">
        <v>4691.537</v>
      </c>
      <c r="AP5" s="4" t="n">
        <v>900.823</v>
      </c>
      <c r="AQ5" s="4" t="n">
        <v>4276.882</v>
      </c>
      <c r="AR5" s="4" t="n">
        <v>2207.34</v>
      </c>
      <c r="AS5" s="4" t="n">
        <v>432.542</v>
      </c>
      <c r="AT5" s="4" t="n">
        <v>9820.879</v>
      </c>
      <c r="AU5" s="4" t="n">
        <v>4186.376</v>
      </c>
      <c r="AV5" s="4" t="n">
        <v>4178.312</v>
      </c>
      <c r="AW5" s="4" t="n">
        <v>3073.91</v>
      </c>
      <c r="AX5" s="4" t="n">
        <v>8121.087</v>
      </c>
      <c r="AY5" s="4" t="n">
        <v>13524.201</v>
      </c>
      <c r="AZ5" s="4" t="n">
        <v>12208.183</v>
      </c>
      <c r="BA5" s="4" t="n">
        <v>15251.396</v>
      </c>
      <c r="BB5" s="4" t="n">
        <v>3296.194</v>
      </c>
      <c r="BC5" s="4" t="n">
        <v>9606.575</v>
      </c>
      <c r="BD5" s="4" t="n">
        <v>3768.661</v>
      </c>
      <c r="BE5" s="4" t="n">
        <v>2165.14</v>
      </c>
      <c r="BF5" s="4" t="n">
        <v>7409.972</v>
      </c>
      <c r="BG5" s="4" t="n">
        <v>14199.5</v>
      </c>
      <c r="BH5" s="4" t="n">
        <v>5877.175</v>
      </c>
      <c r="BI5" s="4" t="n">
        <v>8318.185</v>
      </c>
      <c r="BJ5" s="4" t="n">
        <v>12977.242</v>
      </c>
      <c r="BK5" s="4" t="n">
        <v>1144.364</v>
      </c>
      <c r="BL5" s="4" t="n">
        <v>203.055</v>
      </c>
      <c r="BM5" s="4" t="n">
        <v>11272.852</v>
      </c>
      <c r="BN5" s="4" t="n">
        <v>14765.119</v>
      </c>
      <c r="BO5" s="4" t="n">
        <v>9491.574</v>
      </c>
      <c r="BP5" s="4" t="n">
        <v>441339.155</v>
      </c>
    </row>
    <row r="6" customFormat="false" ht="15" hidden="false" customHeight="false" outlineLevel="0" collapsed="false">
      <c r="A6" s="3" t="s">
        <v>139</v>
      </c>
      <c r="B6" s="4" t="n">
        <v>7486.077</v>
      </c>
      <c r="C6" s="4" t="n">
        <v>8975.088</v>
      </c>
      <c r="D6" s="4" t="n">
        <v>8061.765</v>
      </c>
      <c r="E6" s="4" t="n">
        <v>7021.635</v>
      </c>
      <c r="F6" s="4" t="n">
        <v>5139.045</v>
      </c>
      <c r="G6" s="4" t="n">
        <v>13839.889</v>
      </c>
      <c r="H6" s="4" t="n">
        <v>3498.844</v>
      </c>
      <c r="I6" s="4" t="n">
        <v>1567.877</v>
      </c>
      <c r="J6" s="4" t="n">
        <v>2578.171</v>
      </c>
      <c r="K6" s="4" t="n">
        <v>8883.767</v>
      </c>
      <c r="L6" s="4" t="n">
        <v>13833.364</v>
      </c>
      <c r="M6" s="4" t="n">
        <v>7984.761</v>
      </c>
      <c r="N6" s="4" t="n">
        <v>774.68</v>
      </c>
      <c r="O6" s="4" t="n">
        <v>4352.396</v>
      </c>
      <c r="P6" s="4" t="n">
        <v>1492.167</v>
      </c>
      <c r="Q6" s="4" t="n">
        <v>4126.654</v>
      </c>
      <c r="R6" s="4" t="n">
        <v>4709.501</v>
      </c>
      <c r="S6" s="4" t="n">
        <v>14060.159</v>
      </c>
      <c r="T6" s="4" t="n">
        <v>6395.85</v>
      </c>
      <c r="U6" s="4" t="n">
        <v>13429.625</v>
      </c>
      <c r="V6" s="4" t="n">
        <v>11889.15</v>
      </c>
      <c r="W6" s="4" t="n">
        <v>1836.538</v>
      </c>
      <c r="X6" s="4" t="n">
        <v>2001.208</v>
      </c>
      <c r="Y6" s="4" t="n">
        <v>15981.724</v>
      </c>
      <c r="Z6" s="4" t="n">
        <v>158.039</v>
      </c>
      <c r="AA6" s="4" t="n">
        <v>7665.417</v>
      </c>
      <c r="AB6" s="4" t="n">
        <v>11120.659</v>
      </c>
      <c r="AC6" s="4" t="n">
        <v>3851.749</v>
      </c>
      <c r="AD6" s="4" t="n">
        <v>10510.451</v>
      </c>
      <c r="AE6" s="4" t="n">
        <v>12989.169</v>
      </c>
      <c r="AF6" s="4" t="n">
        <v>14310.163</v>
      </c>
      <c r="AG6" s="4" t="n">
        <v>4417.53</v>
      </c>
      <c r="AH6" s="4" t="n">
        <v>4119.155</v>
      </c>
      <c r="AI6" s="4" t="n">
        <v>5291.926</v>
      </c>
      <c r="AJ6" s="4" t="n">
        <v>543.419</v>
      </c>
      <c r="AK6" s="4" t="n">
        <v>445.886</v>
      </c>
      <c r="AL6" s="4" t="n">
        <v>4122.033</v>
      </c>
      <c r="AM6" s="4" t="n">
        <v>2730.734</v>
      </c>
      <c r="AN6" s="4" t="n">
        <v>9908.067</v>
      </c>
      <c r="AO6" s="4" t="n">
        <v>5532.068</v>
      </c>
      <c r="AP6" s="4" t="n">
        <v>1025.729</v>
      </c>
      <c r="AQ6" s="4" t="n">
        <v>5125.762</v>
      </c>
      <c r="AR6" s="4" t="n">
        <v>2026.673</v>
      </c>
      <c r="AS6" s="4" t="n">
        <v>384.455</v>
      </c>
      <c r="AT6" s="4" t="n">
        <v>9967.346</v>
      </c>
      <c r="AU6" s="4" t="n">
        <v>3377.79</v>
      </c>
      <c r="AV6" s="4" t="n">
        <v>3755.853</v>
      </c>
      <c r="AW6" s="4" t="n">
        <v>3245.771</v>
      </c>
      <c r="AX6" s="4" t="n">
        <v>9137.437</v>
      </c>
      <c r="AY6" s="4" t="n">
        <v>13647.896</v>
      </c>
      <c r="AZ6" s="4" t="n">
        <v>15740.205</v>
      </c>
      <c r="BA6" s="4" t="n">
        <v>13679.325</v>
      </c>
      <c r="BB6" s="4" t="n">
        <v>4091.797</v>
      </c>
      <c r="BC6" s="4" t="n">
        <v>10458.523</v>
      </c>
      <c r="BD6" s="4" t="n">
        <v>3730.409</v>
      </c>
      <c r="BE6" s="4" t="n">
        <v>1790.925</v>
      </c>
      <c r="BF6" s="4" t="n">
        <v>6485.981</v>
      </c>
      <c r="BG6" s="4" t="n">
        <v>16075.598</v>
      </c>
      <c r="BH6" s="4" t="n">
        <v>4820.824</v>
      </c>
      <c r="BI6" s="4" t="n">
        <v>8184.618</v>
      </c>
      <c r="BJ6" s="4" t="n">
        <v>11855.182</v>
      </c>
      <c r="BK6" s="4" t="n">
        <v>1163.279</v>
      </c>
      <c r="BL6" s="4" t="n">
        <v>178.461</v>
      </c>
      <c r="BM6" s="4" t="n">
        <v>14612.739</v>
      </c>
      <c r="BN6" s="4" t="n">
        <v>12797.589</v>
      </c>
      <c r="BO6" s="4" t="n">
        <v>9141.707</v>
      </c>
      <c r="BP6" s="4" t="n">
        <v>454138.276</v>
      </c>
    </row>
    <row r="7" customFormat="false" ht="15" hidden="false" customHeight="false" outlineLevel="0" collapsed="false">
      <c r="A7" s="3" t="s">
        <v>140</v>
      </c>
      <c r="B7" s="4" t="n">
        <v>9317.598</v>
      </c>
      <c r="C7" s="4" t="n">
        <v>11077.956</v>
      </c>
      <c r="D7" s="4" t="n">
        <v>7116.244</v>
      </c>
      <c r="E7" s="4" t="n">
        <v>8084.851</v>
      </c>
      <c r="F7" s="4" t="n">
        <v>5282.063</v>
      </c>
      <c r="G7" s="4" t="n">
        <v>11993.522</v>
      </c>
      <c r="H7" s="4" t="n">
        <v>4351.4</v>
      </c>
      <c r="I7" s="4" t="n">
        <v>1349.332</v>
      </c>
      <c r="J7" s="4" t="n">
        <v>2648.311</v>
      </c>
      <c r="K7" s="4" t="n">
        <v>7869.399</v>
      </c>
      <c r="L7" s="4" t="n">
        <v>11212.953</v>
      </c>
      <c r="M7" s="4" t="n">
        <v>9110.288</v>
      </c>
      <c r="N7" s="4" t="n">
        <v>761.958</v>
      </c>
      <c r="O7" s="4" t="n">
        <v>4083.043</v>
      </c>
      <c r="P7" s="4" t="n">
        <v>1776.018</v>
      </c>
      <c r="Q7" s="4" t="n">
        <v>5215.535</v>
      </c>
      <c r="R7" s="4" t="n">
        <v>5300.322</v>
      </c>
      <c r="S7" s="4" t="n">
        <v>12775.282</v>
      </c>
      <c r="T7" s="4" t="n">
        <v>6439.419</v>
      </c>
      <c r="U7" s="4" t="n">
        <v>13050.325</v>
      </c>
      <c r="V7" s="4" t="n">
        <v>10734.303</v>
      </c>
      <c r="W7" s="4" t="n">
        <v>1699.345</v>
      </c>
      <c r="X7" s="4" t="n">
        <v>2364.925</v>
      </c>
      <c r="Y7" s="4" t="n">
        <v>15928.871</v>
      </c>
      <c r="Z7" s="4" t="n">
        <v>154.63</v>
      </c>
      <c r="AA7" s="4" t="n">
        <v>6108.108</v>
      </c>
      <c r="AB7" s="4" t="n">
        <v>13390.889</v>
      </c>
      <c r="AC7" s="4" t="n">
        <v>3368.083</v>
      </c>
      <c r="AD7" s="4" t="n">
        <v>10280.13</v>
      </c>
      <c r="AE7" s="4" t="n">
        <v>13227.697</v>
      </c>
      <c r="AF7" s="4" t="n">
        <v>11695.133</v>
      </c>
      <c r="AG7" s="4" t="n">
        <v>4794.303</v>
      </c>
      <c r="AH7" s="4" t="n">
        <v>3835.288</v>
      </c>
      <c r="AI7" s="4" t="n">
        <v>5222.861</v>
      </c>
      <c r="AJ7" s="4" t="n">
        <v>562.139</v>
      </c>
      <c r="AK7" s="4" t="n">
        <v>392.37</v>
      </c>
      <c r="AL7" s="4" t="n">
        <v>3994.027</v>
      </c>
      <c r="AM7" s="4" t="n">
        <v>2916.963</v>
      </c>
      <c r="AN7" s="4" t="n">
        <v>11013.665</v>
      </c>
      <c r="AO7" s="4" t="n">
        <v>4794.195</v>
      </c>
      <c r="AP7" s="4" t="n">
        <v>816.364</v>
      </c>
      <c r="AQ7" s="4" t="n">
        <v>4536.682</v>
      </c>
      <c r="AR7" s="4" t="n">
        <v>2215.143</v>
      </c>
      <c r="AS7" s="4" t="n">
        <v>398.033</v>
      </c>
      <c r="AT7" s="4" t="n">
        <v>10365.411</v>
      </c>
      <c r="AU7" s="4" t="n">
        <v>3798.254</v>
      </c>
      <c r="AV7" s="4" t="n">
        <v>3654.904</v>
      </c>
      <c r="AW7" s="4" t="n">
        <v>2686.354</v>
      </c>
      <c r="AX7" s="4" t="n">
        <v>9052.765</v>
      </c>
      <c r="AY7" s="4" t="n">
        <v>13499.796</v>
      </c>
      <c r="AZ7" s="4" t="n">
        <v>15782.985</v>
      </c>
      <c r="BA7" s="4" t="n">
        <v>12446.441</v>
      </c>
      <c r="BB7" s="4" t="n">
        <v>3649.779</v>
      </c>
      <c r="BC7" s="4" t="n">
        <v>9853.704</v>
      </c>
      <c r="BD7" s="4" t="n">
        <v>4129.992</v>
      </c>
      <c r="BE7" s="4" t="n">
        <v>2040.537</v>
      </c>
      <c r="BF7" s="4" t="n">
        <v>7580.971</v>
      </c>
      <c r="BG7" s="4" t="n">
        <v>15826.965</v>
      </c>
      <c r="BH7" s="4" t="n">
        <v>5609.512</v>
      </c>
      <c r="BI7" s="4" t="n">
        <v>6999.9</v>
      </c>
      <c r="BJ7" s="4" t="n">
        <v>12496.225</v>
      </c>
      <c r="BK7" s="4" t="n">
        <v>1318.317</v>
      </c>
      <c r="BL7" s="4" t="n">
        <v>159.961</v>
      </c>
      <c r="BM7" s="4" t="n">
        <v>13366.569</v>
      </c>
      <c r="BN7" s="4" t="n">
        <v>13303.025</v>
      </c>
      <c r="BO7" s="4" t="n">
        <v>8520.997</v>
      </c>
      <c r="BP7" s="4" t="n">
        <v>449403.331</v>
      </c>
    </row>
    <row r="8" customFormat="false" ht="15" hidden="false" customHeight="false" outlineLevel="0" collapsed="false">
      <c r="A8" s="3" t="s">
        <v>141</v>
      </c>
      <c r="B8" s="4" t="n">
        <v>10067.384</v>
      </c>
      <c r="C8" s="4" t="n">
        <v>11752.892</v>
      </c>
      <c r="D8" s="4" t="n">
        <v>8175.512</v>
      </c>
      <c r="E8" s="4" t="n">
        <v>7071.832</v>
      </c>
      <c r="F8" s="4" t="n">
        <v>5755.123</v>
      </c>
      <c r="G8" s="4" t="n">
        <v>12914.552</v>
      </c>
      <c r="H8" s="4" t="n">
        <v>3871.446</v>
      </c>
      <c r="I8" s="4" t="n">
        <v>1756.175</v>
      </c>
      <c r="J8" s="4" t="n">
        <v>2744.249</v>
      </c>
      <c r="K8" s="4" t="n">
        <v>7323.111</v>
      </c>
      <c r="L8" s="4" t="n">
        <v>13881.928</v>
      </c>
      <c r="M8" s="4" t="n">
        <v>7703.772</v>
      </c>
      <c r="N8" s="4" t="n">
        <v>729.75</v>
      </c>
      <c r="O8" s="4" t="n">
        <v>3905.578</v>
      </c>
      <c r="P8" s="4" t="n">
        <v>1557.068</v>
      </c>
      <c r="Q8" s="4" t="n">
        <v>4898.09</v>
      </c>
      <c r="R8" s="4" t="n">
        <v>5029.763</v>
      </c>
      <c r="S8" s="4" t="n">
        <v>15251.639</v>
      </c>
      <c r="T8" s="4" t="n">
        <v>8243.276</v>
      </c>
      <c r="U8" s="4" t="n">
        <v>12948.016</v>
      </c>
      <c r="V8" s="4" t="n">
        <v>13047.047</v>
      </c>
      <c r="W8" s="4" t="n">
        <v>2112.433</v>
      </c>
      <c r="X8" s="4" t="n">
        <v>2222.029</v>
      </c>
      <c r="Y8" s="4" t="n">
        <v>14907.991</v>
      </c>
      <c r="Z8" s="4" t="n">
        <v>169.57</v>
      </c>
      <c r="AA8" s="4" t="n">
        <v>6991.086</v>
      </c>
      <c r="AB8" s="4" t="n">
        <v>10895.279</v>
      </c>
      <c r="AC8" s="4" t="n">
        <v>4083.755</v>
      </c>
      <c r="AD8" s="4" t="n">
        <v>9714.62</v>
      </c>
      <c r="AE8" s="4" t="n">
        <v>13551.787</v>
      </c>
      <c r="AF8" s="4" t="n">
        <v>13663.332</v>
      </c>
      <c r="AG8" s="4" t="n">
        <v>4430.411</v>
      </c>
      <c r="AH8" s="4" t="n">
        <v>3870.402</v>
      </c>
      <c r="AI8" s="4" t="n">
        <v>4827.409</v>
      </c>
      <c r="AJ8" s="4" t="n">
        <v>641.513</v>
      </c>
      <c r="AK8" s="4" t="n">
        <v>396.893</v>
      </c>
      <c r="AL8" s="4" t="n">
        <v>3327.782</v>
      </c>
      <c r="AM8" s="4" t="n">
        <v>2563.067</v>
      </c>
      <c r="AN8" s="4" t="n">
        <v>11676.934</v>
      </c>
      <c r="AO8" s="4" t="n">
        <v>4872.982</v>
      </c>
      <c r="AP8" s="4" t="n">
        <v>986.116</v>
      </c>
      <c r="AQ8" s="4" t="n">
        <v>4597.659</v>
      </c>
      <c r="AR8" s="4" t="n">
        <v>1734.689</v>
      </c>
      <c r="AS8" s="4" t="n">
        <v>442.935</v>
      </c>
      <c r="AT8" s="4" t="n">
        <v>9560.971</v>
      </c>
      <c r="AU8" s="4" t="n">
        <v>4104.464</v>
      </c>
      <c r="AV8" s="4" t="n">
        <v>3989.229</v>
      </c>
      <c r="AW8" s="4" t="n">
        <v>3285.221</v>
      </c>
      <c r="AX8" s="4" t="n">
        <v>7794.385</v>
      </c>
      <c r="AY8" s="4" t="n">
        <v>12102.471</v>
      </c>
      <c r="AZ8" s="4" t="n">
        <v>13736.549</v>
      </c>
      <c r="BA8" s="4" t="n">
        <v>12362.894</v>
      </c>
      <c r="BB8" s="4" t="n">
        <v>3150.388</v>
      </c>
      <c r="BC8" s="4" t="n">
        <v>8166.235</v>
      </c>
      <c r="BD8" s="4" t="n">
        <v>4095.459</v>
      </c>
      <c r="BE8" s="4" t="n">
        <v>1928.786</v>
      </c>
      <c r="BF8" s="4" t="n">
        <v>8432.475</v>
      </c>
      <c r="BG8" s="4" t="n">
        <v>15178.999</v>
      </c>
      <c r="BH8" s="4" t="n">
        <v>5621.914</v>
      </c>
      <c r="BI8" s="4" t="n">
        <v>7473.589</v>
      </c>
      <c r="BJ8" s="4" t="n">
        <v>10580.265</v>
      </c>
      <c r="BK8" s="4" t="n">
        <v>1150.749</v>
      </c>
      <c r="BL8" s="4" t="n">
        <v>170.039</v>
      </c>
      <c r="BM8" s="4" t="n">
        <v>13576.395</v>
      </c>
      <c r="BN8" s="4" t="n">
        <v>13517.198</v>
      </c>
      <c r="BO8" s="4" t="n">
        <v>8489.945</v>
      </c>
      <c r="BP8" s="4" t="n">
        <v>449777.496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</cols>
  <sheetData>
    <row r="1" customFormat="false" ht="15" hidden="false" customHeight="false" outlineLevel="0" collapsed="false">
      <c r="A1" s="5" t="s">
        <v>209</v>
      </c>
      <c r="C1" s="5" t="s">
        <v>210</v>
      </c>
    </row>
    <row r="2" customFormat="false" ht="15" hidden="false" customHeight="false" outlineLevel="0" collapsed="false">
      <c r="A2" s="3" t="str">
        <f aca="false">IFERROR(IF(Acct1_Raw!$A$3="","",Acct1_Raw!$A$3),"")</f>
        <v>8/1/25</v>
      </c>
      <c r="C2" s="3" t="n">
        <f aca="false">COUNTA(A2:A25)</f>
        <v>24</v>
      </c>
    </row>
    <row r="3" customFormat="false" ht="15" hidden="false" customHeight="false" outlineLevel="0" collapsed="false">
      <c r="A3" s="3" t="str">
        <f aca="false">IFERROR(IF(Acct1_Raw!$A$4="","",Acct1_Raw!$A$4),"")</f>
        <v>9/1/25</v>
      </c>
    </row>
    <row r="4" customFormat="false" ht="15" hidden="false" customHeight="false" outlineLevel="0" collapsed="false">
      <c r="A4" s="3" t="str">
        <f aca="false">IFERROR(IF(Acct1_Raw!$A$5="","",Acct1_Raw!$A$5),"")</f>
        <v>10/1/25</v>
      </c>
    </row>
    <row r="5" customFormat="false" ht="15" hidden="false" customHeight="false" outlineLevel="0" collapsed="false">
      <c r="A5" s="3" t="str">
        <f aca="false">IFERROR(IF(Acct1_Raw!$A$6="","",Acct1_Raw!$A$6),"")</f>
        <v>11/1/25</v>
      </c>
    </row>
    <row r="6" customFormat="false" ht="15" hidden="false" customHeight="false" outlineLevel="0" collapsed="false">
      <c r="A6" s="3" t="str">
        <f aca="false">IFERROR(IF(Acct1_Raw!$A$7="","",Acct1_Raw!$A$7),"")</f>
        <v>12/1/25</v>
      </c>
    </row>
    <row r="7" customFormat="false" ht="15" hidden="false" customHeight="false" outlineLevel="0" collapsed="false">
      <c r="A7" s="3" t="str">
        <f aca="false">IFERROR(IF(Acct1_Raw!$A$8="","",Acct1_Raw!$A$8),"")</f>
        <v>1/1/26</v>
      </c>
    </row>
    <row r="8" customFormat="false" ht="15" hidden="false" customHeight="false" outlineLevel="0" collapsed="false">
      <c r="A8" s="3" t="str">
        <f aca="false">IFERROR(IF(Acct1_Raw!$A$9="","",Acct1_Raw!$A$9),"")</f>
        <v/>
      </c>
    </row>
    <row r="9" customFormat="false" ht="15" hidden="false" customHeight="false" outlineLevel="0" collapsed="false">
      <c r="A9" s="3" t="str">
        <f aca="false">IFERROR(IF(Acct1_Raw!$A$10="","",Acct1_Raw!$A$10),"")</f>
        <v/>
      </c>
    </row>
    <row r="10" customFormat="false" ht="15" hidden="false" customHeight="false" outlineLevel="0" collapsed="false">
      <c r="A10" s="3" t="str">
        <f aca="false">IFERROR(IF(Acct1_Raw!$A$11="","",Acct1_Raw!$A$11),"")</f>
        <v/>
      </c>
    </row>
    <row r="11" customFormat="false" ht="15" hidden="false" customHeight="false" outlineLevel="0" collapsed="false">
      <c r="A11" s="3" t="str">
        <f aca="false">IFERROR(IF(Acct1_Raw!$A$12="","",Acct1_Raw!$A$12),"")</f>
        <v/>
      </c>
    </row>
    <row r="12" customFormat="false" ht="15" hidden="false" customHeight="false" outlineLevel="0" collapsed="false">
      <c r="A12" s="3" t="str">
        <f aca="false">IFERROR(IF(Acct1_Raw!$A$13="","",Acct1_Raw!$A$13),"")</f>
        <v/>
      </c>
    </row>
    <row r="13" customFormat="false" ht="15" hidden="false" customHeight="false" outlineLevel="0" collapsed="false">
      <c r="A13" s="3" t="str">
        <f aca="false">IFERROR(IF(Acct1_Raw!$A$14="","",Acct1_Raw!$A$14),"")</f>
        <v/>
      </c>
    </row>
    <row r="14" customFormat="false" ht="15" hidden="false" customHeight="false" outlineLevel="0" collapsed="false">
      <c r="A14" s="3" t="str">
        <f aca="false">IFERROR(IF(Acct1_Raw!$A$15="","",Acct1_Raw!$A$15),"")</f>
        <v/>
      </c>
    </row>
    <row r="15" customFormat="false" ht="15" hidden="false" customHeight="false" outlineLevel="0" collapsed="false">
      <c r="A15" s="3" t="str">
        <f aca="false">IFERROR(IF(Acct1_Raw!$A$16="","",Acct1_Raw!$A$16),"")</f>
        <v/>
      </c>
    </row>
    <row r="16" customFormat="false" ht="15" hidden="false" customHeight="false" outlineLevel="0" collapsed="false">
      <c r="A16" s="3" t="str">
        <f aca="false">IFERROR(IF(Acct1_Raw!$A$17="","",Acct1_Raw!$A$17),"")</f>
        <v/>
      </c>
    </row>
    <row r="17" customFormat="false" ht="15" hidden="false" customHeight="false" outlineLevel="0" collapsed="false">
      <c r="A17" s="3" t="str">
        <f aca="false">IFERROR(IF(Acct1_Raw!$A$18="","",Acct1_Raw!$A$18),"")</f>
        <v/>
      </c>
    </row>
    <row r="18" customFormat="false" ht="15" hidden="false" customHeight="false" outlineLevel="0" collapsed="false">
      <c r="A18" s="3" t="str">
        <f aca="false">IFERROR(IF(Acct1_Raw!$A$19="","",Acct1_Raw!$A$19),"")</f>
        <v/>
      </c>
    </row>
    <row r="19" customFormat="false" ht="15" hidden="false" customHeight="false" outlineLevel="0" collapsed="false">
      <c r="A19" s="3" t="str">
        <f aca="false">IFERROR(IF(Acct1_Raw!$A$20="","",Acct1_Raw!$A$20),"")</f>
        <v/>
      </c>
    </row>
    <row r="20" customFormat="false" ht="15" hidden="false" customHeight="false" outlineLevel="0" collapsed="false">
      <c r="A20" s="3" t="str">
        <f aca="false">IFERROR(IF(Acct1_Raw!$A$21="","",Acct1_Raw!$A$21),"")</f>
        <v/>
      </c>
    </row>
    <row r="21" customFormat="false" ht="15" hidden="false" customHeight="false" outlineLevel="0" collapsed="false">
      <c r="A21" s="3" t="str">
        <f aca="false">IFERROR(IF(Acct1_Raw!$A$22="","",Acct1_Raw!$A$22),"")</f>
        <v/>
      </c>
    </row>
    <row r="22" customFormat="false" ht="15" hidden="false" customHeight="false" outlineLevel="0" collapsed="false">
      <c r="A22" s="3" t="str">
        <f aca="false">IFERROR(IF(Acct1_Raw!$A$23="","",Acct1_Raw!$A$23),"")</f>
        <v/>
      </c>
    </row>
    <row r="23" customFormat="false" ht="15" hidden="false" customHeight="false" outlineLevel="0" collapsed="false">
      <c r="A23" s="3" t="str">
        <f aca="false">IFERROR(IF(Acct1_Raw!$A$24="","",Acct1_Raw!$A$24),"")</f>
        <v/>
      </c>
    </row>
    <row r="24" customFormat="false" ht="15" hidden="false" customHeight="false" outlineLevel="0" collapsed="false">
      <c r="A24" s="3" t="str">
        <f aca="false">IFERROR(IF(Acct1_Raw!$A$25="","",Acct1_Raw!$A$25),"")</f>
        <v/>
      </c>
    </row>
    <row r="25" customFormat="false" ht="15" hidden="false" customHeight="false" outlineLevel="0" collapsed="false">
      <c r="A25" s="3" t="str">
        <f aca="false">IFERROR(IF(Acct1_Raw!$A$26="","",Acct1_Raw!$A$26),"")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S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9" min="2" style="0" width="14"/>
  </cols>
  <sheetData>
    <row r="1" customFormat="false" ht="15" hidden="false" customHeight="false" outlineLevel="0" collapsed="false">
      <c r="A1" s="6" t="s">
        <v>0</v>
      </c>
      <c r="B1" s="7" t="str">
        <f aca="false">IF(Months_Ref!$A$2="","—","A1_"&amp;TEXT(Months_Ref!$A$2,"mmm-yy"))</f>
        <v>A1_Aug-25</v>
      </c>
      <c r="C1" s="7" t="str">
        <f aca="false">IF(Months_Ref!$A$3="","—","A1_"&amp;TEXT(Months_Ref!$A$3,"mmm-yy"))</f>
        <v>A1_Sep-25</v>
      </c>
      <c r="D1" s="7" t="str">
        <f aca="false">IF(Months_Ref!$A$4="","—","A1_"&amp;TEXT(Months_Ref!$A$4,"mmm-yy"))</f>
        <v>A1_Oct-25</v>
      </c>
      <c r="E1" s="7" t="str">
        <f aca="false">IF(Months_Ref!$A$5="","—","A1_"&amp;TEXT(Months_Ref!$A$5,"mmm-yy"))</f>
        <v>A1_Nov-25</v>
      </c>
      <c r="F1" s="7" t="str">
        <f aca="false">IF(Months_Ref!$A$6="","—","A1_"&amp;TEXT(Months_Ref!$A$6,"mmm-yy"))</f>
        <v>A1_Dec-25</v>
      </c>
      <c r="G1" s="7" t="str">
        <f aca="false">IF(Months_Ref!$A$7="","—","A1_"&amp;TEXT(Months_Ref!$A$7,"mmm-yy"))</f>
        <v>A1_Jan-26</v>
      </c>
      <c r="H1" s="8" t="str">
        <f aca="false">IF(Months_Ref!$A$2="","—","A2_"&amp;TEXT(Months_Ref!$A$2,"mmm-yy"))</f>
        <v>A2_Aug-25</v>
      </c>
      <c r="I1" s="8" t="str">
        <f aca="false">IF(Months_Ref!$A$3="","—","A2_"&amp;TEXT(Months_Ref!$A$3,"mmm-yy"))</f>
        <v>A2_Sep-25</v>
      </c>
      <c r="J1" s="8" t="str">
        <f aca="false">IF(Months_Ref!$A$4="","—","A2_"&amp;TEXT(Months_Ref!$A$4,"mmm-yy"))</f>
        <v>A2_Oct-25</v>
      </c>
      <c r="K1" s="8" t="str">
        <f aca="false">IF(Months_Ref!$A$5="","—","A2_"&amp;TEXT(Months_Ref!$A$5,"mmm-yy"))</f>
        <v>A2_Nov-25</v>
      </c>
      <c r="L1" s="8" t="str">
        <f aca="false">IF(Months_Ref!$A$6="","—","A2_"&amp;TEXT(Months_Ref!$A$6,"mmm-yy"))</f>
        <v>A2_Dec-25</v>
      </c>
      <c r="M1" s="8" t="str">
        <f aca="false">IF(Months_Ref!$A$7="","—","A2_"&amp;TEXT(Months_Ref!$A$7,"mmm-yy"))</f>
        <v>A2_Jan-26</v>
      </c>
      <c r="N1" s="9" t="str">
        <f aca="false">IF(Months_Ref!$A$2="","—","CB_"&amp;TEXT(Months_Ref!$A$2,"mmm-yy"))</f>
        <v>CB_Aug-25</v>
      </c>
      <c r="O1" s="9" t="str">
        <f aca="false">IF(Months_Ref!$A$3="","—","CB_"&amp;TEXT(Months_Ref!$A$3,"mmm-yy"))</f>
        <v>CB_Sep-25</v>
      </c>
      <c r="P1" s="9" t="str">
        <f aca="false">IF(Months_Ref!$A$4="","—","CB_"&amp;TEXT(Months_Ref!$A$4,"mmm-yy"))</f>
        <v>CB_Oct-25</v>
      </c>
      <c r="Q1" s="9" t="str">
        <f aca="false">IF(Months_Ref!$A$5="","—","CB_"&amp;TEXT(Months_Ref!$A$5,"mmm-yy"))</f>
        <v>CB_Nov-25</v>
      </c>
      <c r="R1" s="9" t="str">
        <f aca="false">IF(Months_Ref!$A$6="","—","CB_"&amp;TEXT(Months_Ref!$A$6,"mmm-yy"))</f>
        <v>CB_Dec-25</v>
      </c>
      <c r="S1" s="9" t="str">
        <f aca="false">IF(Months_Ref!$A$7="","—","CB_"&amp;TEXT(Months_Ref!$A$7,"mmm-yy"))</f>
        <v>CB_Jan-26</v>
      </c>
    </row>
    <row r="2" customFormat="false" ht="15" hidden="false" customHeight="false" outlineLevel="0" collapsed="false">
      <c r="A2" s="3" t="s">
        <v>48</v>
      </c>
      <c r="B2" s="4" t="n">
        <f aca="false">IFERROR(IF(Months_Ref!$A$2="",0,INDEX(Acct1_Raw!$B$3:$BO$26,MATCH(Months_Ref!$A$2,Acct1_Raw!$A$3:$A$26,0),MATCH($A2,Acct1_Raw!$B$1:$BO$1,0))),0)</f>
        <v>4199.844</v>
      </c>
      <c r="C2" s="4" t="n">
        <f aca="false">IFERROR(IF(Months_Ref!$A$3="",0,INDEX(Acct1_Raw!$B$3:$BO$26,MATCH(Months_Ref!$A$3,Acct1_Raw!$A$3:$A$26,0),MATCH($A2,Acct1_Raw!$B$1:$BO$1,0))),0)</f>
        <v>4516.92</v>
      </c>
      <c r="D2" s="4" t="n">
        <f aca="false">IFERROR(IF(Months_Ref!$A$4="",0,INDEX(Acct1_Raw!$B$3:$BO$26,MATCH(Months_Ref!$A$4,Acct1_Raw!$A$3:$A$26,0),MATCH($A2,Acct1_Raw!$B$1:$BO$1,0))),0)</f>
        <v>3872.867</v>
      </c>
      <c r="E2" s="4" t="n">
        <f aca="false">IFERROR(IF(Months_Ref!$A$5="",0,INDEX(Acct1_Raw!$B$3:$BO$26,MATCH(Months_Ref!$A$5,Acct1_Raw!$A$3:$A$26,0),MATCH($A2,Acct1_Raw!$B$1:$BO$1,0))),0)</f>
        <v>4025.729</v>
      </c>
      <c r="F2" s="4" t="n">
        <f aca="false">IFERROR(IF(Months_Ref!$A$6="",0,INDEX(Acct1_Raw!$B$3:$BO$26,MATCH(Months_Ref!$A$6,Acct1_Raw!$A$3:$A$26,0),MATCH($A2,Acct1_Raw!$B$1:$BO$1,0))),0)</f>
        <v>4814.501</v>
      </c>
      <c r="G2" s="4" t="n">
        <f aca="false">IFERROR(IF(Months_Ref!$A$7="",0,INDEX(Acct1_Raw!$B$3:$BO$26,MATCH(Months_Ref!$A$7,Acct1_Raw!$A$3:$A$26,0),MATCH($A2,Acct1_Raw!$B$1:$BO$1,0))),0)</f>
        <v>4087.961</v>
      </c>
      <c r="H2" s="4" t="n">
        <f aca="false">IFERROR(IF(Months_Ref!$A$2="",0,INDEX(Acct2_Raw!$B$3:$BO$26,MATCH(Months_Ref!$A$2,Acct2_Raw!$A$3:$A$26,0),MATCH($A2,Acct2_Raw!$B$1:$BO$1,0))),0)</f>
        <v>2886.477</v>
      </c>
      <c r="I2" s="4" t="n">
        <f aca="false">IFERROR(IF(Months_Ref!$A$3="",0,INDEX(Acct2_Raw!$B$3:$BO$26,MATCH(Months_Ref!$A$3,Acct2_Raw!$A$3:$A$26,0),MATCH($A2,Acct2_Raw!$B$1:$BO$1,0))),0)</f>
        <v>2551.972</v>
      </c>
      <c r="J2" s="4" t="n">
        <f aca="false">IFERROR(IF(Months_Ref!$A$4="",0,INDEX(Acct2_Raw!$B$3:$BO$26,MATCH(Months_Ref!$A$4,Acct2_Raw!$A$3:$A$26,0),MATCH($A2,Acct2_Raw!$B$1:$BO$1,0))),0)</f>
        <v>3073.91</v>
      </c>
      <c r="K2" s="4" t="n">
        <f aca="false">IFERROR(IF(Months_Ref!$A$5="",0,INDEX(Acct2_Raw!$B$3:$BO$26,MATCH(Months_Ref!$A$5,Acct2_Raw!$A$3:$A$26,0),MATCH($A2,Acct2_Raw!$B$1:$BO$1,0))),0)</f>
        <v>3245.771</v>
      </c>
      <c r="L2" s="4" t="n">
        <f aca="false">IFERROR(IF(Months_Ref!$A$6="",0,INDEX(Acct2_Raw!$B$3:$BO$26,MATCH(Months_Ref!$A$6,Acct2_Raw!$A$3:$A$26,0),MATCH($A2,Acct2_Raw!$B$1:$BO$1,0))),0)</f>
        <v>2686.354</v>
      </c>
      <c r="M2" s="4" t="n">
        <f aca="false">IFERROR(IF(Months_Ref!$A$7="",0,INDEX(Acct2_Raw!$B$3:$BO$26,MATCH(Months_Ref!$A$7,Acct2_Raw!$A$3:$A$26,0),MATCH($A2,Acct2_Raw!$B$1:$BO$1,0))),0)</f>
        <v>3285.221</v>
      </c>
      <c r="N2" s="4" t="n">
        <f aca="false">B2+H2</f>
        <v>7086.321</v>
      </c>
      <c r="O2" s="4" t="n">
        <f aca="false">C2+I2</f>
        <v>7068.892</v>
      </c>
      <c r="P2" s="4" t="n">
        <f aca="false">D2+J2</f>
        <v>6946.777</v>
      </c>
      <c r="Q2" s="4" t="n">
        <f aca="false">E2+K2</f>
        <v>7271.5</v>
      </c>
      <c r="R2" s="4" t="n">
        <f aca="false">F2+L2</f>
        <v>7500.855</v>
      </c>
      <c r="S2" s="4" t="n">
        <f aca="false">G2+M2</f>
        <v>7373.182</v>
      </c>
    </row>
    <row r="3" customFormat="false" ht="15" hidden="false" customHeight="false" outlineLevel="0" collapsed="false">
      <c r="A3" s="3" t="s">
        <v>19</v>
      </c>
      <c r="B3" s="4" t="n">
        <f aca="false">IFERROR(IF(Months_Ref!$A$2="",0,INDEX(Acct1_Raw!$B$3:$BO$26,MATCH(Months_Ref!$A$2,Acct1_Raw!$A$3:$A$26,0),MATCH($A3,Acct1_Raw!$B$1:$BO$1,0))),0)</f>
        <v>13966.895</v>
      </c>
      <c r="C3" s="4" t="n">
        <f aca="false">IFERROR(IF(Months_Ref!$A$3="",0,INDEX(Acct1_Raw!$B$3:$BO$26,MATCH(Months_Ref!$A$3,Acct1_Raw!$A$3:$A$26,0),MATCH($A3,Acct1_Raw!$B$1:$BO$1,0))),0)</f>
        <v>12363.965</v>
      </c>
      <c r="D3" s="4" t="n">
        <f aca="false">IFERROR(IF(Months_Ref!$A$4="",0,INDEX(Acct1_Raw!$B$3:$BO$26,MATCH(Months_Ref!$A$4,Acct1_Raw!$A$3:$A$26,0),MATCH($A3,Acct1_Raw!$B$1:$BO$1,0))),0)</f>
        <v>12650.235</v>
      </c>
      <c r="E3" s="4" t="n">
        <f aca="false">IFERROR(IF(Months_Ref!$A$5="",0,INDEX(Acct1_Raw!$B$3:$BO$26,MATCH(Months_Ref!$A$5,Acct1_Raw!$A$3:$A$26,0),MATCH($A3,Acct1_Raw!$B$1:$BO$1,0))),0)</f>
        <v>12676.661</v>
      </c>
      <c r="F3" s="4" t="n">
        <f aca="false">IFERROR(IF(Months_Ref!$A$6="",0,INDEX(Acct1_Raw!$B$3:$BO$26,MATCH(Months_Ref!$A$6,Acct1_Raw!$A$3:$A$26,0),MATCH($A3,Acct1_Raw!$B$1:$BO$1,0))),0)</f>
        <v>11062.893</v>
      </c>
      <c r="G3" s="4" t="n">
        <f aca="false">IFERROR(IF(Months_Ref!$A$7="",0,INDEX(Acct1_Raw!$B$3:$BO$26,MATCH(Months_Ref!$A$7,Acct1_Raw!$A$3:$A$26,0),MATCH($A3,Acct1_Raw!$B$1:$BO$1,0))),0)</f>
        <v>11724.125</v>
      </c>
      <c r="H3" s="4" t="n">
        <f aca="false">IFERROR(IF(Months_Ref!$A$2="",0,INDEX(Acct2_Raw!$B$3:$BO$26,MATCH(Months_Ref!$A$2,Acct2_Raw!$A$3:$A$26,0),MATCH($A3,Acct2_Raw!$B$1:$BO$1,0))),0)</f>
        <v>7216.727</v>
      </c>
      <c r="I3" s="4" t="n">
        <f aca="false">IFERROR(IF(Months_Ref!$A$3="",0,INDEX(Acct2_Raw!$B$3:$BO$26,MATCH(Months_Ref!$A$3,Acct2_Raw!$A$3:$A$26,0),MATCH($A3,Acct2_Raw!$B$1:$BO$1,0))),0)</f>
        <v>6337.681</v>
      </c>
      <c r="J3" s="4" t="n">
        <f aca="false">IFERROR(IF(Months_Ref!$A$4="",0,INDEX(Acct2_Raw!$B$3:$BO$26,MATCH(Months_Ref!$A$4,Acct2_Raw!$A$3:$A$26,0),MATCH($A3,Acct2_Raw!$B$1:$BO$1,0))),0)</f>
        <v>8046.277</v>
      </c>
      <c r="K3" s="4" t="n">
        <f aca="false">IFERROR(IF(Months_Ref!$A$5="",0,INDEX(Acct2_Raw!$B$3:$BO$26,MATCH(Months_Ref!$A$5,Acct2_Raw!$A$3:$A$26,0),MATCH($A3,Acct2_Raw!$B$1:$BO$1,0))),0)</f>
        <v>6395.85</v>
      </c>
      <c r="L3" s="4" t="n">
        <f aca="false">IFERROR(IF(Months_Ref!$A$6="",0,INDEX(Acct2_Raw!$B$3:$BO$26,MATCH(Months_Ref!$A$6,Acct2_Raw!$A$3:$A$26,0),MATCH($A3,Acct2_Raw!$B$1:$BO$1,0))),0)</f>
        <v>6439.419</v>
      </c>
      <c r="M3" s="4" t="n">
        <f aca="false">IFERROR(IF(Months_Ref!$A$7="",0,INDEX(Acct2_Raw!$B$3:$BO$26,MATCH(Months_Ref!$A$7,Acct2_Raw!$A$3:$A$26,0),MATCH($A3,Acct2_Raw!$B$1:$BO$1,0))),0)</f>
        <v>8243.276</v>
      </c>
      <c r="N3" s="4" t="n">
        <f aca="false">B3+H3</f>
        <v>21183.622</v>
      </c>
      <c r="O3" s="4" t="n">
        <f aca="false">C3+I3</f>
        <v>18701.646</v>
      </c>
      <c r="P3" s="4" t="n">
        <f aca="false">D3+J3</f>
        <v>20696.512</v>
      </c>
      <c r="Q3" s="4" t="n">
        <f aca="false">E3+K3</f>
        <v>19072.511</v>
      </c>
      <c r="R3" s="4" t="n">
        <f aca="false">F3+L3</f>
        <v>17502.312</v>
      </c>
      <c r="S3" s="4" t="n">
        <f aca="false">G3+M3</f>
        <v>19967.401</v>
      </c>
    </row>
    <row r="4" customFormat="false" ht="15" hidden="false" customHeight="false" outlineLevel="0" collapsed="false">
      <c r="A4" s="3" t="s">
        <v>57</v>
      </c>
      <c r="B4" s="4" t="n">
        <f aca="false">IFERROR(IF(Months_Ref!$A$2="",0,INDEX(Acct1_Raw!$B$3:$BO$26,MATCH(Months_Ref!$A$2,Acct1_Raw!$A$3:$A$26,0),MATCH($A4,Acct1_Raw!$B$1:$BO$1,0))),0)</f>
        <v>2403.685</v>
      </c>
      <c r="C4" s="4" t="n">
        <f aca="false">IFERROR(IF(Months_Ref!$A$3="",0,INDEX(Acct1_Raw!$B$3:$BO$26,MATCH(Months_Ref!$A$3,Acct1_Raw!$A$3:$A$26,0),MATCH($A4,Acct1_Raw!$B$1:$BO$1,0))),0)</f>
        <v>3046.232</v>
      </c>
      <c r="D4" s="4" t="n">
        <f aca="false">IFERROR(IF(Months_Ref!$A$4="",0,INDEX(Acct1_Raw!$B$3:$BO$26,MATCH(Months_Ref!$A$4,Acct1_Raw!$A$3:$A$26,0),MATCH($A4,Acct1_Raw!$B$1:$BO$1,0))),0)</f>
        <v>2939.824</v>
      </c>
      <c r="E4" s="4" t="n">
        <f aca="false">IFERROR(IF(Months_Ref!$A$5="",0,INDEX(Acct1_Raw!$B$3:$BO$26,MATCH(Months_Ref!$A$5,Acct1_Raw!$A$3:$A$26,0),MATCH($A4,Acct1_Raw!$B$1:$BO$1,0))),0)</f>
        <v>2353.663</v>
      </c>
      <c r="F4" s="4" t="n">
        <f aca="false">IFERROR(IF(Months_Ref!$A$6="",0,INDEX(Acct1_Raw!$B$3:$BO$26,MATCH(Months_Ref!$A$6,Acct1_Raw!$A$3:$A$26,0),MATCH($A4,Acct1_Raw!$B$1:$BO$1,0))),0)</f>
        <v>2629.832</v>
      </c>
      <c r="G4" s="4" t="n">
        <f aca="false">IFERROR(IF(Months_Ref!$A$7="",0,INDEX(Acct1_Raw!$B$3:$BO$26,MATCH(Months_Ref!$A$7,Acct1_Raw!$A$3:$A$26,0),MATCH($A4,Acct1_Raw!$B$1:$BO$1,0))),0)</f>
        <v>2267.88</v>
      </c>
      <c r="H4" s="4" t="n">
        <f aca="false">IFERROR(IF(Months_Ref!$A$2="",0,INDEX(Acct2_Raw!$B$3:$BO$26,MATCH(Months_Ref!$A$2,Acct2_Raw!$A$3:$A$26,0),MATCH($A4,Acct2_Raw!$B$1:$BO$1,0))),0)</f>
        <v>7148.863</v>
      </c>
      <c r="I4" s="4" t="n">
        <f aca="false">IFERROR(IF(Months_Ref!$A$3="",0,INDEX(Acct2_Raw!$B$3:$BO$26,MATCH(Months_Ref!$A$3,Acct2_Raw!$A$3:$A$26,0),MATCH($A4,Acct2_Raw!$B$1:$BO$1,0))),0)</f>
        <v>8152.294</v>
      </c>
      <c r="J4" s="4" t="n">
        <f aca="false">IFERROR(IF(Months_Ref!$A$4="",0,INDEX(Acct2_Raw!$B$3:$BO$26,MATCH(Months_Ref!$A$4,Acct2_Raw!$A$3:$A$26,0),MATCH($A4,Acct2_Raw!$B$1:$BO$1,0))),0)</f>
        <v>7409.972</v>
      </c>
      <c r="K4" s="4" t="n">
        <f aca="false">IFERROR(IF(Months_Ref!$A$5="",0,INDEX(Acct2_Raw!$B$3:$BO$26,MATCH(Months_Ref!$A$5,Acct2_Raw!$A$3:$A$26,0),MATCH($A4,Acct2_Raw!$B$1:$BO$1,0))),0)</f>
        <v>6485.981</v>
      </c>
      <c r="L4" s="4" t="n">
        <f aca="false">IFERROR(IF(Months_Ref!$A$6="",0,INDEX(Acct2_Raw!$B$3:$BO$26,MATCH(Months_Ref!$A$6,Acct2_Raw!$A$3:$A$26,0),MATCH($A4,Acct2_Raw!$B$1:$BO$1,0))),0)</f>
        <v>7580.971</v>
      </c>
      <c r="M4" s="4" t="n">
        <f aca="false">IFERROR(IF(Months_Ref!$A$7="",0,INDEX(Acct2_Raw!$B$3:$BO$26,MATCH(Months_Ref!$A$7,Acct2_Raw!$A$3:$A$26,0),MATCH($A4,Acct2_Raw!$B$1:$BO$1,0))),0)</f>
        <v>8432.475</v>
      </c>
      <c r="N4" s="4" t="n">
        <f aca="false">B4+H4</f>
        <v>9552.548</v>
      </c>
      <c r="O4" s="4" t="n">
        <f aca="false">C4+I4</f>
        <v>11198.526</v>
      </c>
      <c r="P4" s="4" t="n">
        <f aca="false">D4+J4</f>
        <v>10349.796</v>
      </c>
      <c r="Q4" s="4" t="n">
        <f aca="false">E4+K4</f>
        <v>8839.644</v>
      </c>
      <c r="R4" s="4" t="n">
        <f aca="false">F4+L4</f>
        <v>10210.803</v>
      </c>
      <c r="S4" s="4" t="n">
        <f aca="false">G4+M4</f>
        <v>10700.355</v>
      </c>
    </row>
    <row r="5" customFormat="false" ht="15" hidden="false" customHeight="false" outlineLevel="0" collapsed="false">
      <c r="A5" s="3" t="s">
        <v>36</v>
      </c>
      <c r="B5" s="4" t="n">
        <f aca="false">IFERROR(IF(Months_Ref!$A$2="",0,INDEX(Acct1_Raw!$B$3:$BO$26,MATCH(Months_Ref!$A$2,Acct1_Raw!$A$3:$A$26,0),MATCH($A5,Acct1_Raw!$B$1:$BO$1,0))),0)</f>
        <v>8747.448</v>
      </c>
      <c r="C5" s="4" t="n">
        <f aca="false">IFERROR(IF(Months_Ref!$A$3="",0,INDEX(Acct1_Raw!$B$3:$BO$26,MATCH(Months_Ref!$A$3,Acct1_Raw!$A$3:$A$26,0),MATCH($A5,Acct1_Raw!$B$1:$BO$1,0))),0)</f>
        <v>8763.02</v>
      </c>
      <c r="D5" s="4" t="n">
        <f aca="false">IFERROR(IF(Months_Ref!$A$4="",0,INDEX(Acct1_Raw!$B$3:$BO$26,MATCH(Months_Ref!$A$4,Acct1_Raw!$A$3:$A$26,0),MATCH($A5,Acct1_Raw!$B$1:$BO$1,0))),0)</f>
        <v>9282.26</v>
      </c>
      <c r="E5" s="4" t="n">
        <f aca="false">IFERROR(IF(Months_Ref!$A$5="",0,INDEX(Acct1_Raw!$B$3:$BO$26,MATCH(Months_Ref!$A$5,Acct1_Raw!$A$3:$A$26,0),MATCH($A5,Acct1_Raw!$B$1:$BO$1,0))),0)</f>
        <v>8516.693</v>
      </c>
      <c r="F5" s="4" t="n">
        <f aca="false">IFERROR(IF(Months_Ref!$A$6="",0,INDEX(Acct1_Raw!$B$3:$BO$26,MATCH(Months_Ref!$A$6,Acct1_Raw!$A$3:$A$26,0),MATCH($A5,Acct1_Raw!$B$1:$BO$1,0))),0)</f>
        <v>8138.449</v>
      </c>
      <c r="G5" s="4" t="n">
        <f aca="false">IFERROR(IF(Months_Ref!$A$7="",0,INDEX(Acct1_Raw!$B$3:$BO$26,MATCH(Months_Ref!$A$7,Acct1_Raw!$A$3:$A$26,0),MATCH($A5,Acct1_Raw!$B$1:$BO$1,0))),0)</f>
        <v>7488.814</v>
      </c>
      <c r="H5" s="4" t="n">
        <f aca="false">IFERROR(IF(Months_Ref!$A$2="",0,INDEX(Acct2_Raw!$B$3:$BO$26,MATCH(Months_Ref!$A$2,Acct2_Raw!$A$3:$A$26,0),MATCH($A5,Acct2_Raw!$B$1:$BO$1,0))),0)</f>
        <v>487.019</v>
      </c>
      <c r="I5" s="4" t="n">
        <f aca="false">IFERROR(IF(Months_Ref!$A$3="",0,INDEX(Acct2_Raw!$B$3:$BO$26,MATCH(Months_Ref!$A$3,Acct2_Raw!$A$3:$A$26,0),MATCH($A5,Acct2_Raw!$B$1:$BO$1,0))),0)</f>
        <v>433.15</v>
      </c>
      <c r="J5" s="4" t="n">
        <f aca="false">IFERROR(IF(Months_Ref!$A$4="",0,INDEX(Acct2_Raw!$B$3:$BO$26,MATCH(Months_Ref!$A$4,Acct2_Raw!$A$3:$A$26,0),MATCH($A5,Acct2_Raw!$B$1:$BO$1,0))),0)</f>
        <v>446.019</v>
      </c>
      <c r="K5" s="4" t="n">
        <f aca="false">IFERROR(IF(Months_Ref!$A$5="",0,INDEX(Acct2_Raw!$B$3:$BO$26,MATCH(Months_Ref!$A$5,Acct2_Raw!$A$3:$A$26,0),MATCH($A5,Acct2_Raw!$B$1:$BO$1,0))),0)</f>
        <v>445.886</v>
      </c>
      <c r="L5" s="4" t="n">
        <f aca="false">IFERROR(IF(Months_Ref!$A$6="",0,INDEX(Acct2_Raw!$B$3:$BO$26,MATCH(Months_Ref!$A$6,Acct2_Raw!$A$3:$A$26,0),MATCH($A5,Acct2_Raw!$B$1:$BO$1,0))),0)</f>
        <v>392.37</v>
      </c>
      <c r="M5" s="4" t="n">
        <f aca="false">IFERROR(IF(Months_Ref!$A$7="",0,INDEX(Acct2_Raw!$B$3:$BO$26,MATCH(Months_Ref!$A$7,Acct2_Raw!$A$3:$A$26,0),MATCH($A5,Acct2_Raw!$B$1:$BO$1,0))),0)</f>
        <v>396.893</v>
      </c>
      <c r="N5" s="4" t="n">
        <f aca="false">B5+H5</f>
        <v>9234.467</v>
      </c>
      <c r="O5" s="4" t="n">
        <f aca="false">C5+I5</f>
        <v>9196.17</v>
      </c>
      <c r="P5" s="4" t="n">
        <f aca="false">D5+J5</f>
        <v>9728.279</v>
      </c>
      <c r="Q5" s="4" t="n">
        <f aca="false">E5+K5</f>
        <v>8962.579</v>
      </c>
      <c r="R5" s="4" t="n">
        <f aca="false">F5+L5</f>
        <v>8530.819</v>
      </c>
      <c r="S5" s="4" t="n">
        <f aca="false">G5+M5</f>
        <v>7885.707</v>
      </c>
    </row>
    <row r="6" customFormat="false" ht="15" hidden="false" customHeight="false" outlineLevel="0" collapsed="false">
      <c r="A6" s="3" t="s">
        <v>58</v>
      </c>
      <c r="B6" s="4" t="n">
        <f aca="false">IFERROR(IF(Months_Ref!$A$2="",0,INDEX(Acct1_Raw!$B$3:$BO$26,MATCH(Months_Ref!$A$2,Acct1_Raw!$A$3:$A$26,0),MATCH($A6,Acct1_Raw!$B$1:$BO$1,0))),0)</f>
        <v>10794.969</v>
      </c>
      <c r="C6" s="4" t="n">
        <f aca="false">IFERROR(IF(Months_Ref!$A$3="",0,INDEX(Acct1_Raw!$B$3:$BO$26,MATCH(Months_Ref!$A$3,Acct1_Raw!$A$3:$A$26,0),MATCH($A6,Acct1_Raw!$B$1:$BO$1,0))),0)</f>
        <v>12595.748</v>
      </c>
      <c r="D6" s="4" t="n">
        <f aca="false">IFERROR(IF(Months_Ref!$A$4="",0,INDEX(Acct1_Raw!$B$3:$BO$26,MATCH(Months_Ref!$A$4,Acct1_Raw!$A$3:$A$26,0),MATCH($A6,Acct1_Raw!$B$1:$BO$1,0))),0)</f>
        <v>12530.325</v>
      </c>
      <c r="E6" s="4" t="n">
        <f aca="false">IFERROR(IF(Months_Ref!$A$5="",0,INDEX(Acct1_Raw!$B$3:$BO$26,MATCH(Months_Ref!$A$5,Acct1_Raw!$A$3:$A$26,0),MATCH($A6,Acct1_Raw!$B$1:$BO$1,0))),0)</f>
        <v>10702.322</v>
      </c>
      <c r="F6" s="4" t="n">
        <f aca="false">IFERROR(IF(Months_Ref!$A$6="",0,INDEX(Acct1_Raw!$B$3:$BO$26,MATCH(Months_Ref!$A$6,Acct1_Raw!$A$3:$A$26,0),MATCH($A6,Acct1_Raw!$B$1:$BO$1,0))),0)</f>
        <v>10171.923</v>
      </c>
      <c r="G6" s="4" t="n">
        <f aca="false">IFERROR(IF(Months_Ref!$A$7="",0,INDEX(Acct1_Raw!$B$3:$BO$26,MATCH(Months_Ref!$A$7,Acct1_Raw!$A$3:$A$26,0),MATCH($A6,Acct1_Raw!$B$1:$BO$1,0))),0)</f>
        <v>11093.646</v>
      </c>
      <c r="H6" s="4" t="n">
        <f aca="false">IFERROR(IF(Months_Ref!$A$2="",0,INDEX(Acct2_Raw!$B$3:$BO$26,MATCH(Months_Ref!$A$2,Acct2_Raw!$A$3:$A$26,0),MATCH($A6,Acct2_Raw!$B$1:$BO$1,0))),0)</f>
        <v>14367.663</v>
      </c>
      <c r="I6" s="4" t="n">
        <f aca="false">IFERROR(IF(Months_Ref!$A$3="",0,INDEX(Acct2_Raw!$B$3:$BO$26,MATCH(Months_Ref!$A$3,Acct2_Raw!$A$3:$A$26,0),MATCH($A6,Acct2_Raw!$B$1:$BO$1,0))),0)</f>
        <v>14098.042</v>
      </c>
      <c r="J6" s="4" t="n">
        <f aca="false">IFERROR(IF(Months_Ref!$A$4="",0,INDEX(Acct2_Raw!$B$3:$BO$26,MATCH(Months_Ref!$A$4,Acct2_Raw!$A$3:$A$26,0),MATCH($A6,Acct2_Raw!$B$1:$BO$1,0))),0)</f>
        <v>14199.5</v>
      </c>
      <c r="K6" s="4" t="n">
        <f aca="false">IFERROR(IF(Months_Ref!$A$5="",0,INDEX(Acct2_Raw!$B$3:$BO$26,MATCH(Months_Ref!$A$5,Acct2_Raw!$A$3:$A$26,0),MATCH($A6,Acct2_Raw!$B$1:$BO$1,0))),0)</f>
        <v>16075.598</v>
      </c>
      <c r="L6" s="4" t="n">
        <f aca="false">IFERROR(IF(Months_Ref!$A$6="",0,INDEX(Acct2_Raw!$B$3:$BO$26,MATCH(Months_Ref!$A$6,Acct2_Raw!$A$3:$A$26,0),MATCH($A6,Acct2_Raw!$B$1:$BO$1,0))),0)</f>
        <v>15826.965</v>
      </c>
      <c r="M6" s="4" t="n">
        <f aca="false">IFERROR(IF(Months_Ref!$A$7="",0,INDEX(Acct2_Raw!$B$3:$BO$26,MATCH(Months_Ref!$A$7,Acct2_Raw!$A$3:$A$26,0),MATCH($A6,Acct2_Raw!$B$1:$BO$1,0))),0)</f>
        <v>15178.999</v>
      </c>
      <c r="N6" s="4" t="n">
        <f aca="false">B6+H6</f>
        <v>25162.632</v>
      </c>
      <c r="O6" s="4" t="n">
        <f aca="false">C6+I6</f>
        <v>26693.79</v>
      </c>
      <c r="P6" s="4" t="n">
        <f aca="false">D6+J6</f>
        <v>26729.825</v>
      </c>
      <c r="Q6" s="4" t="n">
        <f aca="false">E6+K6</f>
        <v>26777.92</v>
      </c>
      <c r="R6" s="4" t="n">
        <f aca="false">F6+L6</f>
        <v>25998.888</v>
      </c>
      <c r="S6" s="4" t="n">
        <f aca="false">G6+M6</f>
        <v>26272.645</v>
      </c>
    </row>
    <row r="7" customFormat="false" ht="15" hidden="false" customHeight="false" outlineLevel="0" collapsed="false">
      <c r="A7" s="3" t="s">
        <v>22</v>
      </c>
      <c r="B7" s="4" t="n">
        <f aca="false">IFERROR(IF(Months_Ref!$A$2="",0,INDEX(Acct1_Raw!$B$3:$BO$26,MATCH(Months_Ref!$A$2,Acct1_Raw!$A$3:$A$26,0),MATCH($A7,Acct1_Raw!$B$1:$BO$1,0))),0)</f>
        <v>10557.653</v>
      </c>
      <c r="C7" s="4" t="n">
        <f aca="false">IFERROR(IF(Months_Ref!$A$3="",0,INDEX(Acct1_Raw!$B$3:$BO$26,MATCH(Months_Ref!$A$3,Acct1_Raw!$A$3:$A$26,0),MATCH($A7,Acct1_Raw!$B$1:$BO$1,0))),0)</f>
        <v>9861.768</v>
      </c>
      <c r="D7" s="4" t="n">
        <f aca="false">IFERROR(IF(Months_Ref!$A$4="",0,INDEX(Acct1_Raw!$B$3:$BO$26,MATCH(Months_Ref!$A$4,Acct1_Raw!$A$3:$A$26,0),MATCH($A7,Acct1_Raw!$B$1:$BO$1,0))),0)</f>
        <v>11779.364</v>
      </c>
      <c r="E7" s="4" t="n">
        <f aca="false">IFERROR(IF(Months_Ref!$A$5="",0,INDEX(Acct1_Raw!$B$3:$BO$26,MATCH(Months_Ref!$A$5,Acct1_Raw!$A$3:$A$26,0),MATCH($A7,Acct1_Raw!$B$1:$BO$1,0))),0)</f>
        <v>10616.381</v>
      </c>
      <c r="F7" s="4" t="n">
        <f aca="false">IFERROR(IF(Months_Ref!$A$6="",0,INDEX(Acct1_Raw!$B$3:$BO$26,MATCH(Months_Ref!$A$6,Acct1_Raw!$A$3:$A$26,0),MATCH($A7,Acct1_Raw!$B$1:$BO$1,0))),0)</f>
        <v>10423.939</v>
      </c>
      <c r="G7" s="4" t="n">
        <f aca="false">IFERROR(IF(Months_Ref!$A$7="",0,INDEX(Acct1_Raw!$B$3:$BO$26,MATCH(Months_Ref!$A$7,Acct1_Raw!$A$3:$A$26,0),MATCH($A7,Acct1_Raw!$B$1:$BO$1,0))),0)</f>
        <v>11300.897</v>
      </c>
      <c r="H7" s="4" t="n">
        <f aca="false">IFERROR(IF(Months_Ref!$A$2="",0,INDEX(Acct2_Raw!$B$3:$BO$26,MATCH(Months_Ref!$A$2,Acct2_Raw!$A$3:$A$26,0),MATCH($A7,Acct2_Raw!$B$1:$BO$1,0))),0)</f>
        <v>2053.301</v>
      </c>
      <c r="I7" s="4" t="n">
        <f aca="false">IFERROR(IF(Months_Ref!$A$3="",0,INDEX(Acct2_Raw!$B$3:$BO$26,MATCH(Months_Ref!$A$3,Acct2_Raw!$A$3:$A$26,0),MATCH($A7,Acct2_Raw!$B$1:$BO$1,0))),0)</f>
        <v>1654.192</v>
      </c>
      <c r="J7" s="4" t="n">
        <f aca="false">IFERROR(IF(Months_Ref!$A$4="",0,INDEX(Acct2_Raw!$B$3:$BO$26,MATCH(Months_Ref!$A$4,Acct2_Raw!$A$3:$A$26,0),MATCH($A7,Acct2_Raw!$B$1:$BO$1,0))),0)</f>
        <v>2120.294</v>
      </c>
      <c r="K7" s="4" t="n">
        <f aca="false">IFERROR(IF(Months_Ref!$A$5="",0,INDEX(Acct2_Raw!$B$3:$BO$26,MATCH(Months_Ref!$A$5,Acct2_Raw!$A$3:$A$26,0),MATCH($A7,Acct2_Raw!$B$1:$BO$1,0))),0)</f>
        <v>1836.538</v>
      </c>
      <c r="L7" s="4" t="n">
        <f aca="false">IFERROR(IF(Months_Ref!$A$6="",0,INDEX(Acct2_Raw!$B$3:$BO$26,MATCH(Months_Ref!$A$6,Acct2_Raw!$A$3:$A$26,0),MATCH($A7,Acct2_Raw!$B$1:$BO$1,0))),0)</f>
        <v>1699.345</v>
      </c>
      <c r="M7" s="4" t="n">
        <f aca="false">IFERROR(IF(Months_Ref!$A$7="",0,INDEX(Acct2_Raw!$B$3:$BO$26,MATCH(Months_Ref!$A$7,Acct2_Raw!$A$3:$A$26,0),MATCH($A7,Acct2_Raw!$B$1:$BO$1,0))),0)</f>
        <v>2112.433</v>
      </c>
      <c r="N7" s="4" t="n">
        <f aca="false">B7+H7</f>
        <v>12610.954</v>
      </c>
      <c r="O7" s="4" t="n">
        <f aca="false">C7+I7</f>
        <v>11515.96</v>
      </c>
      <c r="P7" s="4" t="n">
        <f aca="false">D7+J7</f>
        <v>13899.658</v>
      </c>
      <c r="Q7" s="4" t="n">
        <f aca="false">E7+K7</f>
        <v>12452.919</v>
      </c>
      <c r="R7" s="4" t="n">
        <f aca="false">F7+L7</f>
        <v>12123.284</v>
      </c>
      <c r="S7" s="4" t="n">
        <f aca="false">G7+M7</f>
        <v>13413.33</v>
      </c>
    </row>
    <row r="8" customFormat="false" ht="15" hidden="false" customHeight="false" outlineLevel="0" collapsed="false">
      <c r="A8" s="3" t="s">
        <v>66</v>
      </c>
      <c r="B8" s="4" t="n">
        <f aca="false">IFERROR(IF(Months_Ref!$A$2="",0,INDEX(Acct1_Raw!$B$3:$BO$26,MATCH(Months_Ref!$A$2,Acct1_Raw!$A$3:$A$26,0),MATCH($A8,Acct1_Raw!$B$1:$BO$1,0))),0)</f>
        <v>10090.033</v>
      </c>
      <c r="C8" s="4" t="n">
        <f aca="false">IFERROR(IF(Months_Ref!$A$3="",0,INDEX(Acct1_Raw!$B$3:$BO$26,MATCH(Months_Ref!$A$3,Acct1_Raw!$A$3:$A$26,0),MATCH($A8,Acct1_Raw!$B$1:$BO$1,0))),0)</f>
        <v>10464.951</v>
      </c>
      <c r="D8" s="4" t="n">
        <f aca="false">IFERROR(IF(Months_Ref!$A$4="",0,INDEX(Acct1_Raw!$B$3:$BO$26,MATCH(Months_Ref!$A$4,Acct1_Raw!$A$3:$A$26,0),MATCH($A8,Acct1_Raw!$B$1:$BO$1,0))),0)</f>
        <v>12936.157</v>
      </c>
      <c r="E8" s="4" t="n">
        <f aca="false">IFERROR(IF(Months_Ref!$A$5="",0,INDEX(Acct1_Raw!$B$3:$BO$26,MATCH(Months_Ref!$A$5,Acct1_Raw!$A$3:$A$26,0),MATCH($A8,Acct1_Raw!$B$1:$BO$1,0))),0)</f>
        <v>10916.87</v>
      </c>
      <c r="F8" s="4" t="n">
        <f aca="false">IFERROR(IF(Months_Ref!$A$6="",0,INDEX(Acct1_Raw!$B$3:$BO$26,MATCH(Months_Ref!$A$6,Acct1_Raw!$A$3:$A$26,0),MATCH($A8,Acct1_Raw!$B$1:$BO$1,0))),0)</f>
        <v>10912.722</v>
      </c>
      <c r="G8" s="4" t="n">
        <f aca="false">IFERROR(IF(Months_Ref!$A$7="",0,INDEX(Acct1_Raw!$B$3:$BO$26,MATCH(Months_Ref!$A$7,Acct1_Raw!$A$3:$A$26,0),MATCH($A8,Acct1_Raw!$B$1:$BO$1,0))),0)</f>
        <v>10610.546</v>
      </c>
      <c r="H8" s="4" t="n">
        <f aca="false">IFERROR(IF(Months_Ref!$A$2="",0,INDEX(Acct2_Raw!$B$3:$BO$26,MATCH(Months_Ref!$A$2,Acct2_Raw!$A$3:$A$26,0),MATCH($A8,Acct2_Raw!$B$1:$BO$1,0))),0)</f>
        <v>9030.618</v>
      </c>
      <c r="I8" s="4" t="n">
        <f aca="false">IFERROR(IF(Months_Ref!$A$3="",0,INDEX(Acct2_Raw!$B$3:$BO$26,MATCH(Months_Ref!$A$3,Acct2_Raw!$A$3:$A$26,0),MATCH($A8,Acct2_Raw!$B$1:$BO$1,0))),0)</f>
        <v>10828.068</v>
      </c>
      <c r="J8" s="4" t="n">
        <f aca="false">IFERROR(IF(Months_Ref!$A$4="",0,INDEX(Acct2_Raw!$B$3:$BO$26,MATCH(Months_Ref!$A$4,Acct2_Raw!$A$3:$A$26,0),MATCH($A8,Acct2_Raw!$B$1:$BO$1,0))),0)</f>
        <v>9491.574</v>
      </c>
      <c r="K8" s="4" t="n">
        <f aca="false">IFERROR(IF(Months_Ref!$A$5="",0,INDEX(Acct2_Raw!$B$3:$BO$26,MATCH(Months_Ref!$A$5,Acct2_Raw!$A$3:$A$26,0),MATCH($A8,Acct2_Raw!$B$1:$BO$1,0))),0)</f>
        <v>9141.707</v>
      </c>
      <c r="L8" s="4" t="n">
        <f aca="false">IFERROR(IF(Months_Ref!$A$6="",0,INDEX(Acct2_Raw!$B$3:$BO$26,MATCH(Months_Ref!$A$6,Acct2_Raw!$A$3:$A$26,0),MATCH($A8,Acct2_Raw!$B$1:$BO$1,0))),0)</f>
        <v>8520.997</v>
      </c>
      <c r="M8" s="4" t="n">
        <f aca="false">IFERROR(IF(Months_Ref!$A$7="",0,INDEX(Acct2_Raw!$B$3:$BO$26,MATCH(Months_Ref!$A$7,Acct2_Raw!$A$3:$A$26,0),MATCH($A8,Acct2_Raw!$B$1:$BO$1,0))),0)</f>
        <v>8489.945</v>
      </c>
      <c r="N8" s="4" t="n">
        <f aca="false">B8+H8</f>
        <v>19120.651</v>
      </c>
      <c r="O8" s="4" t="n">
        <f aca="false">C8+I8</f>
        <v>21293.019</v>
      </c>
      <c r="P8" s="4" t="n">
        <f aca="false">D8+J8</f>
        <v>22427.731</v>
      </c>
      <c r="Q8" s="4" t="n">
        <f aca="false">E8+K8</f>
        <v>20058.577</v>
      </c>
      <c r="R8" s="4" t="n">
        <f aca="false">F8+L8</f>
        <v>19433.719</v>
      </c>
      <c r="S8" s="4" t="n">
        <f aca="false">G8+M8</f>
        <v>19100.491</v>
      </c>
    </row>
    <row r="9" customFormat="false" ht="15" hidden="false" customHeight="false" outlineLevel="0" collapsed="false">
      <c r="A9" s="3" t="s">
        <v>61</v>
      </c>
      <c r="B9" s="4" t="n">
        <f aca="false">IFERROR(IF(Months_Ref!$A$2="",0,INDEX(Acct1_Raw!$B$3:$BO$26,MATCH(Months_Ref!$A$2,Acct1_Raw!$A$3:$A$26,0),MATCH($A9,Acct1_Raw!$B$1:$BO$1,0))),0)</f>
        <v>13729.744</v>
      </c>
      <c r="C9" s="4" t="n">
        <f aca="false">IFERROR(IF(Months_Ref!$A$3="",0,INDEX(Acct1_Raw!$B$3:$BO$26,MATCH(Months_Ref!$A$3,Acct1_Raw!$A$3:$A$26,0),MATCH($A9,Acct1_Raw!$B$1:$BO$1,0))),0)</f>
        <v>13798.296</v>
      </c>
      <c r="D9" s="4" t="n">
        <f aca="false">IFERROR(IF(Months_Ref!$A$4="",0,INDEX(Acct1_Raw!$B$3:$BO$26,MATCH(Months_Ref!$A$4,Acct1_Raw!$A$3:$A$26,0),MATCH($A9,Acct1_Raw!$B$1:$BO$1,0))),0)</f>
        <v>12727.691</v>
      </c>
      <c r="E9" s="4" t="n">
        <f aca="false">IFERROR(IF(Months_Ref!$A$5="",0,INDEX(Acct1_Raw!$B$3:$BO$26,MATCH(Months_Ref!$A$5,Acct1_Raw!$A$3:$A$26,0),MATCH($A9,Acct1_Raw!$B$1:$BO$1,0))),0)</f>
        <v>16637.659</v>
      </c>
      <c r="F9" s="4" t="n">
        <f aca="false">IFERROR(IF(Months_Ref!$A$6="",0,INDEX(Acct1_Raw!$B$3:$BO$26,MATCH(Months_Ref!$A$6,Acct1_Raw!$A$3:$A$26,0),MATCH($A9,Acct1_Raw!$B$1:$BO$1,0))),0)</f>
        <v>16027.611</v>
      </c>
      <c r="G9" s="4" t="n">
        <f aca="false">IFERROR(IF(Months_Ref!$A$7="",0,INDEX(Acct1_Raw!$B$3:$BO$26,MATCH(Months_Ref!$A$7,Acct1_Raw!$A$3:$A$26,0),MATCH($A9,Acct1_Raw!$B$1:$BO$1,0))),0)</f>
        <v>15512.515</v>
      </c>
      <c r="H9" s="4" t="n">
        <f aca="false">IFERROR(IF(Months_Ref!$A$2="",0,INDEX(Acct2_Raw!$B$3:$BO$26,MATCH(Months_Ref!$A$2,Acct2_Raw!$A$3:$A$26,0),MATCH($A9,Acct2_Raw!$B$1:$BO$1,0))),0)</f>
        <v>12410.901</v>
      </c>
      <c r="I9" s="4" t="n">
        <f aca="false">IFERROR(IF(Months_Ref!$A$3="",0,INDEX(Acct2_Raw!$B$3:$BO$26,MATCH(Months_Ref!$A$3,Acct2_Raw!$A$3:$A$26,0),MATCH($A9,Acct2_Raw!$B$1:$BO$1,0))),0)</f>
        <v>11089.226</v>
      </c>
      <c r="J9" s="4" t="n">
        <f aca="false">IFERROR(IF(Months_Ref!$A$4="",0,INDEX(Acct2_Raw!$B$3:$BO$26,MATCH(Months_Ref!$A$4,Acct2_Raw!$A$3:$A$26,0),MATCH($A9,Acct2_Raw!$B$1:$BO$1,0))),0)</f>
        <v>12977.242</v>
      </c>
      <c r="K9" s="4" t="n">
        <f aca="false">IFERROR(IF(Months_Ref!$A$5="",0,INDEX(Acct2_Raw!$B$3:$BO$26,MATCH(Months_Ref!$A$5,Acct2_Raw!$A$3:$A$26,0),MATCH($A9,Acct2_Raw!$B$1:$BO$1,0))),0)</f>
        <v>11855.182</v>
      </c>
      <c r="L9" s="4" t="n">
        <f aca="false">IFERROR(IF(Months_Ref!$A$6="",0,INDEX(Acct2_Raw!$B$3:$BO$26,MATCH(Months_Ref!$A$6,Acct2_Raw!$A$3:$A$26,0),MATCH($A9,Acct2_Raw!$B$1:$BO$1,0))),0)</f>
        <v>12496.225</v>
      </c>
      <c r="M9" s="4" t="n">
        <f aca="false">IFERROR(IF(Months_Ref!$A$7="",0,INDEX(Acct2_Raw!$B$3:$BO$26,MATCH(Months_Ref!$A$7,Acct2_Raw!$A$3:$A$26,0),MATCH($A9,Acct2_Raw!$B$1:$BO$1,0))),0)</f>
        <v>10580.265</v>
      </c>
      <c r="N9" s="4" t="n">
        <f aca="false">B9+H9</f>
        <v>26140.645</v>
      </c>
      <c r="O9" s="4" t="n">
        <f aca="false">C9+I9</f>
        <v>24887.522</v>
      </c>
      <c r="P9" s="4" t="n">
        <f aca="false">D9+J9</f>
        <v>25704.933</v>
      </c>
      <c r="Q9" s="4" t="n">
        <f aca="false">E9+K9</f>
        <v>28492.841</v>
      </c>
      <c r="R9" s="4" t="n">
        <f aca="false">F9+L9</f>
        <v>28523.836</v>
      </c>
      <c r="S9" s="4" t="n">
        <f aca="false">G9+M9</f>
        <v>26092.78</v>
      </c>
    </row>
    <row r="10" customFormat="false" ht="15" hidden="false" customHeight="false" outlineLevel="0" collapsed="false">
      <c r="A10" s="3" t="s">
        <v>34</v>
      </c>
      <c r="B10" s="4" t="n">
        <f aca="false">IFERROR(IF(Months_Ref!$A$2="",0,INDEX(Acct1_Raw!$B$3:$BO$26,MATCH(Months_Ref!$A$2,Acct1_Raw!$A$3:$A$26,0),MATCH($A10,Acct1_Raw!$B$1:$BO$1,0))),0)</f>
        <v>12719.854</v>
      </c>
      <c r="C10" s="4" t="n">
        <f aca="false">IFERROR(IF(Months_Ref!$A$3="",0,INDEX(Acct1_Raw!$B$3:$BO$26,MATCH(Months_Ref!$A$3,Acct1_Raw!$A$3:$A$26,0),MATCH($A10,Acct1_Raw!$B$1:$BO$1,0))),0)</f>
        <v>13223.392</v>
      </c>
      <c r="D10" s="4" t="n">
        <f aca="false">IFERROR(IF(Months_Ref!$A$4="",0,INDEX(Acct1_Raw!$B$3:$BO$26,MATCH(Months_Ref!$A$4,Acct1_Raw!$A$3:$A$26,0),MATCH($A10,Acct1_Raw!$B$1:$BO$1,0))),0)</f>
        <v>12451.863</v>
      </c>
      <c r="E10" s="4" t="n">
        <f aca="false">IFERROR(IF(Months_Ref!$A$5="",0,INDEX(Acct1_Raw!$B$3:$BO$26,MATCH(Months_Ref!$A$5,Acct1_Raw!$A$3:$A$26,0),MATCH($A10,Acct1_Raw!$B$1:$BO$1,0))),0)</f>
        <v>14649.456</v>
      </c>
      <c r="F10" s="4" t="n">
        <f aca="false">IFERROR(IF(Months_Ref!$A$6="",0,INDEX(Acct1_Raw!$B$3:$BO$26,MATCH(Months_Ref!$A$6,Acct1_Raw!$A$3:$A$26,0),MATCH($A10,Acct1_Raw!$B$1:$BO$1,0))),0)</f>
        <v>15782.181</v>
      </c>
      <c r="G10" s="4" t="n">
        <f aca="false">IFERROR(IF(Months_Ref!$A$7="",0,INDEX(Acct1_Raw!$B$3:$BO$26,MATCH(Months_Ref!$A$7,Acct1_Raw!$A$3:$A$26,0),MATCH($A10,Acct1_Raw!$B$1:$BO$1,0))),0)</f>
        <v>15384.035</v>
      </c>
      <c r="H10" s="4" t="n">
        <f aca="false">IFERROR(IF(Months_Ref!$A$2="",0,INDEX(Acct2_Raw!$B$3:$BO$26,MATCH(Months_Ref!$A$2,Acct2_Raw!$A$3:$A$26,0),MATCH($A10,Acct2_Raw!$B$1:$BO$1,0))),0)</f>
        <v>5216.507</v>
      </c>
      <c r="I10" s="4" t="n">
        <f aca="false">IFERROR(IF(Months_Ref!$A$3="",0,INDEX(Acct2_Raw!$B$3:$BO$26,MATCH(Months_Ref!$A$3,Acct2_Raw!$A$3:$A$26,0),MATCH($A10,Acct2_Raw!$B$1:$BO$1,0))),0)</f>
        <v>4564.86</v>
      </c>
      <c r="J10" s="4" t="n">
        <f aca="false">IFERROR(IF(Months_Ref!$A$4="",0,INDEX(Acct2_Raw!$B$3:$BO$26,MATCH(Months_Ref!$A$4,Acct2_Raw!$A$3:$A$26,0),MATCH($A10,Acct2_Raw!$B$1:$BO$1,0))),0)</f>
        <v>5563.655</v>
      </c>
      <c r="K10" s="4" t="n">
        <f aca="false">IFERROR(IF(Months_Ref!$A$5="",0,INDEX(Acct2_Raw!$B$3:$BO$26,MATCH(Months_Ref!$A$5,Acct2_Raw!$A$3:$A$26,0),MATCH($A10,Acct2_Raw!$B$1:$BO$1,0))),0)</f>
        <v>5291.926</v>
      </c>
      <c r="L10" s="4" t="n">
        <f aca="false">IFERROR(IF(Months_Ref!$A$6="",0,INDEX(Acct2_Raw!$B$3:$BO$26,MATCH(Months_Ref!$A$6,Acct2_Raw!$A$3:$A$26,0),MATCH($A10,Acct2_Raw!$B$1:$BO$1,0))),0)</f>
        <v>5222.861</v>
      </c>
      <c r="M10" s="4" t="n">
        <f aca="false">IFERROR(IF(Months_Ref!$A$7="",0,INDEX(Acct2_Raw!$B$3:$BO$26,MATCH(Months_Ref!$A$7,Acct2_Raw!$A$3:$A$26,0),MATCH($A10,Acct2_Raw!$B$1:$BO$1,0))),0)</f>
        <v>4827.409</v>
      </c>
      <c r="N10" s="4" t="n">
        <f aca="false">B10+H10</f>
        <v>17936.361</v>
      </c>
      <c r="O10" s="4" t="n">
        <f aca="false">C10+I10</f>
        <v>17788.252</v>
      </c>
      <c r="P10" s="4" t="n">
        <f aca="false">D10+J10</f>
        <v>18015.518</v>
      </c>
      <c r="Q10" s="4" t="n">
        <f aca="false">E10+K10</f>
        <v>19941.382</v>
      </c>
      <c r="R10" s="4" t="n">
        <f aca="false">F10+L10</f>
        <v>21005.042</v>
      </c>
      <c r="S10" s="4" t="n">
        <f aca="false">G10+M10</f>
        <v>20211.444</v>
      </c>
    </row>
    <row r="11" customFormat="false" ht="15" hidden="false" customHeight="false" outlineLevel="0" collapsed="false">
      <c r="A11" s="3" t="s">
        <v>7</v>
      </c>
      <c r="B11" s="4" t="n">
        <f aca="false">IFERROR(IF(Months_Ref!$A$2="",0,INDEX(Acct1_Raw!$B$3:$BO$26,MATCH(Months_Ref!$A$2,Acct1_Raw!$A$3:$A$26,0),MATCH($A11,Acct1_Raw!$B$1:$BO$1,0))),0)</f>
        <v>14461.61</v>
      </c>
      <c r="C11" s="4" t="n">
        <f aca="false">IFERROR(IF(Months_Ref!$A$3="",0,INDEX(Acct1_Raw!$B$3:$BO$26,MATCH(Months_Ref!$A$3,Acct1_Raw!$A$3:$A$26,0),MATCH($A11,Acct1_Raw!$B$1:$BO$1,0))),0)</f>
        <v>13335.781</v>
      </c>
      <c r="D11" s="4" t="n">
        <f aca="false">IFERROR(IF(Months_Ref!$A$4="",0,INDEX(Acct1_Raw!$B$3:$BO$26,MATCH(Months_Ref!$A$4,Acct1_Raw!$A$3:$A$26,0),MATCH($A11,Acct1_Raw!$B$1:$BO$1,0))),0)</f>
        <v>14667.614</v>
      </c>
      <c r="E11" s="4" t="n">
        <f aca="false">IFERROR(IF(Months_Ref!$A$5="",0,INDEX(Acct1_Raw!$B$3:$BO$26,MATCH(Months_Ref!$A$5,Acct1_Raw!$A$3:$A$26,0),MATCH($A11,Acct1_Raw!$B$1:$BO$1,0))),0)</f>
        <v>12278.202</v>
      </c>
      <c r="F11" s="4" t="n">
        <f aca="false">IFERROR(IF(Months_Ref!$A$6="",0,INDEX(Acct1_Raw!$B$3:$BO$26,MATCH(Months_Ref!$A$6,Acct1_Raw!$A$3:$A$26,0),MATCH($A11,Acct1_Raw!$B$1:$BO$1,0))),0)</f>
        <v>13285.737</v>
      </c>
      <c r="G11" s="4" t="n">
        <f aca="false">IFERROR(IF(Months_Ref!$A$7="",0,INDEX(Acct1_Raw!$B$3:$BO$26,MATCH(Months_Ref!$A$7,Acct1_Raw!$A$3:$A$26,0),MATCH($A11,Acct1_Raw!$B$1:$BO$1,0))),0)</f>
        <v>14222.876</v>
      </c>
      <c r="H11" s="4" t="n">
        <f aca="false">IFERROR(IF(Months_Ref!$A$2="",0,INDEX(Acct2_Raw!$B$3:$BO$26,MATCH(Months_Ref!$A$2,Acct2_Raw!$A$3:$A$26,0),MATCH($A11,Acct2_Raw!$B$1:$BO$1,0))),0)</f>
        <v>4120.433</v>
      </c>
      <c r="I11" s="4" t="n">
        <f aca="false">IFERROR(IF(Months_Ref!$A$3="",0,INDEX(Acct2_Raw!$B$3:$BO$26,MATCH(Months_Ref!$A$3,Acct2_Raw!$A$3:$A$26,0),MATCH($A11,Acct2_Raw!$B$1:$BO$1,0))),0)</f>
        <v>3648.681</v>
      </c>
      <c r="J11" s="4" t="n">
        <f aca="false">IFERROR(IF(Months_Ref!$A$4="",0,INDEX(Acct2_Raw!$B$3:$BO$26,MATCH(Months_Ref!$A$4,Acct2_Raw!$A$3:$A$26,0),MATCH($A11,Acct2_Raw!$B$1:$BO$1,0))),0)</f>
        <v>4306.469</v>
      </c>
      <c r="K11" s="4" t="n">
        <f aca="false">IFERROR(IF(Months_Ref!$A$5="",0,INDEX(Acct2_Raw!$B$3:$BO$26,MATCH(Months_Ref!$A$5,Acct2_Raw!$A$3:$A$26,0),MATCH($A11,Acct2_Raw!$B$1:$BO$1,0))),0)</f>
        <v>3498.844</v>
      </c>
      <c r="L11" s="4" t="n">
        <f aca="false">IFERROR(IF(Months_Ref!$A$6="",0,INDEX(Acct2_Raw!$B$3:$BO$26,MATCH(Months_Ref!$A$6,Acct2_Raw!$A$3:$A$26,0),MATCH($A11,Acct2_Raw!$B$1:$BO$1,0))),0)</f>
        <v>4351.4</v>
      </c>
      <c r="M11" s="4" t="n">
        <f aca="false">IFERROR(IF(Months_Ref!$A$7="",0,INDEX(Acct2_Raw!$B$3:$BO$26,MATCH(Months_Ref!$A$7,Acct2_Raw!$A$3:$A$26,0),MATCH($A11,Acct2_Raw!$B$1:$BO$1,0))),0)</f>
        <v>3871.446</v>
      </c>
      <c r="N11" s="4" t="n">
        <f aca="false">B11+H11</f>
        <v>18582.043</v>
      </c>
      <c r="O11" s="4" t="n">
        <f aca="false">C11+I11</f>
        <v>16984.462</v>
      </c>
      <c r="P11" s="4" t="n">
        <f aca="false">D11+J11</f>
        <v>18974.083</v>
      </c>
      <c r="Q11" s="4" t="n">
        <f aca="false">E11+K11</f>
        <v>15777.046</v>
      </c>
      <c r="R11" s="4" t="n">
        <f aca="false">F11+L11</f>
        <v>17637.137</v>
      </c>
      <c r="S11" s="4" t="n">
        <f aca="false">G11+M11</f>
        <v>18094.322</v>
      </c>
    </row>
    <row r="12" customFormat="false" ht="15" hidden="false" customHeight="false" outlineLevel="0" collapsed="false">
      <c r="A12" s="3" t="s">
        <v>44</v>
      </c>
      <c r="B12" s="4" t="n">
        <f aca="false">IFERROR(IF(Months_Ref!$A$2="",0,INDEX(Acct1_Raw!$B$3:$BO$26,MATCH(Months_Ref!$A$2,Acct1_Raw!$A$3:$A$26,0),MATCH($A12,Acct1_Raw!$B$1:$BO$1,0))),0)</f>
        <v>4002.118</v>
      </c>
      <c r="C12" s="4" t="n">
        <f aca="false">IFERROR(IF(Months_Ref!$A$3="",0,INDEX(Acct1_Raw!$B$3:$BO$26,MATCH(Months_Ref!$A$3,Acct1_Raw!$A$3:$A$26,0),MATCH($A12,Acct1_Raw!$B$1:$BO$1,0))),0)</f>
        <v>4522.626</v>
      </c>
      <c r="D12" s="4" t="n">
        <f aca="false">IFERROR(IF(Months_Ref!$A$4="",0,INDEX(Acct1_Raw!$B$3:$BO$26,MATCH(Months_Ref!$A$4,Acct1_Raw!$A$3:$A$26,0),MATCH($A12,Acct1_Raw!$B$1:$BO$1,0))),0)</f>
        <v>4939.958</v>
      </c>
      <c r="E12" s="4" t="n">
        <f aca="false">IFERROR(IF(Months_Ref!$A$5="",0,INDEX(Acct1_Raw!$B$3:$BO$26,MATCH(Months_Ref!$A$5,Acct1_Raw!$A$3:$A$26,0),MATCH($A12,Acct1_Raw!$B$1:$BO$1,0))),0)</f>
        <v>4637.718</v>
      </c>
      <c r="F12" s="4" t="n">
        <f aca="false">IFERROR(IF(Months_Ref!$A$6="",0,INDEX(Acct1_Raw!$B$3:$BO$26,MATCH(Months_Ref!$A$6,Acct1_Raw!$A$3:$A$26,0),MATCH($A12,Acct1_Raw!$B$1:$BO$1,0))),0)</f>
        <v>4810.825</v>
      </c>
      <c r="G12" s="4" t="n">
        <f aca="false">IFERROR(IF(Months_Ref!$A$7="",0,INDEX(Acct1_Raw!$B$3:$BO$26,MATCH(Months_Ref!$A$7,Acct1_Raw!$A$3:$A$26,0),MATCH($A12,Acct1_Raw!$B$1:$BO$1,0))),0)</f>
        <v>4600.819</v>
      </c>
      <c r="H12" s="4" t="n">
        <f aca="false">IFERROR(IF(Months_Ref!$A$2="",0,INDEX(Acct2_Raw!$B$3:$BO$26,MATCH(Months_Ref!$A$2,Acct2_Raw!$A$3:$A$26,0),MATCH($A12,Acct2_Raw!$B$1:$BO$1,0))),0)</f>
        <v>401.206</v>
      </c>
      <c r="I12" s="4" t="n">
        <f aca="false">IFERROR(IF(Months_Ref!$A$3="",0,INDEX(Acct2_Raw!$B$3:$BO$26,MATCH(Months_Ref!$A$3,Acct2_Raw!$A$3:$A$26,0),MATCH($A12,Acct2_Raw!$B$1:$BO$1,0))),0)</f>
        <v>467.396</v>
      </c>
      <c r="J12" s="4" t="n">
        <f aca="false">IFERROR(IF(Months_Ref!$A$4="",0,INDEX(Acct2_Raw!$B$3:$BO$26,MATCH(Months_Ref!$A$4,Acct2_Raw!$A$3:$A$26,0),MATCH($A12,Acct2_Raw!$B$1:$BO$1,0))),0)</f>
        <v>432.542</v>
      </c>
      <c r="K12" s="4" t="n">
        <f aca="false">IFERROR(IF(Months_Ref!$A$5="",0,INDEX(Acct2_Raw!$B$3:$BO$26,MATCH(Months_Ref!$A$5,Acct2_Raw!$A$3:$A$26,0),MATCH($A12,Acct2_Raw!$B$1:$BO$1,0))),0)</f>
        <v>384.455</v>
      </c>
      <c r="L12" s="4" t="n">
        <f aca="false">IFERROR(IF(Months_Ref!$A$6="",0,INDEX(Acct2_Raw!$B$3:$BO$26,MATCH(Months_Ref!$A$6,Acct2_Raw!$A$3:$A$26,0),MATCH($A12,Acct2_Raw!$B$1:$BO$1,0))),0)</f>
        <v>398.033</v>
      </c>
      <c r="M12" s="4" t="n">
        <f aca="false">IFERROR(IF(Months_Ref!$A$7="",0,INDEX(Acct2_Raw!$B$3:$BO$26,MATCH(Months_Ref!$A$7,Acct2_Raw!$A$3:$A$26,0),MATCH($A12,Acct2_Raw!$B$1:$BO$1,0))),0)</f>
        <v>442.935</v>
      </c>
      <c r="N12" s="4" t="n">
        <f aca="false">B12+H12</f>
        <v>4403.324</v>
      </c>
      <c r="O12" s="4" t="n">
        <f aca="false">C12+I12</f>
        <v>4990.022</v>
      </c>
      <c r="P12" s="4" t="n">
        <f aca="false">D12+J12</f>
        <v>5372.5</v>
      </c>
      <c r="Q12" s="4" t="n">
        <f aca="false">E12+K12</f>
        <v>5022.173</v>
      </c>
      <c r="R12" s="4" t="n">
        <f aca="false">F12+L12</f>
        <v>5208.858</v>
      </c>
      <c r="S12" s="4" t="n">
        <f aca="false">G12+M12</f>
        <v>5043.754</v>
      </c>
    </row>
    <row r="13" customFormat="false" ht="15" hidden="false" customHeight="false" outlineLevel="0" collapsed="false">
      <c r="A13" s="3" t="s">
        <v>9</v>
      </c>
      <c r="B13" s="4" t="n">
        <f aca="false">IFERROR(IF(Months_Ref!$A$2="",0,INDEX(Acct1_Raw!$B$3:$BO$26,MATCH(Months_Ref!$A$2,Acct1_Raw!$A$3:$A$26,0),MATCH($A13,Acct1_Raw!$B$1:$BO$1,0))),0)</f>
        <v>6339.276</v>
      </c>
      <c r="C13" s="4" t="n">
        <f aca="false">IFERROR(IF(Months_Ref!$A$3="",0,INDEX(Acct1_Raw!$B$3:$BO$26,MATCH(Months_Ref!$A$3,Acct1_Raw!$A$3:$A$26,0),MATCH($A13,Acct1_Raw!$B$1:$BO$1,0))),0)</f>
        <v>6197.029</v>
      </c>
      <c r="D13" s="4" t="n">
        <f aca="false">IFERROR(IF(Months_Ref!$A$4="",0,INDEX(Acct1_Raw!$B$3:$BO$26,MATCH(Months_Ref!$A$4,Acct1_Raw!$A$3:$A$26,0),MATCH($A13,Acct1_Raw!$B$1:$BO$1,0))),0)</f>
        <v>6699.686</v>
      </c>
      <c r="E13" s="4" t="n">
        <f aca="false">IFERROR(IF(Months_Ref!$A$5="",0,INDEX(Acct1_Raw!$B$3:$BO$26,MATCH(Months_Ref!$A$5,Acct1_Raw!$A$3:$A$26,0),MATCH($A13,Acct1_Raw!$B$1:$BO$1,0))),0)</f>
        <v>6310.576</v>
      </c>
      <c r="F13" s="4" t="n">
        <f aca="false">IFERROR(IF(Months_Ref!$A$6="",0,INDEX(Acct1_Raw!$B$3:$BO$26,MATCH(Months_Ref!$A$6,Acct1_Raw!$A$3:$A$26,0),MATCH($A13,Acct1_Raw!$B$1:$BO$1,0))),0)</f>
        <v>6953.816</v>
      </c>
      <c r="G13" s="4" t="n">
        <f aca="false">IFERROR(IF(Months_Ref!$A$7="",0,INDEX(Acct1_Raw!$B$3:$BO$26,MATCH(Months_Ref!$A$7,Acct1_Raw!$A$3:$A$26,0),MATCH($A13,Acct1_Raw!$B$1:$BO$1,0))),0)</f>
        <v>6209.596</v>
      </c>
      <c r="H13" s="4" t="n">
        <f aca="false">IFERROR(IF(Months_Ref!$A$2="",0,INDEX(Acct2_Raw!$B$3:$BO$26,MATCH(Months_Ref!$A$2,Acct2_Raw!$A$3:$A$26,0),MATCH($A13,Acct2_Raw!$B$1:$BO$1,0))),0)</f>
        <v>2748.396</v>
      </c>
      <c r="I13" s="4" t="n">
        <f aca="false">IFERROR(IF(Months_Ref!$A$3="",0,INDEX(Acct2_Raw!$B$3:$BO$26,MATCH(Months_Ref!$A$3,Acct2_Raw!$A$3:$A$26,0),MATCH($A13,Acct2_Raw!$B$1:$BO$1,0))),0)</f>
        <v>2463.461</v>
      </c>
      <c r="J13" s="4" t="n">
        <f aca="false">IFERROR(IF(Months_Ref!$A$4="",0,INDEX(Acct2_Raw!$B$3:$BO$26,MATCH(Months_Ref!$A$4,Acct2_Raw!$A$3:$A$26,0),MATCH($A13,Acct2_Raw!$B$1:$BO$1,0))),0)</f>
        <v>2670.448</v>
      </c>
      <c r="K13" s="4" t="n">
        <f aca="false">IFERROR(IF(Months_Ref!$A$5="",0,INDEX(Acct2_Raw!$B$3:$BO$26,MATCH(Months_Ref!$A$5,Acct2_Raw!$A$3:$A$26,0),MATCH($A13,Acct2_Raw!$B$1:$BO$1,0))),0)</f>
        <v>2578.171</v>
      </c>
      <c r="L13" s="4" t="n">
        <f aca="false">IFERROR(IF(Months_Ref!$A$6="",0,INDEX(Acct2_Raw!$B$3:$BO$26,MATCH(Months_Ref!$A$6,Acct2_Raw!$A$3:$A$26,0),MATCH($A13,Acct2_Raw!$B$1:$BO$1,0))),0)</f>
        <v>2648.311</v>
      </c>
      <c r="M13" s="4" t="n">
        <f aca="false">IFERROR(IF(Months_Ref!$A$7="",0,INDEX(Acct2_Raw!$B$3:$BO$26,MATCH(Months_Ref!$A$7,Acct2_Raw!$A$3:$A$26,0),MATCH($A13,Acct2_Raw!$B$1:$BO$1,0))),0)</f>
        <v>2744.249</v>
      </c>
      <c r="N13" s="4" t="n">
        <f aca="false">B13+H13</f>
        <v>9087.672</v>
      </c>
      <c r="O13" s="4" t="n">
        <f aca="false">C13+I13</f>
        <v>8660.49</v>
      </c>
      <c r="P13" s="4" t="n">
        <f aca="false">D13+J13</f>
        <v>9370.134</v>
      </c>
      <c r="Q13" s="4" t="n">
        <f aca="false">E13+K13</f>
        <v>8888.747</v>
      </c>
      <c r="R13" s="4" t="n">
        <f aca="false">F13+L13</f>
        <v>9602.127</v>
      </c>
      <c r="S13" s="4" t="n">
        <f aca="false">G13+M13</f>
        <v>8953.845</v>
      </c>
    </row>
    <row r="14" customFormat="false" ht="15" hidden="false" customHeight="false" outlineLevel="0" collapsed="false">
      <c r="A14" s="3" t="s">
        <v>54</v>
      </c>
      <c r="B14" s="4" t="n">
        <f aca="false">IFERROR(IF(Months_Ref!$A$2="",0,INDEX(Acct1_Raw!$B$3:$BO$26,MATCH(Months_Ref!$A$2,Acct1_Raw!$A$3:$A$26,0),MATCH($A14,Acct1_Raw!$B$1:$BO$1,0))),0)</f>
        <v>13378.517</v>
      </c>
      <c r="C14" s="4" t="n">
        <f aca="false">IFERROR(IF(Months_Ref!$A$3="",0,INDEX(Acct1_Raw!$B$3:$BO$26,MATCH(Months_Ref!$A$3,Acct1_Raw!$A$3:$A$26,0),MATCH($A14,Acct1_Raw!$B$1:$BO$1,0))),0)</f>
        <v>15118.227</v>
      </c>
      <c r="D14" s="4" t="n">
        <f aca="false">IFERROR(IF(Months_Ref!$A$4="",0,INDEX(Acct1_Raw!$B$3:$BO$26,MATCH(Months_Ref!$A$4,Acct1_Raw!$A$3:$A$26,0),MATCH($A14,Acct1_Raw!$B$1:$BO$1,0))),0)</f>
        <v>14564.964</v>
      </c>
      <c r="E14" s="4" t="n">
        <f aca="false">IFERROR(IF(Months_Ref!$A$5="",0,INDEX(Acct1_Raw!$B$3:$BO$26,MATCH(Months_Ref!$A$5,Acct1_Raw!$A$3:$A$26,0),MATCH($A14,Acct1_Raw!$B$1:$BO$1,0))),0)</f>
        <v>13669.86</v>
      </c>
      <c r="F14" s="4" t="n">
        <f aca="false">IFERROR(IF(Months_Ref!$A$6="",0,INDEX(Acct1_Raw!$B$3:$BO$26,MATCH(Months_Ref!$A$6,Acct1_Raw!$A$3:$A$26,0),MATCH($A14,Acct1_Raw!$B$1:$BO$1,0))),0)</f>
        <v>14258.022</v>
      </c>
      <c r="G14" s="4" t="n">
        <f aca="false">IFERROR(IF(Months_Ref!$A$7="",0,INDEX(Acct1_Raw!$B$3:$BO$26,MATCH(Months_Ref!$A$7,Acct1_Raw!$A$3:$A$26,0),MATCH($A14,Acct1_Raw!$B$1:$BO$1,0))),0)</f>
        <v>15455.827</v>
      </c>
      <c r="H14" s="4" t="n">
        <f aca="false">IFERROR(IF(Months_Ref!$A$2="",0,INDEX(Acct2_Raw!$B$3:$BO$26,MATCH(Months_Ref!$A$2,Acct2_Raw!$A$3:$A$26,0),MATCH($A14,Acct2_Raw!$B$1:$BO$1,0))),0)</f>
        <v>9929.547</v>
      </c>
      <c r="I14" s="4" t="n">
        <f aca="false">IFERROR(IF(Months_Ref!$A$3="",0,INDEX(Acct2_Raw!$B$3:$BO$26,MATCH(Months_Ref!$A$3,Acct2_Raw!$A$3:$A$26,0),MATCH($A14,Acct2_Raw!$B$1:$BO$1,0))),0)</f>
        <v>8344.085</v>
      </c>
      <c r="J14" s="4" t="n">
        <f aca="false">IFERROR(IF(Months_Ref!$A$4="",0,INDEX(Acct2_Raw!$B$3:$BO$26,MATCH(Months_Ref!$A$4,Acct2_Raw!$A$3:$A$26,0),MATCH($A14,Acct2_Raw!$B$1:$BO$1,0))),0)</f>
        <v>9606.575</v>
      </c>
      <c r="K14" s="4" t="n">
        <f aca="false">IFERROR(IF(Months_Ref!$A$5="",0,INDEX(Acct2_Raw!$B$3:$BO$26,MATCH(Months_Ref!$A$5,Acct2_Raw!$A$3:$A$26,0),MATCH($A14,Acct2_Raw!$B$1:$BO$1,0))),0)</f>
        <v>10458.523</v>
      </c>
      <c r="L14" s="4" t="n">
        <f aca="false">IFERROR(IF(Months_Ref!$A$6="",0,INDEX(Acct2_Raw!$B$3:$BO$26,MATCH(Months_Ref!$A$6,Acct2_Raw!$A$3:$A$26,0),MATCH($A14,Acct2_Raw!$B$1:$BO$1,0))),0)</f>
        <v>9853.704</v>
      </c>
      <c r="M14" s="4" t="n">
        <f aca="false">IFERROR(IF(Months_Ref!$A$7="",0,INDEX(Acct2_Raw!$B$3:$BO$26,MATCH(Months_Ref!$A$7,Acct2_Raw!$A$3:$A$26,0),MATCH($A14,Acct2_Raw!$B$1:$BO$1,0))),0)</f>
        <v>8166.235</v>
      </c>
      <c r="N14" s="4" t="n">
        <f aca="false">B14+H14</f>
        <v>23308.064</v>
      </c>
      <c r="O14" s="4" t="n">
        <f aca="false">C14+I14</f>
        <v>23462.312</v>
      </c>
      <c r="P14" s="4" t="n">
        <f aca="false">D14+J14</f>
        <v>24171.539</v>
      </c>
      <c r="Q14" s="4" t="n">
        <f aca="false">E14+K14</f>
        <v>24128.383</v>
      </c>
      <c r="R14" s="4" t="n">
        <f aca="false">F14+L14</f>
        <v>24111.726</v>
      </c>
      <c r="S14" s="4" t="n">
        <f aca="false">G14+M14</f>
        <v>23622.062</v>
      </c>
    </row>
    <row r="15" customFormat="false" ht="15" hidden="false" customHeight="false" outlineLevel="0" collapsed="false">
      <c r="A15" s="3" t="s">
        <v>56</v>
      </c>
      <c r="B15" s="4" t="n">
        <f aca="false">IFERROR(IF(Months_Ref!$A$2="",0,INDEX(Acct1_Raw!$B$3:$BO$26,MATCH(Months_Ref!$A$2,Acct1_Raw!$A$3:$A$26,0),MATCH($A15,Acct1_Raw!$B$1:$BO$1,0))),0)</f>
        <v>8484.149</v>
      </c>
      <c r="C15" s="4" t="n">
        <f aca="false">IFERROR(IF(Months_Ref!$A$3="",0,INDEX(Acct1_Raw!$B$3:$BO$26,MATCH(Months_Ref!$A$3,Acct1_Raw!$A$3:$A$26,0),MATCH($A15,Acct1_Raw!$B$1:$BO$1,0))),0)</f>
        <v>9061.22</v>
      </c>
      <c r="D15" s="4" t="n">
        <f aca="false">IFERROR(IF(Months_Ref!$A$4="",0,INDEX(Acct1_Raw!$B$3:$BO$26,MATCH(Months_Ref!$A$4,Acct1_Raw!$A$3:$A$26,0),MATCH($A15,Acct1_Raw!$B$1:$BO$1,0))),0)</f>
        <v>10359.435</v>
      </c>
      <c r="E15" s="4" t="n">
        <f aca="false">IFERROR(IF(Months_Ref!$A$5="",0,INDEX(Acct1_Raw!$B$3:$BO$26,MATCH(Months_Ref!$A$5,Acct1_Raw!$A$3:$A$26,0),MATCH($A15,Acct1_Raw!$B$1:$BO$1,0))),0)</f>
        <v>8613.528</v>
      </c>
      <c r="F15" s="4" t="n">
        <f aca="false">IFERROR(IF(Months_Ref!$A$6="",0,INDEX(Acct1_Raw!$B$3:$BO$26,MATCH(Months_Ref!$A$6,Acct1_Raw!$A$3:$A$26,0),MATCH($A15,Acct1_Raw!$B$1:$BO$1,0))),0)</f>
        <v>9846.79</v>
      </c>
      <c r="G15" s="4" t="n">
        <f aca="false">IFERROR(IF(Months_Ref!$A$7="",0,INDEX(Acct1_Raw!$B$3:$BO$26,MATCH(Months_Ref!$A$7,Acct1_Raw!$A$3:$A$26,0),MATCH($A15,Acct1_Raw!$B$1:$BO$1,0))),0)</f>
        <v>8025.117</v>
      </c>
      <c r="H15" s="4" t="n">
        <f aca="false">IFERROR(IF(Months_Ref!$A$2="",0,INDEX(Acct2_Raw!$B$3:$BO$26,MATCH(Months_Ref!$A$2,Acct2_Raw!$A$3:$A$26,0),MATCH($A15,Acct2_Raw!$B$1:$BO$1,0))),0)</f>
        <v>1950.759</v>
      </c>
      <c r="I15" s="4" t="n">
        <f aca="false">IFERROR(IF(Months_Ref!$A$3="",0,INDEX(Acct2_Raw!$B$3:$BO$26,MATCH(Months_Ref!$A$3,Acct2_Raw!$A$3:$A$26,0),MATCH($A15,Acct2_Raw!$B$1:$BO$1,0))),0)</f>
        <v>1797.211</v>
      </c>
      <c r="J15" s="4" t="n">
        <f aca="false">IFERROR(IF(Months_Ref!$A$4="",0,INDEX(Acct2_Raw!$B$3:$BO$26,MATCH(Months_Ref!$A$4,Acct2_Raw!$A$3:$A$26,0),MATCH($A15,Acct2_Raw!$B$1:$BO$1,0))),0)</f>
        <v>2165.14</v>
      </c>
      <c r="K15" s="4" t="n">
        <f aca="false">IFERROR(IF(Months_Ref!$A$5="",0,INDEX(Acct2_Raw!$B$3:$BO$26,MATCH(Months_Ref!$A$5,Acct2_Raw!$A$3:$A$26,0),MATCH($A15,Acct2_Raw!$B$1:$BO$1,0))),0)</f>
        <v>1790.925</v>
      </c>
      <c r="L15" s="4" t="n">
        <f aca="false">IFERROR(IF(Months_Ref!$A$6="",0,INDEX(Acct2_Raw!$B$3:$BO$26,MATCH(Months_Ref!$A$6,Acct2_Raw!$A$3:$A$26,0),MATCH($A15,Acct2_Raw!$B$1:$BO$1,0))),0)</f>
        <v>2040.537</v>
      </c>
      <c r="M15" s="4" t="n">
        <f aca="false">IFERROR(IF(Months_Ref!$A$7="",0,INDEX(Acct2_Raw!$B$3:$BO$26,MATCH(Months_Ref!$A$7,Acct2_Raw!$A$3:$A$26,0),MATCH($A15,Acct2_Raw!$B$1:$BO$1,0))),0)</f>
        <v>1928.786</v>
      </c>
      <c r="N15" s="4" t="n">
        <f aca="false">B15+H15</f>
        <v>10434.908</v>
      </c>
      <c r="O15" s="4" t="n">
        <f aca="false">C15+I15</f>
        <v>10858.431</v>
      </c>
      <c r="P15" s="4" t="n">
        <f aca="false">D15+J15</f>
        <v>12524.575</v>
      </c>
      <c r="Q15" s="4" t="n">
        <f aca="false">E15+K15</f>
        <v>10404.453</v>
      </c>
      <c r="R15" s="4" t="n">
        <f aca="false">F15+L15</f>
        <v>11887.327</v>
      </c>
      <c r="S15" s="4" t="n">
        <f aca="false">G15+M15</f>
        <v>9953.903</v>
      </c>
    </row>
    <row r="16" customFormat="false" ht="15" hidden="false" customHeight="false" outlineLevel="0" collapsed="false">
      <c r="A16" s="3" t="s">
        <v>55</v>
      </c>
      <c r="B16" s="4" t="n">
        <f aca="false">IFERROR(IF(Months_Ref!$A$2="",0,INDEX(Acct1_Raw!$B$3:$BO$26,MATCH(Months_Ref!$A$2,Acct1_Raw!$A$3:$A$26,0),MATCH($A16,Acct1_Raw!$B$1:$BO$1,0))),0)</f>
        <v>10814.241</v>
      </c>
      <c r="C16" s="4" t="n">
        <f aca="false">IFERROR(IF(Months_Ref!$A$3="",0,INDEX(Acct1_Raw!$B$3:$BO$26,MATCH(Months_Ref!$A$3,Acct1_Raw!$A$3:$A$26,0),MATCH($A16,Acct1_Raw!$B$1:$BO$1,0))),0)</f>
        <v>8504.681</v>
      </c>
      <c r="D16" s="4" t="n">
        <f aca="false">IFERROR(IF(Months_Ref!$A$4="",0,INDEX(Acct1_Raw!$B$3:$BO$26,MATCH(Months_Ref!$A$4,Acct1_Raw!$A$3:$A$26,0),MATCH($A16,Acct1_Raw!$B$1:$BO$1,0))),0)</f>
        <v>8744.702</v>
      </c>
      <c r="E16" s="4" t="n">
        <f aca="false">IFERROR(IF(Months_Ref!$A$5="",0,INDEX(Acct1_Raw!$B$3:$BO$26,MATCH(Months_Ref!$A$5,Acct1_Raw!$A$3:$A$26,0),MATCH($A16,Acct1_Raw!$B$1:$BO$1,0))),0)</f>
        <v>9470.081</v>
      </c>
      <c r="F16" s="4" t="n">
        <f aca="false">IFERROR(IF(Months_Ref!$A$6="",0,INDEX(Acct1_Raw!$B$3:$BO$26,MATCH(Months_Ref!$A$6,Acct1_Raw!$A$3:$A$26,0),MATCH($A16,Acct1_Raw!$B$1:$BO$1,0))),0)</f>
        <v>10918.243</v>
      </c>
      <c r="G16" s="4" t="n">
        <f aca="false">IFERROR(IF(Months_Ref!$A$7="",0,INDEX(Acct1_Raw!$B$3:$BO$26,MATCH(Months_Ref!$A$7,Acct1_Raw!$A$3:$A$26,0),MATCH($A16,Acct1_Raw!$B$1:$BO$1,0))),0)</f>
        <v>9030.696</v>
      </c>
      <c r="H16" s="4" t="n">
        <f aca="false">IFERROR(IF(Months_Ref!$A$2="",0,INDEX(Acct2_Raw!$B$3:$BO$26,MATCH(Months_Ref!$A$2,Acct2_Raw!$A$3:$A$26,0),MATCH($A16,Acct2_Raw!$B$1:$BO$1,0))),0)</f>
        <v>4299.51</v>
      </c>
      <c r="I16" s="4" t="n">
        <f aca="false">IFERROR(IF(Months_Ref!$A$3="",0,INDEX(Acct2_Raw!$B$3:$BO$26,MATCH(Months_Ref!$A$3,Acct2_Raw!$A$3:$A$26,0),MATCH($A16,Acct2_Raw!$B$1:$BO$1,0))),0)</f>
        <v>4161.362</v>
      </c>
      <c r="J16" s="4" t="n">
        <f aca="false">IFERROR(IF(Months_Ref!$A$4="",0,INDEX(Acct2_Raw!$B$3:$BO$26,MATCH(Months_Ref!$A$4,Acct2_Raw!$A$3:$A$26,0),MATCH($A16,Acct2_Raw!$B$1:$BO$1,0))),0)</f>
        <v>3768.661</v>
      </c>
      <c r="K16" s="4" t="n">
        <f aca="false">IFERROR(IF(Months_Ref!$A$5="",0,INDEX(Acct2_Raw!$B$3:$BO$26,MATCH(Months_Ref!$A$5,Acct2_Raw!$A$3:$A$26,0),MATCH($A16,Acct2_Raw!$B$1:$BO$1,0))),0)</f>
        <v>3730.409</v>
      </c>
      <c r="L16" s="4" t="n">
        <f aca="false">IFERROR(IF(Months_Ref!$A$6="",0,INDEX(Acct2_Raw!$B$3:$BO$26,MATCH(Months_Ref!$A$6,Acct2_Raw!$A$3:$A$26,0),MATCH($A16,Acct2_Raw!$B$1:$BO$1,0))),0)</f>
        <v>4129.992</v>
      </c>
      <c r="M16" s="4" t="n">
        <f aca="false">IFERROR(IF(Months_Ref!$A$7="",0,INDEX(Acct2_Raw!$B$3:$BO$26,MATCH(Months_Ref!$A$7,Acct2_Raw!$A$3:$A$26,0),MATCH($A16,Acct2_Raw!$B$1:$BO$1,0))),0)</f>
        <v>4095.459</v>
      </c>
      <c r="N16" s="4" t="n">
        <f aca="false">B16+H16</f>
        <v>15113.751</v>
      </c>
      <c r="O16" s="4" t="n">
        <f aca="false">C16+I16</f>
        <v>12666.043</v>
      </c>
      <c r="P16" s="4" t="n">
        <f aca="false">D16+J16</f>
        <v>12513.363</v>
      </c>
      <c r="Q16" s="4" t="n">
        <f aca="false">E16+K16</f>
        <v>13200.49</v>
      </c>
      <c r="R16" s="4" t="n">
        <f aca="false">F16+L16</f>
        <v>15048.235</v>
      </c>
      <c r="S16" s="4" t="n">
        <f aca="false">G16+M16</f>
        <v>13126.155</v>
      </c>
    </row>
    <row r="17" customFormat="false" ht="15" hidden="false" customHeight="false" outlineLevel="0" collapsed="false">
      <c r="A17" s="3" t="s">
        <v>53</v>
      </c>
      <c r="B17" s="4" t="n">
        <f aca="false">IFERROR(IF(Months_Ref!$A$2="",0,INDEX(Acct1_Raw!$B$3:$BO$26,MATCH(Months_Ref!$A$2,Acct1_Raw!$A$3:$A$26,0),MATCH($A17,Acct1_Raw!$B$1:$BO$1,0))),0)</f>
        <v>3958.837</v>
      </c>
      <c r="C17" s="4" t="n">
        <f aca="false">IFERROR(IF(Months_Ref!$A$3="",0,INDEX(Acct1_Raw!$B$3:$BO$26,MATCH(Months_Ref!$A$3,Acct1_Raw!$A$3:$A$26,0),MATCH($A17,Acct1_Raw!$B$1:$BO$1,0))),0)</f>
        <v>3853.082</v>
      </c>
      <c r="D17" s="4" t="n">
        <f aca="false">IFERROR(IF(Months_Ref!$A$4="",0,INDEX(Acct1_Raw!$B$3:$BO$26,MATCH(Months_Ref!$A$4,Acct1_Raw!$A$3:$A$26,0),MATCH($A17,Acct1_Raw!$B$1:$BO$1,0))),0)</f>
        <v>3963.433</v>
      </c>
      <c r="E17" s="4" t="n">
        <f aca="false">IFERROR(IF(Months_Ref!$A$5="",0,INDEX(Acct1_Raw!$B$3:$BO$26,MATCH(Months_Ref!$A$5,Acct1_Raw!$A$3:$A$26,0),MATCH($A17,Acct1_Raw!$B$1:$BO$1,0))),0)</f>
        <v>3844.65</v>
      </c>
      <c r="F17" s="4" t="n">
        <f aca="false">IFERROR(IF(Months_Ref!$A$6="",0,INDEX(Acct1_Raw!$B$3:$BO$26,MATCH(Months_Ref!$A$6,Acct1_Raw!$A$3:$A$26,0),MATCH($A17,Acct1_Raw!$B$1:$BO$1,0))),0)</f>
        <v>4482.385</v>
      </c>
      <c r="G17" s="4" t="n">
        <f aca="false">IFERROR(IF(Months_Ref!$A$7="",0,INDEX(Acct1_Raw!$B$3:$BO$26,MATCH(Months_Ref!$A$7,Acct1_Raw!$A$3:$A$26,0),MATCH($A17,Acct1_Raw!$B$1:$BO$1,0))),0)</f>
        <v>4386.276</v>
      </c>
      <c r="H17" s="4" t="n">
        <f aca="false">IFERROR(IF(Months_Ref!$A$2="",0,INDEX(Acct2_Raw!$B$3:$BO$26,MATCH(Months_Ref!$A$2,Acct2_Raw!$A$3:$A$26,0),MATCH($A17,Acct2_Raw!$B$1:$BO$1,0))),0)</f>
        <v>3903.414</v>
      </c>
      <c r="I17" s="4" t="n">
        <f aca="false">IFERROR(IF(Months_Ref!$A$3="",0,INDEX(Acct2_Raw!$B$3:$BO$26,MATCH(Months_Ref!$A$3,Acct2_Raw!$A$3:$A$26,0),MATCH($A17,Acct2_Raw!$B$1:$BO$1,0))),0)</f>
        <v>3162.482</v>
      </c>
      <c r="J17" s="4" t="n">
        <f aca="false">IFERROR(IF(Months_Ref!$A$4="",0,INDEX(Acct2_Raw!$B$3:$BO$26,MATCH(Months_Ref!$A$4,Acct2_Raw!$A$3:$A$26,0),MATCH($A17,Acct2_Raw!$B$1:$BO$1,0))),0)</f>
        <v>3296.194</v>
      </c>
      <c r="K17" s="4" t="n">
        <f aca="false">IFERROR(IF(Months_Ref!$A$5="",0,INDEX(Acct2_Raw!$B$3:$BO$26,MATCH(Months_Ref!$A$5,Acct2_Raw!$A$3:$A$26,0),MATCH($A17,Acct2_Raw!$B$1:$BO$1,0))),0)</f>
        <v>4091.797</v>
      </c>
      <c r="L17" s="4" t="n">
        <f aca="false">IFERROR(IF(Months_Ref!$A$6="",0,INDEX(Acct2_Raw!$B$3:$BO$26,MATCH(Months_Ref!$A$6,Acct2_Raw!$A$3:$A$26,0),MATCH($A17,Acct2_Raw!$B$1:$BO$1,0))),0)</f>
        <v>3649.779</v>
      </c>
      <c r="M17" s="4" t="n">
        <f aca="false">IFERROR(IF(Months_Ref!$A$7="",0,INDEX(Acct2_Raw!$B$3:$BO$26,MATCH(Months_Ref!$A$7,Acct2_Raw!$A$3:$A$26,0),MATCH($A17,Acct2_Raw!$B$1:$BO$1,0))),0)</f>
        <v>3150.388</v>
      </c>
      <c r="N17" s="4" t="n">
        <f aca="false">B17+H17</f>
        <v>7862.251</v>
      </c>
      <c r="O17" s="4" t="n">
        <f aca="false">C17+I17</f>
        <v>7015.564</v>
      </c>
      <c r="P17" s="4" t="n">
        <f aca="false">D17+J17</f>
        <v>7259.627</v>
      </c>
      <c r="Q17" s="4" t="n">
        <f aca="false">E17+K17</f>
        <v>7936.447</v>
      </c>
      <c r="R17" s="4" t="n">
        <f aca="false">F17+L17</f>
        <v>8132.164</v>
      </c>
      <c r="S17" s="4" t="n">
        <f aca="false">G17+M17</f>
        <v>7536.664</v>
      </c>
    </row>
    <row r="18" customFormat="false" ht="15" hidden="false" customHeight="false" outlineLevel="0" collapsed="false">
      <c r="A18" s="3" t="s">
        <v>28</v>
      </c>
      <c r="B18" s="4" t="n">
        <f aca="false">IFERROR(IF(Months_Ref!$A$2="",0,INDEX(Acct1_Raw!$B$3:$BO$26,MATCH(Months_Ref!$A$2,Acct1_Raw!$A$3:$A$26,0),MATCH($A18,Acct1_Raw!$B$1:$BO$1,0))),0)</f>
        <v>1411.724</v>
      </c>
      <c r="C18" s="4" t="n">
        <f aca="false">IFERROR(IF(Months_Ref!$A$3="",0,INDEX(Acct1_Raw!$B$3:$BO$26,MATCH(Months_Ref!$A$3,Acct1_Raw!$A$3:$A$26,0),MATCH($A18,Acct1_Raw!$B$1:$BO$1,0))),0)</f>
        <v>1579.991</v>
      </c>
      <c r="D18" s="4" t="n">
        <f aca="false">IFERROR(IF(Months_Ref!$A$4="",0,INDEX(Acct1_Raw!$B$3:$BO$26,MATCH(Months_Ref!$A$4,Acct1_Raw!$A$3:$A$26,0),MATCH($A18,Acct1_Raw!$B$1:$BO$1,0))),0)</f>
        <v>1666.418</v>
      </c>
      <c r="E18" s="4" t="n">
        <f aca="false">IFERROR(IF(Months_Ref!$A$5="",0,INDEX(Acct1_Raw!$B$3:$BO$26,MATCH(Months_Ref!$A$5,Acct1_Raw!$A$3:$A$26,0),MATCH($A18,Acct1_Raw!$B$1:$BO$1,0))),0)</f>
        <v>1432.644</v>
      </c>
      <c r="F18" s="4" t="n">
        <f aca="false">IFERROR(IF(Months_Ref!$A$6="",0,INDEX(Acct1_Raw!$B$3:$BO$26,MATCH(Months_Ref!$A$6,Acct1_Raw!$A$3:$A$26,0),MATCH($A18,Acct1_Raw!$B$1:$BO$1,0))),0)</f>
        <v>1631.853</v>
      </c>
      <c r="G18" s="4" t="n">
        <f aca="false">IFERROR(IF(Months_Ref!$A$7="",0,INDEX(Acct1_Raw!$B$3:$BO$26,MATCH(Months_Ref!$A$7,Acct1_Raw!$A$3:$A$26,0),MATCH($A18,Acct1_Raw!$B$1:$BO$1,0))),0)</f>
        <v>1588.81</v>
      </c>
      <c r="H18" s="4" t="n">
        <f aca="false">IFERROR(IF(Months_Ref!$A$2="",0,INDEX(Acct2_Raw!$B$3:$BO$26,MATCH(Months_Ref!$A$2,Acct2_Raw!$A$3:$A$26,0),MATCH($A18,Acct2_Raw!$B$1:$BO$1,0))),0)</f>
        <v>3614.896</v>
      </c>
      <c r="I18" s="4" t="n">
        <f aca="false">IFERROR(IF(Months_Ref!$A$3="",0,INDEX(Acct2_Raw!$B$3:$BO$26,MATCH(Months_Ref!$A$3,Acct2_Raw!$A$3:$A$26,0),MATCH($A18,Acct2_Raw!$B$1:$BO$1,0))),0)</f>
        <v>3207.623</v>
      </c>
      <c r="J18" s="4" t="n">
        <f aca="false">IFERROR(IF(Months_Ref!$A$4="",0,INDEX(Acct2_Raw!$B$3:$BO$26,MATCH(Months_Ref!$A$4,Acct2_Raw!$A$3:$A$26,0),MATCH($A18,Acct2_Raw!$B$1:$BO$1,0))),0)</f>
        <v>3160.007</v>
      </c>
      <c r="K18" s="4" t="n">
        <f aca="false">IFERROR(IF(Months_Ref!$A$5="",0,INDEX(Acct2_Raw!$B$3:$BO$26,MATCH(Months_Ref!$A$5,Acct2_Raw!$A$3:$A$26,0),MATCH($A18,Acct2_Raw!$B$1:$BO$1,0))),0)</f>
        <v>3851.749</v>
      </c>
      <c r="L18" s="4" t="n">
        <f aca="false">IFERROR(IF(Months_Ref!$A$6="",0,INDEX(Acct2_Raw!$B$3:$BO$26,MATCH(Months_Ref!$A$6,Acct2_Raw!$A$3:$A$26,0),MATCH($A18,Acct2_Raw!$B$1:$BO$1,0))),0)</f>
        <v>3368.083</v>
      </c>
      <c r="M18" s="4" t="n">
        <f aca="false">IFERROR(IF(Months_Ref!$A$7="",0,INDEX(Acct2_Raw!$B$3:$BO$26,MATCH(Months_Ref!$A$7,Acct2_Raw!$A$3:$A$26,0),MATCH($A18,Acct2_Raw!$B$1:$BO$1,0))),0)</f>
        <v>4083.755</v>
      </c>
      <c r="N18" s="4" t="n">
        <f aca="false">B18+H18</f>
        <v>5026.62</v>
      </c>
      <c r="O18" s="4" t="n">
        <f aca="false">C18+I18</f>
        <v>4787.614</v>
      </c>
      <c r="P18" s="4" t="n">
        <f aca="false">D18+J18</f>
        <v>4826.425</v>
      </c>
      <c r="Q18" s="4" t="n">
        <f aca="false">E18+K18</f>
        <v>5284.393</v>
      </c>
      <c r="R18" s="4" t="n">
        <f aca="false">F18+L18</f>
        <v>4999.936</v>
      </c>
      <c r="S18" s="4" t="n">
        <f aca="false">G18+M18</f>
        <v>5672.565</v>
      </c>
    </row>
    <row r="19" customFormat="false" ht="15" hidden="false" customHeight="false" outlineLevel="0" collapsed="false">
      <c r="A19" s="3" t="s">
        <v>43</v>
      </c>
      <c r="B19" s="4" t="n">
        <f aca="false">IFERROR(IF(Months_Ref!$A$2="",0,INDEX(Acct1_Raw!$B$3:$BO$26,MATCH(Months_Ref!$A$2,Acct1_Raw!$A$3:$A$26,0),MATCH($A19,Acct1_Raw!$B$1:$BO$1,0))),0)</f>
        <v>3818.158</v>
      </c>
      <c r="C19" s="4" t="n">
        <f aca="false">IFERROR(IF(Months_Ref!$A$3="",0,INDEX(Acct1_Raw!$B$3:$BO$26,MATCH(Months_Ref!$A$3,Acct1_Raw!$A$3:$A$26,0),MATCH($A19,Acct1_Raw!$B$1:$BO$1,0))),0)</f>
        <v>3410.975</v>
      </c>
      <c r="D19" s="4" t="n">
        <f aca="false">IFERROR(IF(Months_Ref!$A$4="",0,INDEX(Acct1_Raw!$B$3:$BO$26,MATCH(Months_Ref!$A$4,Acct1_Raw!$A$3:$A$26,0),MATCH($A19,Acct1_Raw!$B$1:$BO$1,0))),0)</f>
        <v>3294.604</v>
      </c>
      <c r="E19" s="4" t="n">
        <f aca="false">IFERROR(IF(Months_Ref!$A$5="",0,INDEX(Acct1_Raw!$B$3:$BO$26,MATCH(Months_Ref!$A$5,Acct1_Raw!$A$3:$A$26,0),MATCH($A19,Acct1_Raw!$B$1:$BO$1,0))),0)</f>
        <v>3749.419</v>
      </c>
      <c r="F19" s="4" t="n">
        <f aca="false">IFERROR(IF(Months_Ref!$A$6="",0,INDEX(Acct1_Raw!$B$3:$BO$26,MATCH(Months_Ref!$A$6,Acct1_Raw!$A$3:$A$26,0),MATCH($A19,Acct1_Raw!$B$1:$BO$1,0))),0)</f>
        <v>3450.026</v>
      </c>
      <c r="G19" s="4" t="n">
        <f aca="false">IFERROR(IF(Months_Ref!$A$7="",0,INDEX(Acct1_Raw!$B$3:$BO$26,MATCH(Months_Ref!$A$7,Acct1_Raw!$A$3:$A$26,0),MATCH($A19,Acct1_Raw!$B$1:$BO$1,0))),0)</f>
        <v>2999.754</v>
      </c>
      <c r="H19" s="4" t="n">
        <f aca="false">IFERROR(IF(Months_Ref!$A$2="",0,INDEX(Acct2_Raw!$B$3:$BO$26,MATCH(Months_Ref!$A$2,Acct2_Raw!$A$3:$A$26,0),MATCH($A19,Acct2_Raw!$B$1:$BO$1,0))),0)</f>
        <v>1988.796</v>
      </c>
      <c r="I19" s="4" t="n">
        <f aca="false">IFERROR(IF(Months_Ref!$A$3="",0,INDEX(Acct2_Raw!$B$3:$BO$26,MATCH(Months_Ref!$A$3,Acct2_Raw!$A$3:$A$26,0),MATCH($A19,Acct2_Raw!$B$1:$BO$1,0))),0)</f>
        <v>1894.061</v>
      </c>
      <c r="J19" s="4" t="n">
        <f aca="false">IFERROR(IF(Months_Ref!$A$4="",0,INDEX(Acct2_Raw!$B$3:$BO$26,MATCH(Months_Ref!$A$4,Acct2_Raw!$A$3:$A$26,0),MATCH($A19,Acct2_Raw!$B$1:$BO$1,0))),0)</f>
        <v>2207.34</v>
      </c>
      <c r="K19" s="4" t="n">
        <f aca="false">IFERROR(IF(Months_Ref!$A$5="",0,INDEX(Acct2_Raw!$B$3:$BO$26,MATCH(Months_Ref!$A$5,Acct2_Raw!$A$3:$A$26,0),MATCH($A19,Acct2_Raw!$B$1:$BO$1,0))),0)</f>
        <v>2026.673</v>
      </c>
      <c r="L19" s="4" t="n">
        <f aca="false">IFERROR(IF(Months_Ref!$A$6="",0,INDEX(Acct2_Raw!$B$3:$BO$26,MATCH(Months_Ref!$A$6,Acct2_Raw!$A$3:$A$26,0),MATCH($A19,Acct2_Raw!$B$1:$BO$1,0))),0)</f>
        <v>2215.143</v>
      </c>
      <c r="M19" s="4" t="n">
        <f aca="false">IFERROR(IF(Months_Ref!$A$7="",0,INDEX(Acct2_Raw!$B$3:$BO$26,MATCH(Months_Ref!$A$7,Acct2_Raw!$A$3:$A$26,0),MATCH($A19,Acct2_Raw!$B$1:$BO$1,0))),0)</f>
        <v>1734.689</v>
      </c>
      <c r="N19" s="4" t="n">
        <f aca="false">B19+H19</f>
        <v>5806.954</v>
      </c>
      <c r="O19" s="4" t="n">
        <f aca="false">C19+I19</f>
        <v>5305.036</v>
      </c>
      <c r="P19" s="4" t="n">
        <f aca="false">D19+J19</f>
        <v>5501.944</v>
      </c>
      <c r="Q19" s="4" t="n">
        <f aca="false">E19+K19</f>
        <v>5776.092</v>
      </c>
      <c r="R19" s="4" t="n">
        <f aca="false">F19+L19</f>
        <v>5665.169</v>
      </c>
      <c r="S19" s="4" t="n">
        <f aca="false">G19+M19</f>
        <v>4734.443</v>
      </c>
    </row>
    <row r="20" customFormat="false" ht="15" hidden="false" customHeight="false" outlineLevel="0" collapsed="false">
      <c r="A20" s="3" t="s">
        <v>33</v>
      </c>
      <c r="B20" s="4" t="n">
        <f aca="false">IFERROR(IF(Months_Ref!$A$2="",0,INDEX(Acct1_Raw!$B$3:$BO$26,MATCH(Months_Ref!$A$2,Acct1_Raw!$A$3:$A$26,0),MATCH($A20,Acct1_Raw!$B$1:$BO$1,0))),0)</f>
        <v>8962.612</v>
      </c>
      <c r="C20" s="4" t="n">
        <f aca="false">IFERROR(IF(Months_Ref!$A$3="",0,INDEX(Acct1_Raw!$B$3:$BO$26,MATCH(Months_Ref!$A$3,Acct1_Raw!$A$3:$A$26,0),MATCH($A20,Acct1_Raw!$B$1:$BO$1,0))),0)</f>
        <v>7070.754</v>
      </c>
      <c r="D20" s="4" t="n">
        <f aca="false">IFERROR(IF(Months_Ref!$A$4="",0,INDEX(Acct1_Raw!$B$3:$BO$26,MATCH(Months_Ref!$A$4,Acct1_Raw!$A$3:$A$26,0),MATCH($A20,Acct1_Raw!$B$1:$BO$1,0))),0)</f>
        <v>7914.299</v>
      </c>
      <c r="E20" s="4" t="n">
        <f aca="false">IFERROR(IF(Months_Ref!$A$5="",0,INDEX(Acct1_Raw!$B$3:$BO$26,MATCH(Months_Ref!$A$5,Acct1_Raw!$A$3:$A$26,0),MATCH($A20,Acct1_Raw!$B$1:$BO$1,0))),0)</f>
        <v>8347.561</v>
      </c>
      <c r="F20" s="4" t="n">
        <f aca="false">IFERROR(IF(Months_Ref!$A$6="",0,INDEX(Acct1_Raw!$B$3:$BO$26,MATCH(Months_Ref!$A$6,Acct1_Raw!$A$3:$A$26,0),MATCH($A20,Acct1_Raw!$B$1:$BO$1,0))),0)</f>
        <v>8698.874</v>
      </c>
      <c r="G20" s="4" t="n">
        <f aca="false">IFERROR(IF(Months_Ref!$A$7="",0,INDEX(Acct1_Raw!$B$3:$BO$26,MATCH(Months_Ref!$A$7,Acct1_Raw!$A$3:$A$26,0),MATCH($A20,Acct1_Raw!$B$1:$BO$1,0))),0)</f>
        <v>7692.095</v>
      </c>
      <c r="H20" s="4" t="n">
        <f aca="false">IFERROR(IF(Months_Ref!$A$2="",0,INDEX(Acct2_Raw!$B$3:$BO$26,MATCH(Months_Ref!$A$2,Acct2_Raw!$A$3:$A$26,0),MATCH($A20,Acct2_Raw!$B$1:$BO$1,0))),0)</f>
        <v>3803.23</v>
      </c>
      <c r="I20" s="4" t="n">
        <f aca="false">IFERROR(IF(Months_Ref!$A$3="",0,INDEX(Acct2_Raw!$B$3:$BO$26,MATCH(Months_Ref!$A$3,Acct2_Raw!$A$3:$A$26,0),MATCH($A20,Acct2_Raw!$B$1:$BO$1,0))),0)</f>
        <v>4400.507</v>
      </c>
      <c r="J20" s="4" t="n">
        <f aca="false">IFERROR(IF(Months_Ref!$A$4="",0,INDEX(Acct2_Raw!$B$3:$BO$26,MATCH(Months_Ref!$A$4,Acct2_Raw!$A$3:$A$26,0),MATCH($A20,Acct2_Raw!$B$1:$BO$1,0))),0)</f>
        <v>3638.733</v>
      </c>
      <c r="K20" s="4" t="n">
        <f aca="false">IFERROR(IF(Months_Ref!$A$5="",0,INDEX(Acct2_Raw!$B$3:$BO$26,MATCH(Months_Ref!$A$5,Acct2_Raw!$A$3:$A$26,0),MATCH($A20,Acct2_Raw!$B$1:$BO$1,0))),0)</f>
        <v>4119.155</v>
      </c>
      <c r="L20" s="4" t="n">
        <f aca="false">IFERROR(IF(Months_Ref!$A$6="",0,INDEX(Acct2_Raw!$B$3:$BO$26,MATCH(Months_Ref!$A$6,Acct2_Raw!$A$3:$A$26,0),MATCH($A20,Acct2_Raw!$B$1:$BO$1,0))),0)</f>
        <v>3835.288</v>
      </c>
      <c r="M20" s="4" t="n">
        <f aca="false">IFERROR(IF(Months_Ref!$A$7="",0,INDEX(Acct2_Raw!$B$3:$BO$26,MATCH(Months_Ref!$A$7,Acct2_Raw!$A$3:$A$26,0),MATCH($A20,Acct2_Raw!$B$1:$BO$1,0))),0)</f>
        <v>3870.402</v>
      </c>
      <c r="N20" s="4" t="n">
        <f aca="false">B20+H20</f>
        <v>12765.842</v>
      </c>
      <c r="O20" s="4" t="n">
        <f aca="false">C20+I20</f>
        <v>11471.261</v>
      </c>
      <c r="P20" s="4" t="n">
        <f aca="false">D20+J20</f>
        <v>11553.032</v>
      </c>
      <c r="Q20" s="4" t="n">
        <f aca="false">E20+K20</f>
        <v>12466.716</v>
      </c>
      <c r="R20" s="4" t="n">
        <f aca="false">F20+L20</f>
        <v>12534.162</v>
      </c>
      <c r="S20" s="4" t="n">
        <f aca="false">G20+M20</f>
        <v>11562.497</v>
      </c>
    </row>
    <row r="21" customFormat="false" ht="15" hidden="false" customHeight="false" outlineLevel="0" collapsed="false">
      <c r="A21" s="3" t="s">
        <v>51</v>
      </c>
      <c r="B21" s="4" t="n">
        <f aca="false">IFERROR(IF(Months_Ref!$A$2="",0,INDEX(Acct1_Raw!$B$3:$BO$26,MATCH(Months_Ref!$A$2,Acct1_Raw!$A$3:$A$26,0),MATCH($A21,Acct1_Raw!$B$1:$BO$1,0))),0)</f>
        <v>6431.374</v>
      </c>
      <c r="C21" s="4" t="n">
        <f aca="false">IFERROR(IF(Months_Ref!$A$3="",0,INDEX(Acct1_Raw!$B$3:$BO$26,MATCH(Months_Ref!$A$3,Acct1_Raw!$A$3:$A$26,0),MATCH($A21,Acct1_Raw!$B$1:$BO$1,0))),0)</f>
        <v>5904.944</v>
      </c>
      <c r="D21" s="4" t="n">
        <f aca="false">IFERROR(IF(Months_Ref!$A$4="",0,INDEX(Acct1_Raw!$B$3:$BO$26,MATCH(Months_Ref!$A$4,Acct1_Raw!$A$3:$A$26,0),MATCH($A21,Acct1_Raw!$B$1:$BO$1,0))),0)</f>
        <v>6087.611</v>
      </c>
      <c r="E21" s="4" t="n">
        <f aca="false">IFERROR(IF(Months_Ref!$A$5="",0,INDEX(Acct1_Raw!$B$3:$BO$26,MATCH(Months_Ref!$A$5,Acct1_Raw!$A$3:$A$26,0),MATCH($A21,Acct1_Raw!$B$1:$BO$1,0))),0)</f>
        <v>5985.918</v>
      </c>
      <c r="F21" s="4" t="n">
        <f aca="false">IFERROR(IF(Months_Ref!$A$6="",0,INDEX(Acct1_Raw!$B$3:$BO$26,MATCH(Months_Ref!$A$6,Acct1_Raw!$A$3:$A$26,0),MATCH($A21,Acct1_Raw!$B$1:$BO$1,0))),0)</f>
        <v>5985.109</v>
      </c>
      <c r="G21" s="4" t="n">
        <f aca="false">IFERROR(IF(Months_Ref!$A$7="",0,INDEX(Acct1_Raw!$B$3:$BO$26,MATCH(Months_Ref!$A$7,Acct1_Raw!$A$3:$A$26,0),MATCH($A21,Acct1_Raw!$B$1:$BO$1,0))),0)</f>
        <v>6055.792</v>
      </c>
      <c r="H21" s="4" t="n">
        <f aca="false">IFERROR(IF(Months_Ref!$A$2="",0,INDEX(Acct2_Raw!$B$3:$BO$26,MATCH(Months_Ref!$A$2,Acct2_Raw!$A$3:$A$26,0),MATCH($A21,Acct2_Raw!$B$1:$BO$1,0))),0)</f>
        <v>12572.796</v>
      </c>
      <c r="I21" s="4" t="n">
        <f aca="false">IFERROR(IF(Months_Ref!$A$3="",0,INDEX(Acct2_Raw!$B$3:$BO$26,MATCH(Months_Ref!$A$3,Acct2_Raw!$A$3:$A$26,0),MATCH($A21,Acct2_Raw!$B$1:$BO$1,0))),0)</f>
        <v>15348.839</v>
      </c>
      <c r="J21" s="4" t="n">
        <f aca="false">IFERROR(IF(Months_Ref!$A$4="",0,INDEX(Acct2_Raw!$B$3:$BO$26,MATCH(Months_Ref!$A$4,Acct2_Raw!$A$3:$A$26,0),MATCH($A21,Acct2_Raw!$B$1:$BO$1,0))),0)</f>
        <v>12208.183</v>
      </c>
      <c r="K21" s="4" t="n">
        <f aca="false">IFERROR(IF(Months_Ref!$A$5="",0,INDEX(Acct2_Raw!$B$3:$BO$26,MATCH(Months_Ref!$A$5,Acct2_Raw!$A$3:$A$26,0),MATCH($A21,Acct2_Raw!$B$1:$BO$1,0))),0)</f>
        <v>15740.205</v>
      </c>
      <c r="L21" s="4" t="n">
        <f aca="false">IFERROR(IF(Months_Ref!$A$6="",0,INDEX(Acct2_Raw!$B$3:$BO$26,MATCH(Months_Ref!$A$6,Acct2_Raw!$A$3:$A$26,0),MATCH($A21,Acct2_Raw!$B$1:$BO$1,0))),0)</f>
        <v>15782.985</v>
      </c>
      <c r="M21" s="4" t="n">
        <f aca="false">IFERROR(IF(Months_Ref!$A$7="",0,INDEX(Acct2_Raw!$B$3:$BO$26,MATCH(Months_Ref!$A$7,Acct2_Raw!$A$3:$A$26,0),MATCH($A21,Acct2_Raw!$B$1:$BO$1,0))),0)</f>
        <v>13736.549</v>
      </c>
      <c r="N21" s="4" t="n">
        <f aca="false">B21+H21</f>
        <v>19004.17</v>
      </c>
      <c r="O21" s="4" t="n">
        <f aca="false">C21+I21</f>
        <v>21253.783</v>
      </c>
      <c r="P21" s="4" t="n">
        <f aca="false">D21+J21</f>
        <v>18295.794</v>
      </c>
      <c r="Q21" s="4" t="n">
        <f aca="false">E21+K21</f>
        <v>21726.123</v>
      </c>
      <c r="R21" s="4" t="n">
        <f aca="false">F21+L21</f>
        <v>21768.094</v>
      </c>
      <c r="S21" s="4" t="n">
        <f aca="false">G21+M21</f>
        <v>19792.341</v>
      </c>
    </row>
    <row r="22" customFormat="false" ht="15" hidden="false" customHeight="false" outlineLevel="0" collapsed="false">
      <c r="A22" s="3" t="s">
        <v>3</v>
      </c>
      <c r="B22" s="4" t="n">
        <f aca="false">IFERROR(IF(Months_Ref!$A$2="",0,INDEX(Acct1_Raw!$B$3:$BO$26,MATCH(Months_Ref!$A$2,Acct1_Raw!$A$3:$A$26,0),MATCH($A22,Acct1_Raw!$B$1:$BO$1,0))),0)</f>
        <v>3676.117</v>
      </c>
      <c r="C22" s="4" t="n">
        <f aca="false">IFERROR(IF(Months_Ref!$A$3="",0,INDEX(Acct1_Raw!$B$3:$BO$26,MATCH(Months_Ref!$A$3,Acct1_Raw!$A$3:$A$26,0),MATCH($A22,Acct1_Raw!$B$1:$BO$1,0))),0)</f>
        <v>4788.582</v>
      </c>
      <c r="D22" s="4" t="n">
        <f aca="false">IFERROR(IF(Months_Ref!$A$4="",0,INDEX(Acct1_Raw!$B$3:$BO$26,MATCH(Months_Ref!$A$4,Acct1_Raw!$A$3:$A$26,0),MATCH($A22,Acct1_Raw!$B$1:$BO$1,0))),0)</f>
        <v>4338.582</v>
      </c>
      <c r="E22" s="4" t="n">
        <f aca="false">IFERROR(IF(Months_Ref!$A$5="",0,INDEX(Acct1_Raw!$B$3:$BO$26,MATCH(Months_Ref!$A$5,Acct1_Raw!$A$3:$A$26,0),MATCH($A22,Acct1_Raw!$B$1:$BO$1,0))),0)</f>
        <v>4559.851</v>
      </c>
      <c r="F22" s="4" t="n">
        <f aca="false">IFERROR(IF(Months_Ref!$A$6="",0,INDEX(Acct1_Raw!$B$3:$BO$26,MATCH(Months_Ref!$A$6,Acct1_Raw!$A$3:$A$26,0),MATCH($A22,Acct1_Raw!$B$1:$BO$1,0))),0)</f>
        <v>4392.77</v>
      </c>
      <c r="G22" s="4" t="n">
        <f aca="false">IFERROR(IF(Months_Ref!$A$7="",0,INDEX(Acct1_Raw!$B$3:$BO$26,MATCH(Months_Ref!$A$7,Acct1_Raw!$A$3:$A$26,0),MATCH($A22,Acct1_Raw!$B$1:$BO$1,0))),0)</f>
        <v>4248.504</v>
      </c>
      <c r="H22" s="4" t="n">
        <f aca="false">IFERROR(IF(Months_Ref!$A$2="",0,INDEX(Acct2_Raw!$B$3:$BO$26,MATCH(Months_Ref!$A$2,Acct2_Raw!$A$3:$A$26,0),MATCH($A22,Acct2_Raw!$B$1:$BO$1,0))),0)</f>
        <v>7967.424</v>
      </c>
      <c r="I22" s="4" t="n">
        <f aca="false">IFERROR(IF(Months_Ref!$A$3="",0,INDEX(Acct2_Raw!$B$3:$BO$26,MATCH(Months_Ref!$A$3,Acct2_Raw!$A$3:$A$26,0),MATCH($A22,Acct2_Raw!$B$1:$BO$1,0))),0)</f>
        <v>6790.932</v>
      </c>
      <c r="J22" s="4" t="n">
        <f aca="false">IFERROR(IF(Months_Ref!$A$4="",0,INDEX(Acct2_Raw!$B$3:$BO$26,MATCH(Months_Ref!$A$4,Acct2_Raw!$A$3:$A$26,0),MATCH($A22,Acct2_Raw!$B$1:$BO$1,0))),0)</f>
        <v>6863.146</v>
      </c>
      <c r="K22" s="4" t="n">
        <f aca="false">IFERROR(IF(Months_Ref!$A$5="",0,INDEX(Acct2_Raw!$B$3:$BO$26,MATCH(Months_Ref!$A$5,Acct2_Raw!$A$3:$A$26,0),MATCH($A22,Acct2_Raw!$B$1:$BO$1,0))),0)</f>
        <v>8061.765</v>
      </c>
      <c r="L22" s="4" t="n">
        <f aca="false">IFERROR(IF(Months_Ref!$A$6="",0,INDEX(Acct2_Raw!$B$3:$BO$26,MATCH(Months_Ref!$A$6,Acct2_Raw!$A$3:$A$26,0),MATCH($A22,Acct2_Raw!$B$1:$BO$1,0))),0)</f>
        <v>7116.244</v>
      </c>
      <c r="M22" s="4" t="n">
        <f aca="false">IFERROR(IF(Months_Ref!$A$7="",0,INDEX(Acct2_Raw!$B$3:$BO$26,MATCH(Months_Ref!$A$7,Acct2_Raw!$A$3:$A$26,0),MATCH($A22,Acct2_Raw!$B$1:$BO$1,0))),0)</f>
        <v>8175.512</v>
      </c>
      <c r="N22" s="4" t="n">
        <f aca="false">B22+H22</f>
        <v>11643.541</v>
      </c>
      <c r="O22" s="4" t="n">
        <f aca="false">C22+I22</f>
        <v>11579.514</v>
      </c>
      <c r="P22" s="4" t="n">
        <f aca="false">D22+J22</f>
        <v>11201.728</v>
      </c>
      <c r="Q22" s="4" t="n">
        <f aca="false">E22+K22</f>
        <v>12621.616</v>
      </c>
      <c r="R22" s="4" t="n">
        <f aca="false">F22+L22</f>
        <v>11509.014</v>
      </c>
      <c r="S22" s="4" t="n">
        <f aca="false">G22+M22</f>
        <v>12424.016</v>
      </c>
    </row>
    <row r="23" customFormat="false" ht="15" hidden="false" customHeight="false" outlineLevel="0" collapsed="false">
      <c r="A23" s="3" t="s">
        <v>65</v>
      </c>
      <c r="B23" s="4" t="n">
        <f aca="false">IFERROR(IF(Months_Ref!$A$2="",0,INDEX(Acct1_Raw!$B$3:$BO$26,MATCH(Months_Ref!$A$2,Acct1_Raw!$A$3:$A$26,0),MATCH($A23,Acct1_Raw!$B$1:$BO$1,0))),0)</f>
        <v>12849.606</v>
      </c>
      <c r="C23" s="4" t="n">
        <f aca="false">IFERROR(IF(Months_Ref!$A$3="",0,INDEX(Acct1_Raw!$B$3:$BO$26,MATCH(Months_Ref!$A$3,Acct1_Raw!$A$3:$A$26,0),MATCH($A23,Acct1_Raw!$B$1:$BO$1,0))),0)</f>
        <v>12163.016</v>
      </c>
      <c r="D23" s="4" t="n">
        <f aca="false">IFERROR(IF(Months_Ref!$A$4="",0,INDEX(Acct1_Raw!$B$3:$BO$26,MATCH(Months_Ref!$A$4,Acct1_Raw!$A$3:$A$26,0),MATCH($A23,Acct1_Raw!$B$1:$BO$1,0))),0)</f>
        <v>13806.246</v>
      </c>
      <c r="E23" s="4" t="n">
        <f aca="false">IFERROR(IF(Months_Ref!$A$5="",0,INDEX(Acct1_Raw!$B$3:$BO$26,MATCH(Months_Ref!$A$5,Acct1_Raw!$A$3:$A$26,0),MATCH($A23,Acct1_Raw!$B$1:$BO$1,0))),0)</f>
        <v>10761.261</v>
      </c>
      <c r="F23" s="4" t="n">
        <f aca="false">IFERROR(IF(Months_Ref!$A$6="",0,INDEX(Acct1_Raw!$B$3:$BO$26,MATCH(Months_Ref!$A$6,Acct1_Raw!$A$3:$A$26,0),MATCH($A23,Acct1_Raw!$B$1:$BO$1,0))),0)</f>
        <v>11053.966</v>
      </c>
      <c r="G23" s="4" t="n">
        <f aca="false">IFERROR(IF(Months_Ref!$A$7="",0,INDEX(Acct1_Raw!$B$3:$BO$26,MATCH(Months_Ref!$A$7,Acct1_Raw!$A$3:$A$26,0),MATCH($A23,Acct1_Raw!$B$1:$BO$1,0))),0)</f>
        <v>14365.916</v>
      </c>
      <c r="H23" s="4" t="n">
        <f aca="false">IFERROR(IF(Months_Ref!$A$2="",0,INDEX(Acct2_Raw!$B$3:$BO$26,MATCH(Months_Ref!$A$2,Acct2_Raw!$A$3:$A$26,0),MATCH($A23,Acct2_Raw!$B$1:$BO$1,0))),0)</f>
        <v>13090.782</v>
      </c>
      <c r="I23" s="4" t="n">
        <f aca="false">IFERROR(IF(Months_Ref!$A$3="",0,INDEX(Acct2_Raw!$B$3:$BO$26,MATCH(Months_Ref!$A$3,Acct2_Raw!$A$3:$A$26,0),MATCH($A23,Acct2_Raw!$B$1:$BO$1,0))),0)</f>
        <v>14413.818</v>
      </c>
      <c r="J23" s="4" t="n">
        <f aca="false">IFERROR(IF(Months_Ref!$A$4="",0,INDEX(Acct2_Raw!$B$3:$BO$26,MATCH(Months_Ref!$A$4,Acct2_Raw!$A$3:$A$26,0),MATCH($A23,Acct2_Raw!$B$1:$BO$1,0))),0)</f>
        <v>14765.119</v>
      </c>
      <c r="K23" s="4" t="n">
        <f aca="false">IFERROR(IF(Months_Ref!$A$5="",0,INDEX(Acct2_Raw!$B$3:$BO$26,MATCH(Months_Ref!$A$5,Acct2_Raw!$A$3:$A$26,0),MATCH($A23,Acct2_Raw!$B$1:$BO$1,0))),0)</f>
        <v>12797.589</v>
      </c>
      <c r="L23" s="4" t="n">
        <f aca="false">IFERROR(IF(Months_Ref!$A$6="",0,INDEX(Acct2_Raw!$B$3:$BO$26,MATCH(Months_Ref!$A$6,Acct2_Raw!$A$3:$A$26,0),MATCH($A23,Acct2_Raw!$B$1:$BO$1,0))),0)</f>
        <v>13303.025</v>
      </c>
      <c r="M23" s="4" t="n">
        <f aca="false">IFERROR(IF(Months_Ref!$A$7="",0,INDEX(Acct2_Raw!$B$3:$BO$26,MATCH(Months_Ref!$A$7,Acct2_Raw!$A$3:$A$26,0),MATCH($A23,Acct2_Raw!$B$1:$BO$1,0))),0)</f>
        <v>13517.198</v>
      </c>
      <c r="N23" s="4" t="n">
        <f aca="false">B23+H23</f>
        <v>25940.388</v>
      </c>
      <c r="O23" s="4" t="n">
        <f aca="false">C23+I23</f>
        <v>26576.834</v>
      </c>
      <c r="P23" s="4" t="n">
        <f aca="false">D23+J23</f>
        <v>28571.365</v>
      </c>
      <c r="Q23" s="4" t="n">
        <f aca="false">E23+K23</f>
        <v>23558.85</v>
      </c>
      <c r="R23" s="4" t="n">
        <f aca="false">F23+L23</f>
        <v>24356.991</v>
      </c>
      <c r="S23" s="4" t="n">
        <f aca="false">G23+M23</f>
        <v>27883.114</v>
      </c>
    </row>
    <row r="24" customFormat="false" ht="15" hidden="false" customHeight="false" outlineLevel="0" collapsed="false">
      <c r="A24" s="3" t="s">
        <v>18</v>
      </c>
      <c r="B24" s="4" t="n">
        <f aca="false">IFERROR(IF(Months_Ref!$A$2="",0,INDEX(Acct1_Raw!$B$3:$BO$26,MATCH(Months_Ref!$A$2,Acct1_Raw!$A$3:$A$26,0),MATCH($A24,Acct1_Raw!$B$1:$BO$1,0))),0)</f>
        <v>8378.468</v>
      </c>
      <c r="C24" s="4" t="n">
        <f aca="false">IFERROR(IF(Months_Ref!$A$3="",0,INDEX(Acct1_Raw!$B$3:$BO$26,MATCH(Months_Ref!$A$3,Acct1_Raw!$A$3:$A$26,0),MATCH($A24,Acct1_Raw!$B$1:$BO$1,0))),0)</f>
        <v>10199.873</v>
      </c>
      <c r="D24" s="4" t="n">
        <f aca="false">IFERROR(IF(Months_Ref!$A$4="",0,INDEX(Acct1_Raw!$B$3:$BO$26,MATCH(Months_Ref!$A$4,Acct1_Raw!$A$3:$A$26,0),MATCH($A24,Acct1_Raw!$B$1:$BO$1,0))),0)</f>
        <v>8090.437</v>
      </c>
      <c r="E24" s="4" t="n">
        <f aca="false">IFERROR(IF(Months_Ref!$A$5="",0,INDEX(Acct1_Raw!$B$3:$BO$26,MATCH(Months_Ref!$A$5,Acct1_Raw!$A$3:$A$26,0),MATCH($A24,Acct1_Raw!$B$1:$BO$1,0))),0)</f>
        <v>8291.644</v>
      </c>
      <c r="F24" s="4" t="n">
        <f aca="false">IFERROR(IF(Months_Ref!$A$6="",0,INDEX(Acct1_Raw!$B$3:$BO$26,MATCH(Months_Ref!$A$6,Acct1_Raw!$A$3:$A$26,0),MATCH($A24,Acct1_Raw!$B$1:$BO$1,0))),0)</f>
        <v>8146.497</v>
      </c>
      <c r="G24" s="4" t="n">
        <f aca="false">IFERROR(IF(Months_Ref!$A$7="",0,INDEX(Acct1_Raw!$B$3:$BO$26,MATCH(Months_Ref!$A$7,Acct1_Raw!$A$3:$A$26,0),MATCH($A24,Acct1_Raw!$B$1:$BO$1,0))),0)</f>
        <v>9587.607</v>
      </c>
      <c r="H24" s="4" t="n">
        <f aca="false">IFERROR(IF(Months_Ref!$A$2="",0,INDEX(Acct2_Raw!$B$3:$BO$26,MATCH(Months_Ref!$A$2,Acct2_Raw!$A$3:$A$26,0),MATCH($A24,Acct2_Raw!$B$1:$BO$1,0))),0)</f>
        <v>13331.391</v>
      </c>
      <c r="I24" s="4" t="n">
        <f aca="false">IFERROR(IF(Months_Ref!$A$3="",0,INDEX(Acct2_Raw!$B$3:$BO$26,MATCH(Months_Ref!$A$3,Acct2_Raw!$A$3:$A$26,0),MATCH($A24,Acct2_Raw!$B$1:$BO$1,0))),0)</f>
        <v>12849.22</v>
      </c>
      <c r="J24" s="4" t="n">
        <f aca="false">IFERROR(IF(Months_Ref!$A$4="",0,INDEX(Acct2_Raw!$B$3:$BO$26,MATCH(Months_Ref!$A$4,Acct2_Raw!$A$3:$A$26,0),MATCH($A24,Acct2_Raw!$B$1:$BO$1,0))),0)</f>
        <v>15107.134</v>
      </c>
      <c r="K24" s="4" t="n">
        <f aca="false">IFERROR(IF(Months_Ref!$A$5="",0,INDEX(Acct2_Raw!$B$3:$BO$26,MATCH(Months_Ref!$A$5,Acct2_Raw!$A$3:$A$26,0),MATCH($A24,Acct2_Raw!$B$1:$BO$1,0))),0)</f>
        <v>14060.159</v>
      </c>
      <c r="L24" s="4" t="n">
        <f aca="false">IFERROR(IF(Months_Ref!$A$6="",0,INDEX(Acct2_Raw!$B$3:$BO$26,MATCH(Months_Ref!$A$6,Acct2_Raw!$A$3:$A$26,0),MATCH($A24,Acct2_Raw!$B$1:$BO$1,0))),0)</f>
        <v>12775.282</v>
      </c>
      <c r="M24" s="4" t="n">
        <f aca="false">IFERROR(IF(Months_Ref!$A$7="",0,INDEX(Acct2_Raw!$B$3:$BO$26,MATCH(Months_Ref!$A$7,Acct2_Raw!$A$3:$A$26,0),MATCH($A24,Acct2_Raw!$B$1:$BO$1,0))),0)</f>
        <v>15251.639</v>
      </c>
      <c r="N24" s="4" t="n">
        <f aca="false">B24+H24</f>
        <v>21709.859</v>
      </c>
      <c r="O24" s="4" t="n">
        <f aca="false">C24+I24</f>
        <v>23049.093</v>
      </c>
      <c r="P24" s="4" t="n">
        <f aca="false">D24+J24</f>
        <v>23197.571</v>
      </c>
      <c r="Q24" s="4" t="n">
        <f aca="false">E24+K24</f>
        <v>22351.803</v>
      </c>
      <c r="R24" s="4" t="n">
        <f aca="false">F24+L24</f>
        <v>20921.779</v>
      </c>
      <c r="S24" s="4" t="n">
        <f aca="false">G24+M24</f>
        <v>24839.246</v>
      </c>
    </row>
    <row r="25" customFormat="false" ht="15" hidden="false" customHeight="false" outlineLevel="0" collapsed="false">
      <c r="A25" s="3" t="s">
        <v>12</v>
      </c>
      <c r="B25" s="4" t="n">
        <f aca="false">IFERROR(IF(Months_Ref!$A$2="",0,INDEX(Acct1_Raw!$B$3:$BO$26,MATCH(Months_Ref!$A$2,Acct1_Raw!$A$3:$A$26,0),MATCH($A25,Acct1_Raw!$B$1:$BO$1,0))),0)</f>
        <v>8482.27</v>
      </c>
      <c r="C25" s="4" t="n">
        <f aca="false">IFERROR(IF(Months_Ref!$A$3="",0,INDEX(Acct1_Raw!$B$3:$BO$26,MATCH(Months_Ref!$A$3,Acct1_Raw!$A$3:$A$26,0),MATCH($A25,Acct1_Raw!$B$1:$BO$1,0))),0)</f>
        <v>8740.636</v>
      </c>
      <c r="D25" s="4" t="n">
        <f aca="false">IFERROR(IF(Months_Ref!$A$4="",0,INDEX(Acct1_Raw!$B$3:$BO$26,MATCH(Months_Ref!$A$4,Acct1_Raw!$A$3:$A$26,0),MATCH($A25,Acct1_Raw!$B$1:$BO$1,0))),0)</f>
        <v>6749.534</v>
      </c>
      <c r="E25" s="4" t="n">
        <f aca="false">IFERROR(IF(Months_Ref!$A$5="",0,INDEX(Acct1_Raw!$B$3:$BO$26,MATCH(Months_Ref!$A$5,Acct1_Raw!$A$3:$A$26,0),MATCH($A25,Acct1_Raw!$B$1:$BO$1,0))),0)</f>
        <v>7006.277</v>
      </c>
      <c r="F25" s="4" t="n">
        <f aca="false">IFERROR(IF(Months_Ref!$A$6="",0,INDEX(Acct1_Raw!$B$3:$BO$26,MATCH(Months_Ref!$A$6,Acct1_Raw!$A$3:$A$26,0),MATCH($A25,Acct1_Raw!$B$1:$BO$1,0))),0)</f>
        <v>7665.162</v>
      </c>
      <c r="G25" s="4" t="n">
        <f aca="false">IFERROR(IF(Months_Ref!$A$7="",0,INDEX(Acct1_Raw!$B$3:$BO$26,MATCH(Months_Ref!$A$7,Acct1_Raw!$A$3:$A$26,0),MATCH($A25,Acct1_Raw!$B$1:$BO$1,0))),0)</f>
        <v>6958.756</v>
      </c>
      <c r="H25" s="4" t="n">
        <f aca="false">IFERROR(IF(Months_Ref!$A$2="",0,INDEX(Acct2_Raw!$B$3:$BO$26,MATCH(Months_Ref!$A$2,Acct2_Raw!$A$3:$A$26,0),MATCH($A25,Acct2_Raw!$B$1:$BO$1,0))),0)</f>
        <v>9124.385</v>
      </c>
      <c r="I25" s="4" t="n">
        <f aca="false">IFERROR(IF(Months_Ref!$A$3="",0,INDEX(Acct2_Raw!$B$3:$BO$26,MATCH(Months_Ref!$A$3,Acct2_Raw!$A$3:$A$26,0),MATCH($A25,Acct2_Raw!$B$1:$BO$1,0))),0)</f>
        <v>7779.739</v>
      </c>
      <c r="J25" s="4" t="n">
        <f aca="false">IFERROR(IF(Months_Ref!$A$4="",0,INDEX(Acct2_Raw!$B$3:$BO$26,MATCH(Months_Ref!$A$4,Acct2_Raw!$A$3:$A$26,0),MATCH($A25,Acct2_Raw!$B$1:$BO$1,0))),0)</f>
        <v>6905.741</v>
      </c>
      <c r="K25" s="4" t="n">
        <f aca="false">IFERROR(IF(Months_Ref!$A$5="",0,INDEX(Acct2_Raw!$B$3:$BO$26,MATCH(Months_Ref!$A$5,Acct2_Raw!$A$3:$A$26,0),MATCH($A25,Acct2_Raw!$B$1:$BO$1,0))),0)</f>
        <v>7984.761</v>
      </c>
      <c r="L25" s="4" t="n">
        <f aca="false">IFERROR(IF(Months_Ref!$A$6="",0,INDEX(Acct2_Raw!$B$3:$BO$26,MATCH(Months_Ref!$A$6,Acct2_Raw!$A$3:$A$26,0),MATCH($A25,Acct2_Raw!$B$1:$BO$1,0))),0)</f>
        <v>9110.288</v>
      </c>
      <c r="M25" s="4" t="n">
        <f aca="false">IFERROR(IF(Months_Ref!$A$7="",0,INDEX(Acct2_Raw!$B$3:$BO$26,MATCH(Months_Ref!$A$7,Acct2_Raw!$A$3:$A$26,0),MATCH($A25,Acct2_Raw!$B$1:$BO$1,0))),0)</f>
        <v>7703.772</v>
      </c>
      <c r="N25" s="4" t="n">
        <f aca="false">B25+H25</f>
        <v>17606.655</v>
      </c>
      <c r="O25" s="4" t="n">
        <f aca="false">C25+I25</f>
        <v>16520.375</v>
      </c>
      <c r="P25" s="4" t="n">
        <f aca="false">D25+J25</f>
        <v>13655.275</v>
      </c>
      <c r="Q25" s="4" t="n">
        <f aca="false">E25+K25</f>
        <v>14991.038</v>
      </c>
      <c r="R25" s="4" t="n">
        <f aca="false">F25+L25</f>
        <v>16775.45</v>
      </c>
      <c r="S25" s="4" t="n">
        <f aca="false">G25+M25</f>
        <v>14662.528</v>
      </c>
    </row>
    <row r="26" customFormat="false" ht="15" hidden="false" customHeight="false" outlineLevel="0" collapsed="false">
      <c r="A26" s="3" t="s">
        <v>5</v>
      </c>
      <c r="B26" s="4" t="n">
        <f aca="false">IFERROR(IF(Months_Ref!$A$2="",0,INDEX(Acct1_Raw!$B$3:$BO$26,MATCH(Months_Ref!$A$2,Acct1_Raw!$A$3:$A$26,0),MATCH($A26,Acct1_Raw!$B$1:$BO$1,0))),0)</f>
        <v>9642.334</v>
      </c>
      <c r="C26" s="4" t="n">
        <f aca="false">IFERROR(IF(Months_Ref!$A$3="",0,INDEX(Acct1_Raw!$B$3:$BO$26,MATCH(Months_Ref!$A$3,Acct1_Raw!$A$3:$A$26,0),MATCH($A26,Acct1_Raw!$B$1:$BO$1,0))),0)</f>
        <v>12231.798</v>
      </c>
      <c r="D26" s="4" t="n">
        <f aca="false">IFERROR(IF(Months_Ref!$A$4="",0,INDEX(Acct1_Raw!$B$3:$BO$26,MATCH(Months_Ref!$A$4,Acct1_Raw!$A$3:$A$26,0),MATCH($A26,Acct1_Raw!$B$1:$BO$1,0))),0)</f>
        <v>11584.934</v>
      </c>
      <c r="E26" s="4" t="n">
        <f aca="false">IFERROR(IF(Months_Ref!$A$5="",0,INDEX(Acct1_Raw!$B$3:$BO$26,MATCH(Months_Ref!$A$5,Acct1_Raw!$A$3:$A$26,0),MATCH($A26,Acct1_Raw!$B$1:$BO$1,0))),0)</f>
        <v>12309.769</v>
      </c>
      <c r="F26" s="4" t="n">
        <f aca="false">IFERROR(IF(Months_Ref!$A$6="",0,INDEX(Acct1_Raw!$B$3:$BO$26,MATCH(Months_Ref!$A$6,Acct1_Raw!$A$3:$A$26,0),MATCH($A26,Acct1_Raw!$B$1:$BO$1,0))),0)</f>
        <v>10881.274</v>
      </c>
      <c r="G26" s="4" t="n">
        <f aca="false">IFERROR(IF(Months_Ref!$A$7="",0,INDEX(Acct1_Raw!$B$3:$BO$26,MATCH(Months_Ref!$A$7,Acct1_Raw!$A$3:$A$26,0),MATCH($A26,Acct1_Raw!$B$1:$BO$1,0))),0)</f>
        <v>10180.665</v>
      </c>
      <c r="H26" s="4" t="n">
        <f aca="false">IFERROR(IF(Months_Ref!$A$2="",0,INDEX(Acct2_Raw!$B$3:$BO$26,MATCH(Months_Ref!$A$2,Acct2_Raw!$A$3:$A$26,0),MATCH($A26,Acct2_Raw!$B$1:$BO$1,0))),0)</f>
        <v>5133.419</v>
      </c>
      <c r="I26" s="4" t="n">
        <f aca="false">IFERROR(IF(Months_Ref!$A$3="",0,INDEX(Acct2_Raw!$B$3:$BO$26,MATCH(Months_Ref!$A$3,Acct2_Raw!$A$3:$A$26,0),MATCH($A26,Acct2_Raw!$B$1:$BO$1,0))),0)</f>
        <v>5149.737</v>
      </c>
      <c r="J26" s="4" t="n">
        <f aca="false">IFERROR(IF(Months_Ref!$A$4="",0,INDEX(Acct2_Raw!$B$3:$BO$26,MATCH(Months_Ref!$A$4,Acct2_Raw!$A$3:$A$26,0),MATCH($A26,Acct2_Raw!$B$1:$BO$1,0))),0)</f>
        <v>4553.487</v>
      </c>
      <c r="K26" s="4" t="n">
        <f aca="false">IFERROR(IF(Months_Ref!$A$5="",0,INDEX(Acct2_Raw!$B$3:$BO$26,MATCH(Months_Ref!$A$5,Acct2_Raw!$A$3:$A$26,0),MATCH($A26,Acct2_Raw!$B$1:$BO$1,0))),0)</f>
        <v>5139.045</v>
      </c>
      <c r="L26" s="4" t="n">
        <f aca="false">IFERROR(IF(Months_Ref!$A$6="",0,INDEX(Acct2_Raw!$B$3:$BO$26,MATCH(Months_Ref!$A$6,Acct2_Raw!$A$3:$A$26,0),MATCH($A26,Acct2_Raw!$B$1:$BO$1,0))),0)</f>
        <v>5282.063</v>
      </c>
      <c r="M26" s="4" t="n">
        <f aca="false">IFERROR(IF(Months_Ref!$A$7="",0,INDEX(Acct2_Raw!$B$3:$BO$26,MATCH(Months_Ref!$A$7,Acct2_Raw!$A$3:$A$26,0),MATCH($A26,Acct2_Raw!$B$1:$BO$1,0))),0)</f>
        <v>5755.123</v>
      </c>
      <c r="N26" s="4" t="n">
        <f aca="false">B26+H26</f>
        <v>14775.753</v>
      </c>
      <c r="O26" s="4" t="n">
        <f aca="false">C26+I26</f>
        <v>17381.535</v>
      </c>
      <c r="P26" s="4" t="n">
        <f aca="false">D26+J26</f>
        <v>16138.421</v>
      </c>
      <c r="Q26" s="4" t="n">
        <f aca="false">E26+K26</f>
        <v>17448.814</v>
      </c>
      <c r="R26" s="4" t="n">
        <f aca="false">F26+L26</f>
        <v>16163.337</v>
      </c>
      <c r="S26" s="4" t="n">
        <f aca="false">G26+M26</f>
        <v>15935.788</v>
      </c>
    </row>
    <row r="27" customFormat="false" ht="15" hidden="false" customHeight="false" outlineLevel="0" collapsed="false">
      <c r="A27" s="3" t="s">
        <v>16</v>
      </c>
      <c r="B27" s="4" t="n">
        <f aca="false">IFERROR(IF(Months_Ref!$A$2="",0,INDEX(Acct1_Raw!$B$3:$BO$26,MATCH(Months_Ref!$A$2,Acct1_Raw!$A$3:$A$26,0),MATCH($A27,Acct1_Raw!$B$1:$BO$1,0))),0)</f>
        <v>8786.612</v>
      </c>
      <c r="C27" s="4" t="n">
        <f aca="false">IFERROR(IF(Months_Ref!$A$3="",0,INDEX(Acct1_Raw!$B$3:$BO$26,MATCH(Months_Ref!$A$3,Acct1_Raw!$A$3:$A$26,0),MATCH($A27,Acct1_Raw!$B$1:$BO$1,0))),0)</f>
        <v>8029.773</v>
      </c>
      <c r="D27" s="4" t="n">
        <f aca="false">IFERROR(IF(Months_Ref!$A$4="",0,INDEX(Acct1_Raw!$B$3:$BO$26,MATCH(Months_Ref!$A$4,Acct1_Raw!$A$3:$A$26,0),MATCH($A27,Acct1_Raw!$B$1:$BO$1,0))),0)</f>
        <v>8478.127</v>
      </c>
      <c r="E27" s="4" t="n">
        <f aca="false">IFERROR(IF(Months_Ref!$A$5="",0,INDEX(Acct1_Raw!$B$3:$BO$26,MATCH(Months_Ref!$A$5,Acct1_Raw!$A$3:$A$26,0),MATCH($A27,Acct1_Raw!$B$1:$BO$1,0))),0)</f>
        <v>9118.082</v>
      </c>
      <c r="F27" s="4" t="n">
        <f aca="false">IFERROR(IF(Months_Ref!$A$6="",0,INDEX(Acct1_Raw!$B$3:$BO$26,MATCH(Months_Ref!$A$6,Acct1_Raw!$A$3:$A$26,0),MATCH($A27,Acct1_Raw!$B$1:$BO$1,0))),0)</f>
        <v>8838.907</v>
      </c>
      <c r="G27" s="4" t="n">
        <f aca="false">IFERROR(IF(Months_Ref!$A$7="",0,INDEX(Acct1_Raw!$B$3:$BO$26,MATCH(Months_Ref!$A$7,Acct1_Raw!$A$3:$A$26,0),MATCH($A27,Acct1_Raw!$B$1:$BO$1,0))),0)</f>
        <v>8701.766</v>
      </c>
      <c r="H27" s="4" t="n">
        <f aca="false">IFERROR(IF(Months_Ref!$A$2="",0,INDEX(Acct2_Raw!$B$3:$BO$26,MATCH(Months_Ref!$A$2,Acct2_Raw!$A$3:$A$26,0),MATCH($A27,Acct2_Raw!$B$1:$BO$1,0))),0)</f>
        <v>4912.813</v>
      </c>
      <c r="I27" s="4" t="n">
        <f aca="false">IFERROR(IF(Months_Ref!$A$3="",0,INDEX(Acct2_Raw!$B$3:$BO$26,MATCH(Months_Ref!$A$3,Acct2_Raw!$A$3:$A$26,0),MATCH($A27,Acct2_Raw!$B$1:$BO$1,0))),0)</f>
        <v>4420.502</v>
      </c>
      <c r="J27" s="4" t="n">
        <f aca="false">IFERROR(IF(Months_Ref!$A$4="",0,INDEX(Acct2_Raw!$B$3:$BO$26,MATCH(Months_Ref!$A$4,Acct2_Raw!$A$3:$A$26,0),MATCH($A27,Acct2_Raw!$B$1:$BO$1,0))),0)</f>
        <v>4774.336</v>
      </c>
      <c r="K27" s="4" t="n">
        <f aca="false">IFERROR(IF(Months_Ref!$A$5="",0,INDEX(Acct2_Raw!$B$3:$BO$26,MATCH(Months_Ref!$A$5,Acct2_Raw!$A$3:$A$26,0),MATCH($A27,Acct2_Raw!$B$1:$BO$1,0))),0)</f>
        <v>4126.654</v>
      </c>
      <c r="L27" s="4" t="n">
        <f aca="false">IFERROR(IF(Months_Ref!$A$6="",0,INDEX(Acct2_Raw!$B$3:$BO$26,MATCH(Months_Ref!$A$6,Acct2_Raw!$A$3:$A$26,0),MATCH($A27,Acct2_Raw!$B$1:$BO$1,0))),0)</f>
        <v>5215.535</v>
      </c>
      <c r="M27" s="4" t="n">
        <f aca="false">IFERROR(IF(Months_Ref!$A$7="",0,INDEX(Acct2_Raw!$B$3:$BO$26,MATCH(Months_Ref!$A$7,Acct2_Raw!$A$3:$A$26,0),MATCH($A27,Acct2_Raw!$B$1:$BO$1,0))),0)</f>
        <v>4898.09</v>
      </c>
      <c r="N27" s="4" t="n">
        <f aca="false">B27+H27</f>
        <v>13699.425</v>
      </c>
      <c r="O27" s="4" t="n">
        <f aca="false">C27+I27</f>
        <v>12450.275</v>
      </c>
      <c r="P27" s="4" t="n">
        <f aca="false">D27+J27</f>
        <v>13252.463</v>
      </c>
      <c r="Q27" s="4" t="n">
        <f aca="false">E27+K27</f>
        <v>13244.736</v>
      </c>
      <c r="R27" s="4" t="n">
        <f aca="false">F27+L27</f>
        <v>14054.442</v>
      </c>
      <c r="S27" s="4" t="n">
        <f aca="false">G27+M27</f>
        <v>13599.856</v>
      </c>
    </row>
    <row r="28" customFormat="false" ht="15" hidden="false" customHeight="false" outlineLevel="0" collapsed="false">
      <c r="A28" s="3" t="s">
        <v>14</v>
      </c>
      <c r="B28" s="4" t="n">
        <f aca="false">IFERROR(IF(Months_Ref!$A$2="",0,INDEX(Acct1_Raw!$B$3:$BO$26,MATCH(Months_Ref!$A$2,Acct1_Raw!$A$3:$A$26,0),MATCH($A28,Acct1_Raw!$B$1:$BO$1,0))),0)</f>
        <v>2797.88</v>
      </c>
      <c r="C28" s="4" t="n">
        <f aca="false">IFERROR(IF(Months_Ref!$A$3="",0,INDEX(Acct1_Raw!$B$3:$BO$26,MATCH(Months_Ref!$A$3,Acct1_Raw!$A$3:$A$26,0),MATCH($A28,Acct1_Raw!$B$1:$BO$1,0))),0)</f>
        <v>3323.686</v>
      </c>
      <c r="D28" s="4" t="n">
        <f aca="false">IFERROR(IF(Months_Ref!$A$4="",0,INDEX(Acct1_Raw!$B$3:$BO$26,MATCH(Months_Ref!$A$4,Acct1_Raw!$A$3:$A$26,0),MATCH($A28,Acct1_Raw!$B$1:$BO$1,0))),0)</f>
        <v>3111.583</v>
      </c>
      <c r="E28" s="4" t="n">
        <f aca="false">IFERROR(IF(Months_Ref!$A$5="",0,INDEX(Acct1_Raw!$B$3:$BO$26,MATCH(Months_Ref!$A$5,Acct1_Raw!$A$3:$A$26,0),MATCH($A28,Acct1_Raw!$B$1:$BO$1,0))),0)</f>
        <v>2780.727</v>
      </c>
      <c r="F28" s="4" t="n">
        <f aca="false">IFERROR(IF(Months_Ref!$A$6="",0,INDEX(Acct1_Raw!$B$3:$BO$26,MATCH(Months_Ref!$A$6,Acct1_Raw!$A$3:$A$26,0),MATCH($A28,Acct1_Raw!$B$1:$BO$1,0))),0)</f>
        <v>2911.251</v>
      </c>
      <c r="G28" s="4" t="n">
        <f aca="false">IFERROR(IF(Months_Ref!$A$7="",0,INDEX(Acct1_Raw!$B$3:$BO$26,MATCH(Months_Ref!$A$7,Acct1_Raw!$A$3:$A$26,0),MATCH($A28,Acct1_Raw!$B$1:$BO$1,0))),0)</f>
        <v>3434.648</v>
      </c>
      <c r="H28" s="4" t="n">
        <f aca="false">IFERROR(IF(Months_Ref!$A$2="",0,INDEX(Acct2_Raw!$B$3:$BO$26,MATCH(Months_Ref!$A$2,Acct2_Raw!$A$3:$A$26,0),MATCH($A28,Acct2_Raw!$B$1:$BO$1,0))),0)</f>
        <v>3314.026</v>
      </c>
      <c r="I28" s="4" t="n">
        <f aca="false">IFERROR(IF(Months_Ref!$A$3="",0,INDEX(Acct2_Raw!$B$3:$BO$26,MATCH(Months_Ref!$A$3,Acct2_Raw!$A$3:$A$26,0),MATCH($A28,Acct2_Raw!$B$1:$BO$1,0))),0)</f>
        <v>3377.53</v>
      </c>
      <c r="J28" s="4" t="n">
        <f aca="false">IFERROR(IF(Months_Ref!$A$4="",0,INDEX(Acct2_Raw!$B$3:$BO$26,MATCH(Months_Ref!$A$4,Acct2_Raw!$A$3:$A$26,0),MATCH($A28,Acct2_Raw!$B$1:$BO$1,0))),0)</f>
        <v>3319.038</v>
      </c>
      <c r="K28" s="4" t="n">
        <f aca="false">IFERROR(IF(Months_Ref!$A$5="",0,INDEX(Acct2_Raw!$B$3:$BO$26,MATCH(Months_Ref!$A$5,Acct2_Raw!$A$3:$A$26,0),MATCH($A28,Acct2_Raw!$B$1:$BO$1,0))),0)</f>
        <v>4352.396</v>
      </c>
      <c r="L28" s="4" t="n">
        <f aca="false">IFERROR(IF(Months_Ref!$A$6="",0,INDEX(Acct2_Raw!$B$3:$BO$26,MATCH(Months_Ref!$A$6,Acct2_Raw!$A$3:$A$26,0),MATCH($A28,Acct2_Raw!$B$1:$BO$1,0))),0)</f>
        <v>4083.043</v>
      </c>
      <c r="M28" s="4" t="n">
        <f aca="false">IFERROR(IF(Months_Ref!$A$7="",0,INDEX(Acct2_Raw!$B$3:$BO$26,MATCH(Months_Ref!$A$7,Acct2_Raw!$A$3:$A$26,0),MATCH($A28,Acct2_Raw!$B$1:$BO$1,0))),0)</f>
        <v>3905.578</v>
      </c>
      <c r="N28" s="4" t="n">
        <f aca="false">B28+H28</f>
        <v>6111.906</v>
      </c>
      <c r="O28" s="4" t="n">
        <f aca="false">C28+I28</f>
        <v>6701.216</v>
      </c>
      <c r="P28" s="4" t="n">
        <f aca="false">D28+J28</f>
        <v>6430.621</v>
      </c>
      <c r="Q28" s="4" t="n">
        <f aca="false">E28+K28</f>
        <v>7133.123</v>
      </c>
      <c r="R28" s="4" t="n">
        <f aca="false">F28+L28</f>
        <v>6994.294</v>
      </c>
      <c r="S28" s="4" t="n">
        <f aca="false">G28+M28</f>
        <v>7340.226</v>
      </c>
    </row>
    <row r="29" customFormat="false" ht="15" hidden="false" customHeight="false" outlineLevel="0" collapsed="false">
      <c r="A29" s="3" t="s">
        <v>15</v>
      </c>
      <c r="B29" s="4" t="n">
        <f aca="false">IFERROR(IF(Months_Ref!$A$2="",0,INDEX(Acct1_Raw!$B$3:$BO$26,MATCH(Months_Ref!$A$2,Acct1_Raw!$A$3:$A$26,0),MATCH($A29,Acct1_Raw!$B$1:$BO$1,0))),0)</f>
        <v>9898.611</v>
      </c>
      <c r="C29" s="4" t="n">
        <f aca="false">IFERROR(IF(Months_Ref!$A$3="",0,INDEX(Acct1_Raw!$B$3:$BO$26,MATCH(Months_Ref!$A$3,Acct1_Raw!$A$3:$A$26,0),MATCH($A29,Acct1_Raw!$B$1:$BO$1,0))),0)</f>
        <v>9651.228</v>
      </c>
      <c r="D29" s="4" t="n">
        <f aca="false">IFERROR(IF(Months_Ref!$A$4="",0,INDEX(Acct1_Raw!$B$3:$BO$26,MATCH(Months_Ref!$A$4,Acct1_Raw!$A$3:$A$26,0),MATCH($A29,Acct1_Raw!$B$1:$BO$1,0))),0)</f>
        <v>9115.124</v>
      </c>
      <c r="E29" s="4" t="n">
        <f aca="false">IFERROR(IF(Months_Ref!$A$5="",0,INDEX(Acct1_Raw!$B$3:$BO$26,MATCH(Months_Ref!$A$5,Acct1_Raw!$A$3:$A$26,0),MATCH($A29,Acct1_Raw!$B$1:$BO$1,0))),0)</f>
        <v>9279.23</v>
      </c>
      <c r="F29" s="4" t="n">
        <f aca="false">IFERROR(IF(Months_Ref!$A$6="",0,INDEX(Acct1_Raw!$B$3:$BO$26,MATCH(Months_Ref!$A$6,Acct1_Raw!$A$3:$A$26,0),MATCH($A29,Acct1_Raw!$B$1:$BO$1,0))),0)</f>
        <v>10717.846</v>
      </c>
      <c r="G29" s="4" t="n">
        <f aca="false">IFERROR(IF(Months_Ref!$A$7="",0,INDEX(Acct1_Raw!$B$3:$BO$26,MATCH(Months_Ref!$A$7,Acct1_Raw!$A$3:$A$26,0),MATCH($A29,Acct1_Raw!$B$1:$BO$1,0))),0)</f>
        <v>10030.05</v>
      </c>
      <c r="H29" s="4" t="n">
        <f aca="false">IFERROR(IF(Months_Ref!$A$2="",0,INDEX(Acct2_Raw!$B$3:$BO$26,MATCH(Months_Ref!$A$2,Acct2_Raw!$A$3:$A$26,0),MATCH($A29,Acct2_Raw!$B$1:$BO$1,0))),0)</f>
        <v>1514.846</v>
      </c>
      <c r="I29" s="4" t="n">
        <f aca="false">IFERROR(IF(Months_Ref!$A$3="",0,INDEX(Acct2_Raw!$B$3:$BO$26,MATCH(Months_Ref!$A$3,Acct2_Raw!$A$3:$A$26,0),MATCH($A29,Acct2_Raw!$B$1:$BO$1,0))),0)</f>
        <v>1365.381</v>
      </c>
      <c r="J29" s="4" t="n">
        <f aca="false">IFERROR(IF(Months_Ref!$A$4="",0,INDEX(Acct2_Raw!$B$3:$BO$26,MATCH(Months_Ref!$A$4,Acct2_Raw!$A$3:$A$26,0),MATCH($A29,Acct2_Raw!$B$1:$BO$1,0))),0)</f>
        <v>1733.295</v>
      </c>
      <c r="K29" s="4" t="n">
        <f aca="false">IFERROR(IF(Months_Ref!$A$5="",0,INDEX(Acct2_Raw!$B$3:$BO$26,MATCH(Months_Ref!$A$5,Acct2_Raw!$A$3:$A$26,0),MATCH($A29,Acct2_Raw!$B$1:$BO$1,0))),0)</f>
        <v>1492.167</v>
      </c>
      <c r="L29" s="4" t="n">
        <f aca="false">IFERROR(IF(Months_Ref!$A$6="",0,INDEX(Acct2_Raw!$B$3:$BO$26,MATCH(Months_Ref!$A$6,Acct2_Raw!$A$3:$A$26,0),MATCH($A29,Acct2_Raw!$B$1:$BO$1,0))),0)</f>
        <v>1776.018</v>
      </c>
      <c r="M29" s="4" t="n">
        <f aca="false">IFERROR(IF(Months_Ref!$A$7="",0,INDEX(Acct2_Raw!$B$3:$BO$26,MATCH(Months_Ref!$A$7,Acct2_Raw!$A$3:$A$26,0),MATCH($A29,Acct2_Raw!$B$1:$BO$1,0))),0)</f>
        <v>1557.068</v>
      </c>
      <c r="N29" s="4" t="n">
        <f aca="false">B29+H29</f>
        <v>11413.457</v>
      </c>
      <c r="O29" s="4" t="n">
        <f aca="false">C29+I29</f>
        <v>11016.609</v>
      </c>
      <c r="P29" s="4" t="n">
        <f aca="false">D29+J29</f>
        <v>10848.419</v>
      </c>
      <c r="Q29" s="4" t="n">
        <f aca="false">E29+K29</f>
        <v>10771.397</v>
      </c>
      <c r="R29" s="4" t="n">
        <f aca="false">F29+L29</f>
        <v>12493.864</v>
      </c>
      <c r="S29" s="4" t="n">
        <f aca="false">G29+M29</f>
        <v>11587.118</v>
      </c>
    </row>
    <row r="30" customFormat="false" ht="15" hidden="false" customHeight="false" outlineLevel="0" collapsed="false">
      <c r="A30" s="3" t="s">
        <v>24</v>
      </c>
      <c r="B30" s="4" t="n">
        <f aca="false">IFERROR(IF(Months_Ref!$A$2="",0,INDEX(Acct1_Raw!$B$3:$BO$26,MATCH(Months_Ref!$A$2,Acct1_Raw!$A$3:$A$26,0),MATCH($A30,Acct1_Raw!$B$1:$BO$1,0))),0)</f>
        <v>2217.052</v>
      </c>
      <c r="C30" s="4" t="n">
        <f aca="false">IFERROR(IF(Months_Ref!$A$3="",0,INDEX(Acct1_Raw!$B$3:$BO$26,MATCH(Months_Ref!$A$3,Acct1_Raw!$A$3:$A$26,0),MATCH($A30,Acct1_Raw!$B$1:$BO$1,0))),0)</f>
        <v>2474.05</v>
      </c>
      <c r="D30" s="4" t="n">
        <f aca="false">IFERROR(IF(Months_Ref!$A$4="",0,INDEX(Acct1_Raw!$B$3:$BO$26,MATCH(Months_Ref!$A$4,Acct1_Raw!$A$3:$A$26,0),MATCH($A30,Acct1_Raw!$B$1:$BO$1,0))),0)</f>
        <v>2121.064</v>
      </c>
      <c r="E30" s="4" t="n">
        <f aca="false">IFERROR(IF(Months_Ref!$A$5="",0,INDEX(Acct1_Raw!$B$3:$BO$26,MATCH(Months_Ref!$A$5,Acct1_Raw!$A$3:$A$26,0),MATCH($A30,Acct1_Raw!$B$1:$BO$1,0))),0)</f>
        <v>2137.77</v>
      </c>
      <c r="F30" s="4" t="n">
        <f aca="false">IFERROR(IF(Months_Ref!$A$6="",0,INDEX(Acct1_Raw!$B$3:$BO$26,MATCH(Months_Ref!$A$6,Acct1_Raw!$A$3:$A$26,0),MATCH($A30,Acct1_Raw!$B$1:$BO$1,0))),0)</f>
        <v>2106.948</v>
      </c>
      <c r="G30" s="4" t="n">
        <f aca="false">IFERROR(IF(Months_Ref!$A$7="",0,INDEX(Acct1_Raw!$B$3:$BO$26,MATCH(Months_Ref!$A$7,Acct1_Raw!$A$3:$A$26,0),MATCH($A30,Acct1_Raw!$B$1:$BO$1,0))),0)</f>
        <v>2745.379</v>
      </c>
      <c r="H30" s="4" t="n">
        <f aca="false">IFERROR(IF(Months_Ref!$A$2="",0,INDEX(Acct2_Raw!$B$3:$BO$26,MATCH(Months_Ref!$A$2,Acct2_Raw!$A$3:$A$26,0),MATCH($A30,Acct2_Raw!$B$1:$BO$1,0))),0)</f>
        <v>14376.949</v>
      </c>
      <c r="I30" s="4" t="n">
        <f aca="false">IFERROR(IF(Months_Ref!$A$3="",0,INDEX(Acct2_Raw!$B$3:$BO$26,MATCH(Months_Ref!$A$3,Acct2_Raw!$A$3:$A$26,0),MATCH($A30,Acct2_Raw!$B$1:$BO$1,0))),0)</f>
        <v>14312.5</v>
      </c>
      <c r="J30" s="4" t="n">
        <f aca="false">IFERROR(IF(Months_Ref!$A$4="",0,INDEX(Acct2_Raw!$B$3:$BO$26,MATCH(Months_Ref!$A$4,Acct2_Raw!$A$3:$A$26,0),MATCH($A30,Acct2_Raw!$B$1:$BO$1,0))),0)</f>
        <v>15196.368</v>
      </c>
      <c r="K30" s="4" t="n">
        <f aca="false">IFERROR(IF(Months_Ref!$A$5="",0,INDEX(Acct2_Raw!$B$3:$BO$26,MATCH(Months_Ref!$A$5,Acct2_Raw!$A$3:$A$26,0),MATCH($A30,Acct2_Raw!$B$1:$BO$1,0))),0)</f>
        <v>15981.724</v>
      </c>
      <c r="L30" s="4" t="n">
        <f aca="false">IFERROR(IF(Months_Ref!$A$6="",0,INDEX(Acct2_Raw!$B$3:$BO$26,MATCH(Months_Ref!$A$6,Acct2_Raw!$A$3:$A$26,0),MATCH($A30,Acct2_Raw!$B$1:$BO$1,0))),0)</f>
        <v>15928.871</v>
      </c>
      <c r="M30" s="4" t="n">
        <f aca="false">IFERROR(IF(Months_Ref!$A$7="",0,INDEX(Acct2_Raw!$B$3:$BO$26,MATCH(Months_Ref!$A$7,Acct2_Raw!$A$3:$A$26,0),MATCH($A30,Acct2_Raw!$B$1:$BO$1,0))),0)</f>
        <v>14907.991</v>
      </c>
      <c r="N30" s="4" t="n">
        <f aca="false">B30+H30</f>
        <v>16594.001</v>
      </c>
      <c r="O30" s="4" t="n">
        <f aca="false">C30+I30</f>
        <v>16786.55</v>
      </c>
      <c r="P30" s="4" t="n">
        <f aca="false">D30+J30</f>
        <v>17317.432</v>
      </c>
      <c r="Q30" s="4" t="n">
        <f aca="false">E30+K30</f>
        <v>18119.494</v>
      </c>
      <c r="R30" s="4" t="n">
        <f aca="false">F30+L30</f>
        <v>18035.819</v>
      </c>
      <c r="S30" s="4" t="n">
        <f aca="false">G30+M30</f>
        <v>17653.37</v>
      </c>
    </row>
    <row r="31" customFormat="false" ht="15" hidden="false" customHeight="false" outlineLevel="0" collapsed="false">
      <c r="A31" s="3" t="s">
        <v>13</v>
      </c>
      <c r="B31" s="4" t="n">
        <f aca="false">IFERROR(IF(Months_Ref!$A$2="",0,INDEX(Acct1_Raw!$B$3:$BO$26,MATCH(Months_Ref!$A$2,Acct1_Raw!$A$3:$A$26,0),MATCH($A31,Acct1_Raw!$B$1:$BO$1,0))),0)</f>
        <v>483.963</v>
      </c>
      <c r="C31" s="4" t="n">
        <f aca="false">IFERROR(IF(Months_Ref!$A$3="",0,INDEX(Acct1_Raw!$B$3:$BO$26,MATCH(Months_Ref!$A$3,Acct1_Raw!$A$3:$A$26,0),MATCH($A31,Acct1_Raw!$B$1:$BO$1,0))),0)</f>
        <v>460.491</v>
      </c>
      <c r="D31" s="4" t="n">
        <f aca="false">IFERROR(IF(Months_Ref!$A$4="",0,INDEX(Acct1_Raw!$B$3:$BO$26,MATCH(Months_Ref!$A$4,Acct1_Raw!$A$3:$A$26,0),MATCH($A31,Acct1_Raw!$B$1:$BO$1,0))),0)</f>
        <v>436.985</v>
      </c>
      <c r="E31" s="4" t="n">
        <f aca="false">IFERROR(IF(Months_Ref!$A$5="",0,INDEX(Acct1_Raw!$B$3:$BO$26,MATCH(Months_Ref!$A$5,Acct1_Raw!$A$3:$A$26,0),MATCH($A31,Acct1_Raw!$B$1:$BO$1,0))),0)</f>
        <v>424.595</v>
      </c>
      <c r="F31" s="4" t="n">
        <f aca="false">IFERROR(IF(Months_Ref!$A$6="",0,INDEX(Acct1_Raw!$B$3:$BO$26,MATCH(Months_Ref!$A$6,Acct1_Raw!$A$3:$A$26,0),MATCH($A31,Acct1_Raw!$B$1:$BO$1,0))),0)</f>
        <v>515.143</v>
      </c>
      <c r="G31" s="4" t="n">
        <f aca="false">IFERROR(IF(Months_Ref!$A$7="",0,INDEX(Acct1_Raw!$B$3:$BO$26,MATCH(Months_Ref!$A$7,Acct1_Raw!$A$3:$A$26,0),MATCH($A31,Acct1_Raw!$B$1:$BO$1,0))),0)</f>
        <v>483.518</v>
      </c>
      <c r="H31" s="4" t="n">
        <f aca="false">IFERROR(IF(Months_Ref!$A$2="",0,INDEX(Acct2_Raw!$B$3:$BO$26,MATCH(Months_Ref!$A$2,Acct2_Raw!$A$3:$A$26,0),MATCH($A31,Acct2_Raw!$B$1:$BO$1,0))),0)</f>
        <v>718.748</v>
      </c>
      <c r="I31" s="4" t="n">
        <f aca="false">IFERROR(IF(Months_Ref!$A$3="",0,INDEX(Acct2_Raw!$B$3:$BO$26,MATCH(Months_Ref!$A$3,Acct2_Raw!$A$3:$A$26,0),MATCH($A31,Acct2_Raw!$B$1:$BO$1,0))),0)</f>
        <v>678.232</v>
      </c>
      <c r="J31" s="4" t="n">
        <f aca="false">IFERROR(IF(Months_Ref!$A$4="",0,INDEX(Acct2_Raw!$B$3:$BO$26,MATCH(Months_Ref!$A$4,Acct2_Raw!$A$3:$A$26,0),MATCH($A31,Acct2_Raw!$B$1:$BO$1,0))),0)</f>
        <v>763.133</v>
      </c>
      <c r="K31" s="4" t="n">
        <f aca="false">IFERROR(IF(Months_Ref!$A$5="",0,INDEX(Acct2_Raw!$B$3:$BO$26,MATCH(Months_Ref!$A$5,Acct2_Raw!$A$3:$A$26,0),MATCH($A31,Acct2_Raw!$B$1:$BO$1,0))),0)</f>
        <v>774.68</v>
      </c>
      <c r="L31" s="4" t="n">
        <f aca="false">IFERROR(IF(Months_Ref!$A$6="",0,INDEX(Acct2_Raw!$B$3:$BO$26,MATCH(Months_Ref!$A$6,Acct2_Raw!$A$3:$A$26,0),MATCH($A31,Acct2_Raw!$B$1:$BO$1,0))),0)</f>
        <v>761.958</v>
      </c>
      <c r="M31" s="4" t="n">
        <f aca="false">IFERROR(IF(Months_Ref!$A$7="",0,INDEX(Acct2_Raw!$B$3:$BO$26,MATCH(Months_Ref!$A$7,Acct2_Raw!$A$3:$A$26,0),MATCH($A31,Acct2_Raw!$B$1:$BO$1,0))),0)</f>
        <v>729.75</v>
      </c>
      <c r="N31" s="4" t="n">
        <f aca="false">B31+H31</f>
        <v>1202.711</v>
      </c>
      <c r="O31" s="4" t="n">
        <f aca="false">C31+I31</f>
        <v>1138.723</v>
      </c>
      <c r="P31" s="4" t="n">
        <f aca="false">D31+J31</f>
        <v>1200.118</v>
      </c>
      <c r="Q31" s="4" t="n">
        <f aca="false">E31+K31</f>
        <v>1199.275</v>
      </c>
      <c r="R31" s="4" t="n">
        <f aca="false">F31+L31</f>
        <v>1277.101</v>
      </c>
      <c r="S31" s="4" t="n">
        <f aca="false">G31+M31</f>
        <v>1213.268</v>
      </c>
    </row>
    <row r="32" customFormat="false" ht="15" hidden="false" customHeight="false" outlineLevel="0" collapsed="false">
      <c r="A32" s="3" t="s">
        <v>59</v>
      </c>
      <c r="B32" s="4" t="n">
        <f aca="false">IFERROR(IF(Months_Ref!$A$2="",0,INDEX(Acct1_Raw!$B$3:$BO$26,MATCH(Months_Ref!$A$2,Acct1_Raw!$A$3:$A$26,0),MATCH($A32,Acct1_Raw!$B$1:$BO$1,0))),0)</f>
        <v>2475.295</v>
      </c>
      <c r="C32" s="4" t="n">
        <f aca="false">IFERROR(IF(Months_Ref!$A$3="",0,INDEX(Acct1_Raw!$B$3:$BO$26,MATCH(Months_Ref!$A$3,Acct1_Raw!$A$3:$A$26,0),MATCH($A32,Acct1_Raw!$B$1:$BO$1,0))),0)</f>
        <v>2210.201</v>
      </c>
      <c r="D32" s="4" t="n">
        <f aca="false">IFERROR(IF(Months_Ref!$A$4="",0,INDEX(Acct1_Raw!$B$3:$BO$26,MATCH(Months_Ref!$A$4,Acct1_Raw!$A$3:$A$26,0),MATCH($A32,Acct1_Raw!$B$1:$BO$1,0))),0)</f>
        <v>2771.011</v>
      </c>
      <c r="E32" s="4" t="n">
        <f aca="false">IFERROR(IF(Months_Ref!$A$5="",0,INDEX(Acct1_Raw!$B$3:$BO$26,MATCH(Months_Ref!$A$5,Acct1_Raw!$A$3:$A$26,0),MATCH($A32,Acct1_Raw!$B$1:$BO$1,0))),0)</f>
        <v>2869.554</v>
      </c>
      <c r="F32" s="4" t="n">
        <f aca="false">IFERROR(IF(Months_Ref!$A$6="",0,INDEX(Acct1_Raw!$B$3:$BO$26,MATCH(Months_Ref!$A$6,Acct1_Raw!$A$3:$A$26,0),MATCH($A32,Acct1_Raw!$B$1:$BO$1,0))),0)</f>
        <v>2342.496</v>
      </c>
      <c r="G32" s="4" t="n">
        <f aca="false">IFERROR(IF(Months_Ref!$A$7="",0,INDEX(Acct1_Raw!$B$3:$BO$26,MATCH(Months_Ref!$A$7,Acct1_Raw!$A$3:$A$26,0),MATCH($A32,Acct1_Raw!$B$1:$BO$1,0))),0)</f>
        <v>2914.832</v>
      </c>
      <c r="H32" s="4" t="n">
        <f aca="false">IFERROR(IF(Months_Ref!$A$2="",0,INDEX(Acct2_Raw!$B$3:$BO$26,MATCH(Months_Ref!$A$2,Acct2_Raw!$A$3:$A$26,0),MATCH($A32,Acct2_Raw!$B$1:$BO$1,0))),0)</f>
        <v>5719.498</v>
      </c>
      <c r="I32" s="4" t="n">
        <f aca="false">IFERROR(IF(Months_Ref!$A$3="",0,INDEX(Acct2_Raw!$B$3:$BO$26,MATCH(Months_Ref!$A$3,Acct2_Raw!$A$3:$A$26,0),MATCH($A32,Acct2_Raw!$B$1:$BO$1,0))),0)</f>
        <v>6023.96</v>
      </c>
      <c r="J32" s="4" t="n">
        <f aca="false">IFERROR(IF(Months_Ref!$A$4="",0,INDEX(Acct2_Raw!$B$3:$BO$26,MATCH(Months_Ref!$A$4,Acct2_Raw!$A$3:$A$26,0),MATCH($A32,Acct2_Raw!$B$1:$BO$1,0))),0)</f>
        <v>5877.175</v>
      </c>
      <c r="K32" s="4" t="n">
        <f aca="false">IFERROR(IF(Months_Ref!$A$5="",0,INDEX(Acct2_Raw!$B$3:$BO$26,MATCH(Months_Ref!$A$5,Acct2_Raw!$A$3:$A$26,0),MATCH($A32,Acct2_Raw!$B$1:$BO$1,0))),0)</f>
        <v>4820.824</v>
      </c>
      <c r="L32" s="4" t="n">
        <f aca="false">IFERROR(IF(Months_Ref!$A$6="",0,INDEX(Acct2_Raw!$B$3:$BO$26,MATCH(Months_Ref!$A$6,Acct2_Raw!$A$3:$A$26,0),MATCH($A32,Acct2_Raw!$B$1:$BO$1,0))),0)</f>
        <v>5609.512</v>
      </c>
      <c r="M32" s="4" t="n">
        <f aca="false">IFERROR(IF(Months_Ref!$A$7="",0,INDEX(Acct2_Raw!$B$3:$BO$26,MATCH(Months_Ref!$A$7,Acct2_Raw!$A$3:$A$26,0),MATCH($A32,Acct2_Raw!$B$1:$BO$1,0))),0)</f>
        <v>5621.914</v>
      </c>
      <c r="N32" s="4" t="n">
        <f aca="false">B32+H32</f>
        <v>8194.793</v>
      </c>
      <c r="O32" s="4" t="n">
        <f aca="false">C32+I32</f>
        <v>8234.161</v>
      </c>
      <c r="P32" s="4" t="n">
        <f aca="false">D32+J32</f>
        <v>8648.186</v>
      </c>
      <c r="Q32" s="4" t="n">
        <f aca="false">E32+K32</f>
        <v>7690.378</v>
      </c>
      <c r="R32" s="4" t="n">
        <f aca="false">F32+L32</f>
        <v>7952.008</v>
      </c>
      <c r="S32" s="4" t="n">
        <f aca="false">G32+M32</f>
        <v>8536.746</v>
      </c>
    </row>
    <row r="33" customFormat="false" ht="15" hidden="false" customHeight="false" outlineLevel="0" collapsed="false">
      <c r="A33" s="3" t="s">
        <v>62</v>
      </c>
      <c r="B33" s="4" t="n">
        <f aca="false">IFERROR(IF(Months_Ref!$A$2="",0,INDEX(Acct1_Raw!$B$3:$BO$26,MATCH(Months_Ref!$A$2,Acct1_Raw!$A$3:$A$26,0),MATCH($A33,Acct1_Raw!$B$1:$BO$1,0))),0)</f>
        <v>10859.572</v>
      </c>
      <c r="C33" s="4" t="n">
        <f aca="false">IFERROR(IF(Months_Ref!$A$3="",0,INDEX(Acct1_Raw!$B$3:$BO$26,MATCH(Months_Ref!$A$3,Acct1_Raw!$A$3:$A$26,0),MATCH($A33,Acct1_Raw!$B$1:$BO$1,0))),0)</f>
        <v>10888.462</v>
      </c>
      <c r="D33" s="4" t="n">
        <f aca="false">IFERROR(IF(Months_Ref!$A$4="",0,INDEX(Acct1_Raw!$B$3:$BO$26,MATCH(Months_Ref!$A$4,Acct1_Raw!$A$3:$A$26,0),MATCH($A33,Acct1_Raw!$B$1:$BO$1,0))),0)</f>
        <v>10319.857</v>
      </c>
      <c r="E33" s="4" t="n">
        <f aca="false">IFERROR(IF(Months_Ref!$A$5="",0,INDEX(Acct1_Raw!$B$3:$BO$26,MATCH(Months_Ref!$A$5,Acct1_Raw!$A$3:$A$26,0),MATCH($A33,Acct1_Raw!$B$1:$BO$1,0))),0)</f>
        <v>9969.927</v>
      </c>
      <c r="F33" s="4" t="n">
        <f aca="false">IFERROR(IF(Months_Ref!$A$6="",0,INDEX(Acct1_Raw!$B$3:$BO$26,MATCH(Months_Ref!$A$6,Acct1_Raw!$A$3:$A$26,0),MATCH($A33,Acct1_Raw!$B$1:$BO$1,0))),0)</f>
        <v>9697.57</v>
      </c>
      <c r="G33" s="4" t="n">
        <f aca="false">IFERROR(IF(Months_Ref!$A$7="",0,INDEX(Acct1_Raw!$B$3:$BO$26,MATCH(Months_Ref!$A$7,Acct1_Raw!$A$3:$A$26,0),MATCH($A33,Acct1_Raw!$B$1:$BO$1,0))),0)</f>
        <v>10448.985</v>
      </c>
      <c r="H33" s="4" t="n">
        <f aca="false">IFERROR(IF(Months_Ref!$A$2="",0,INDEX(Acct2_Raw!$B$3:$BO$26,MATCH(Months_Ref!$A$2,Acct2_Raw!$A$3:$A$26,0),MATCH($A33,Acct2_Raw!$B$1:$BO$1,0))),0)</f>
        <v>1361.646</v>
      </c>
      <c r="I33" s="4" t="n">
        <f aca="false">IFERROR(IF(Months_Ref!$A$3="",0,INDEX(Acct2_Raw!$B$3:$BO$26,MATCH(Months_Ref!$A$3,Acct2_Raw!$A$3:$A$26,0),MATCH($A33,Acct2_Raw!$B$1:$BO$1,0))),0)</f>
        <v>1379.31</v>
      </c>
      <c r="J33" s="4" t="n">
        <f aca="false">IFERROR(IF(Months_Ref!$A$4="",0,INDEX(Acct2_Raw!$B$3:$BO$26,MATCH(Months_Ref!$A$4,Acct2_Raw!$A$3:$A$26,0),MATCH($A33,Acct2_Raw!$B$1:$BO$1,0))),0)</f>
        <v>1144.364</v>
      </c>
      <c r="K33" s="4" t="n">
        <f aca="false">IFERROR(IF(Months_Ref!$A$5="",0,INDEX(Acct2_Raw!$B$3:$BO$26,MATCH(Months_Ref!$A$5,Acct2_Raw!$A$3:$A$26,0),MATCH($A33,Acct2_Raw!$B$1:$BO$1,0))),0)</f>
        <v>1163.279</v>
      </c>
      <c r="L33" s="4" t="n">
        <f aca="false">IFERROR(IF(Months_Ref!$A$6="",0,INDEX(Acct2_Raw!$B$3:$BO$26,MATCH(Months_Ref!$A$6,Acct2_Raw!$A$3:$A$26,0),MATCH($A33,Acct2_Raw!$B$1:$BO$1,0))),0)</f>
        <v>1318.317</v>
      </c>
      <c r="M33" s="4" t="n">
        <f aca="false">IFERROR(IF(Months_Ref!$A$7="",0,INDEX(Acct2_Raw!$B$3:$BO$26,MATCH(Months_Ref!$A$7,Acct2_Raw!$A$3:$A$26,0),MATCH($A33,Acct2_Raw!$B$1:$BO$1,0))),0)</f>
        <v>1150.749</v>
      </c>
      <c r="N33" s="4" t="n">
        <f aca="false">B33+H33</f>
        <v>12221.218</v>
      </c>
      <c r="O33" s="4" t="n">
        <f aca="false">C33+I33</f>
        <v>12267.772</v>
      </c>
      <c r="P33" s="4" t="n">
        <f aca="false">D33+J33</f>
        <v>11464.221</v>
      </c>
      <c r="Q33" s="4" t="n">
        <f aca="false">E33+K33</f>
        <v>11133.206</v>
      </c>
      <c r="R33" s="4" t="n">
        <f aca="false">F33+L33</f>
        <v>11015.887</v>
      </c>
      <c r="S33" s="4" t="n">
        <f aca="false">G33+M33</f>
        <v>11599.734</v>
      </c>
    </row>
    <row r="34" customFormat="false" ht="15" hidden="false" customHeight="false" outlineLevel="0" collapsed="false">
      <c r="A34" s="3" t="s">
        <v>21</v>
      </c>
      <c r="B34" s="4" t="n">
        <f aca="false">IFERROR(IF(Months_Ref!$A$2="",0,INDEX(Acct1_Raw!$B$3:$BO$26,MATCH(Months_Ref!$A$2,Acct1_Raw!$A$3:$A$26,0),MATCH($A34,Acct1_Raw!$B$1:$BO$1,0))),0)</f>
        <v>11881.886</v>
      </c>
      <c r="C34" s="4" t="n">
        <f aca="false">IFERROR(IF(Months_Ref!$A$3="",0,INDEX(Acct1_Raw!$B$3:$BO$26,MATCH(Months_Ref!$A$3,Acct1_Raw!$A$3:$A$26,0),MATCH($A34,Acct1_Raw!$B$1:$BO$1,0))),0)</f>
        <v>10852.925</v>
      </c>
      <c r="D34" s="4" t="n">
        <f aca="false">IFERROR(IF(Months_Ref!$A$4="",0,INDEX(Acct1_Raw!$B$3:$BO$26,MATCH(Months_Ref!$A$4,Acct1_Raw!$A$3:$A$26,0),MATCH($A34,Acct1_Raw!$B$1:$BO$1,0))),0)</f>
        <v>12065.054</v>
      </c>
      <c r="E34" s="4" t="n">
        <f aca="false">IFERROR(IF(Months_Ref!$A$5="",0,INDEX(Acct1_Raw!$B$3:$BO$26,MATCH(Months_Ref!$A$5,Acct1_Raw!$A$3:$A$26,0),MATCH($A34,Acct1_Raw!$B$1:$BO$1,0))),0)</f>
        <v>13854.248</v>
      </c>
      <c r="F34" s="4" t="n">
        <f aca="false">IFERROR(IF(Months_Ref!$A$6="",0,INDEX(Acct1_Raw!$B$3:$BO$26,MATCH(Months_Ref!$A$6,Acct1_Raw!$A$3:$A$26,0),MATCH($A34,Acct1_Raw!$B$1:$BO$1,0))),0)</f>
        <v>11179.972</v>
      </c>
      <c r="G34" s="4" t="n">
        <f aca="false">IFERROR(IF(Months_Ref!$A$7="",0,INDEX(Acct1_Raw!$B$3:$BO$26,MATCH(Months_Ref!$A$7,Acct1_Raw!$A$3:$A$26,0),MATCH($A34,Acct1_Raw!$B$1:$BO$1,0))),0)</f>
        <v>11568.293</v>
      </c>
      <c r="H34" s="4" t="n">
        <f aca="false">IFERROR(IF(Months_Ref!$A$2="",0,INDEX(Acct2_Raw!$B$3:$BO$26,MATCH(Months_Ref!$A$2,Acct2_Raw!$A$3:$A$26,0),MATCH($A34,Acct2_Raw!$B$1:$BO$1,0))),0)</f>
        <v>11466.074</v>
      </c>
      <c r="I34" s="4" t="n">
        <f aca="false">IFERROR(IF(Months_Ref!$A$3="",0,INDEX(Acct2_Raw!$B$3:$BO$26,MATCH(Months_Ref!$A$3,Acct2_Raw!$A$3:$A$26,0),MATCH($A34,Acct2_Raw!$B$1:$BO$1,0))),0)</f>
        <v>12655.27</v>
      </c>
      <c r="J34" s="4" t="n">
        <f aca="false">IFERROR(IF(Months_Ref!$A$4="",0,INDEX(Acct2_Raw!$B$3:$BO$26,MATCH(Months_Ref!$A$4,Acct2_Raw!$A$3:$A$26,0),MATCH($A34,Acct2_Raw!$B$1:$BO$1,0))),0)</f>
        <v>10845.309</v>
      </c>
      <c r="K34" s="4" t="n">
        <f aca="false">IFERROR(IF(Months_Ref!$A$5="",0,INDEX(Acct2_Raw!$B$3:$BO$26,MATCH(Months_Ref!$A$5,Acct2_Raw!$A$3:$A$26,0),MATCH($A34,Acct2_Raw!$B$1:$BO$1,0))),0)</f>
        <v>11889.15</v>
      </c>
      <c r="L34" s="4" t="n">
        <f aca="false">IFERROR(IF(Months_Ref!$A$6="",0,INDEX(Acct2_Raw!$B$3:$BO$26,MATCH(Months_Ref!$A$6,Acct2_Raw!$A$3:$A$26,0),MATCH($A34,Acct2_Raw!$B$1:$BO$1,0))),0)</f>
        <v>10734.303</v>
      </c>
      <c r="M34" s="4" t="n">
        <f aca="false">IFERROR(IF(Months_Ref!$A$7="",0,INDEX(Acct2_Raw!$B$3:$BO$26,MATCH(Months_Ref!$A$7,Acct2_Raw!$A$3:$A$26,0),MATCH($A34,Acct2_Raw!$B$1:$BO$1,0))),0)</f>
        <v>13047.047</v>
      </c>
      <c r="N34" s="4" t="n">
        <f aca="false">B34+H34</f>
        <v>23347.96</v>
      </c>
      <c r="O34" s="4" t="n">
        <f aca="false">C34+I34</f>
        <v>23508.195</v>
      </c>
      <c r="P34" s="4" t="n">
        <f aca="false">D34+J34</f>
        <v>22910.363</v>
      </c>
      <c r="Q34" s="4" t="n">
        <f aca="false">E34+K34</f>
        <v>25743.398</v>
      </c>
      <c r="R34" s="4" t="n">
        <f aca="false">F34+L34</f>
        <v>21914.275</v>
      </c>
      <c r="S34" s="4" t="n">
        <f aca="false">G34+M34</f>
        <v>24615.34</v>
      </c>
    </row>
    <row r="35" customFormat="false" ht="15" hidden="false" customHeight="false" outlineLevel="0" collapsed="false">
      <c r="A35" s="3" t="s">
        <v>4</v>
      </c>
      <c r="B35" s="4" t="n">
        <f aca="false">IFERROR(IF(Months_Ref!$A$2="",0,INDEX(Acct1_Raw!$B$3:$BO$26,MATCH(Months_Ref!$A$2,Acct1_Raw!$A$3:$A$26,0),MATCH($A35,Acct1_Raw!$B$1:$BO$1,0))),0)</f>
        <v>3411.442</v>
      </c>
      <c r="C35" s="4" t="n">
        <f aca="false">IFERROR(IF(Months_Ref!$A$3="",0,INDEX(Acct1_Raw!$B$3:$BO$26,MATCH(Months_Ref!$A$3,Acct1_Raw!$A$3:$A$26,0),MATCH($A35,Acct1_Raw!$B$1:$BO$1,0))),0)</f>
        <v>3864.04</v>
      </c>
      <c r="D35" s="4" t="n">
        <f aca="false">IFERROR(IF(Months_Ref!$A$4="",0,INDEX(Acct1_Raw!$B$3:$BO$26,MATCH(Months_Ref!$A$4,Acct1_Raw!$A$3:$A$26,0),MATCH($A35,Acct1_Raw!$B$1:$BO$1,0))),0)</f>
        <v>3926.595</v>
      </c>
      <c r="E35" s="4" t="n">
        <f aca="false">IFERROR(IF(Months_Ref!$A$5="",0,INDEX(Acct1_Raw!$B$3:$BO$26,MATCH(Months_Ref!$A$5,Acct1_Raw!$A$3:$A$26,0),MATCH($A35,Acct1_Raw!$B$1:$BO$1,0))),0)</f>
        <v>3023.059</v>
      </c>
      <c r="F35" s="4" t="n">
        <f aca="false">IFERROR(IF(Months_Ref!$A$6="",0,INDEX(Acct1_Raw!$B$3:$BO$26,MATCH(Months_Ref!$A$6,Acct1_Raw!$A$3:$A$26,0),MATCH($A35,Acct1_Raw!$B$1:$BO$1,0))),0)</f>
        <v>3389.857</v>
      </c>
      <c r="G35" s="4" t="n">
        <f aca="false">IFERROR(IF(Months_Ref!$A$7="",0,INDEX(Acct1_Raw!$B$3:$BO$26,MATCH(Months_Ref!$A$7,Acct1_Raw!$A$3:$A$26,0),MATCH($A35,Acct1_Raw!$B$1:$BO$1,0))),0)</f>
        <v>3054.178</v>
      </c>
      <c r="H35" s="4" t="n">
        <f aca="false">IFERROR(IF(Months_Ref!$A$2="",0,INDEX(Acct2_Raw!$B$3:$BO$26,MATCH(Months_Ref!$A$2,Acct2_Raw!$A$3:$A$26,0),MATCH($A35,Acct2_Raw!$B$1:$BO$1,0))),0)</f>
        <v>7065.866</v>
      </c>
      <c r="I35" s="4" t="n">
        <f aca="false">IFERROR(IF(Months_Ref!$A$3="",0,INDEX(Acct2_Raw!$B$3:$BO$26,MATCH(Months_Ref!$A$3,Acct2_Raw!$A$3:$A$26,0),MATCH($A35,Acct2_Raw!$B$1:$BO$1,0))),0)</f>
        <v>8153.059</v>
      </c>
      <c r="J35" s="4" t="n">
        <f aca="false">IFERROR(IF(Months_Ref!$A$4="",0,INDEX(Acct2_Raw!$B$3:$BO$26,MATCH(Months_Ref!$A$4,Acct2_Raw!$A$3:$A$26,0),MATCH($A35,Acct2_Raw!$B$1:$BO$1,0))),0)</f>
        <v>6431.837</v>
      </c>
      <c r="K35" s="4" t="n">
        <f aca="false">IFERROR(IF(Months_Ref!$A$5="",0,INDEX(Acct2_Raw!$B$3:$BO$26,MATCH(Months_Ref!$A$5,Acct2_Raw!$A$3:$A$26,0),MATCH($A35,Acct2_Raw!$B$1:$BO$1,0))),0)</f>
        <v>7021.635</v>
      </c>
      <c r="L35" s="4" t="n">
        <f aca="false">IFERROR(IF(Months_Ref!$A$6="",0,INDEX(Acct2_Raw!$B$3:$BO$26,MATCH(Months_Ref!$A$6,Acct2_Raw!$A$3:$A$26,0),MATCH($A35,Acct2_Raw!$B$1:$BO$1,0))),0)</f>
        <v>8084.851</v>
      </c>
      <c r="M35" s="4" t="n">
        <f aca="false">IFERROR(IF(Months_Ref!$A$7="",0,INDEX(Acct2_Raw!$B$3:$BO$26,MATCH(Months_Ref!$A$7,Acct2_Raw!$A$3:$A$26,0),MATCH($A35,Acct2_Raw!$B$1:$BO$1,0))),0)</f>
        <v>7071.832</v>
      </c>
      <c r="N35" s="4" t="n">
        <f aca="false">B35+H35</f>
        <v>10477.308</v>
      </c>
      <c r="O35" s="4" t="n">
        <f aca="false">C35+I35</f>
        <v>12017.099</v>
      </c>
      <c r="P35" s="4" t="n">
        <f aca="false">D35+J35</f>
        <v>10358.432</v>
      </c>
      <c r="Q35" s="4" t="n">
        <f aca="false">E35+K35</f>
        <v>10044.694</v>
      </c>
      <c r="R35" s="4" t="n">
        <f aca="false">F35+L35</f>
        <v>11474.708</v>
      </c>
      <c r="S35" s="4" t="n">
        <f aca="false">G35+M35</f>
        <v>10126.01</v>
      </c>
    </row>
    <row r="36" customFormat="false" ht="15" hidden="false" customHeight="false" outlineLevel="0" collapsed="false">
      <c r="A36" s="3" t="s">
        <v>39</v>
      </c>
      <c r="B36" s="4" t="n">
        <f aca="false">IFERROR(IF(Months_Ref!$A$2="",0,INDEX(Acct1_Raw!$B$3:$BO$26,MATCH(Months_Ref!$A$2,Acct1_Raw!$A$3:$A$26,0),MATCH($A36,Acct1_Raw!$B$1:$BO$1,0))),0)</f>
        <v>14630.025</v>
      </c>
      <c r="C36" s="4" t="n">
        <f aca="false">IFERROR(IF(Months_Ref!$A$3="",0,INDEX(Acct1_Raw!$B$3:$BO$26,MATCH(Months_Ref!$A$3,Acct1_Raw!$A$3:$A$26,0),MATCH($A36,Acct1_Raw!$B$1:$BO$1,0))),0)</f>
        <v>14454.462</v>
      </c>
      <c r="D36" s="4" t="n">
        <f aca="false">IFERROR(IF(Months_Ref!$A$4="",0,INDEX(Acct1_Raw!$B$3:$BO$26,MATCH(Months_Ref!$A$4,Acct1_Raw!$A$3:$A$26,0),MATCH($A36,Acct1_Raw!$B$1:$BO$1,0))),0)</f>
        <v>14238.274</v>
      </c>
      <c r="E36" s="4" t="n">
        <f aca="false">IFERROR(IF(Months_Ref!$A$5="",0,INDEX(Acct1_Raw!$B$3:$BO$26,MATCH(Months_Ref!$A$5,Acct1_Raw!$A$3:$A$26,0),MATCH($A36,Acct1_Raw!$B$1:$BO$1,0))),0)</f>
        <v>11005.083</v>
      </c>
      <c r="F36" s="4" t="n">
        <f aca="false">IFERROR(IF(Months_Ref!$A$6="",0,INDEX(Acct1_Raw!$B$3:$BO$26,MATCH(Months_Ref!$A$6,Acct1_Raw!$A$3:$A$26,0),MATCH($A36,Acct1_Raw!$B$1:$BO$1,0))),0)</f>
        <v>13009.142</v>
      </c>
      <c r="G36" s="4" t="n">
        <f aca="false">IFERROR(IF(Months_Ref!$A$7="",0,INDEX(Acct1_Raw!$B$3:$BO$26,MATCH(Months_Ref!$A$7,Acct1_Raw!$A$3:$A$26,0),MATCH($A36,Acct1_Raw!$B$1:$BO$1,0))),0)</f>
        <v>13414.014</v>
      </c>
      <c r="H36" s="4" t="n">
        <f aca="false">IFERROR(IF(Months_Ref!$A$2="",0,INDEX(Acct2_Raw!$B$3:$BO$26,MATCH(Months_Ref!$A$2,Acct2_Raw!$A$3:$A$26,0),MATCH($A36,Acct2_Raw!$B$1:$BO$1,0))),0)</f>
        <v>12012.646</v>
      </c>
      <c r="I36" s="4" t="n">
        <f aca="false">IFERROR(IF(Months_Ref!$A$3="",0,INDEX(Acct2_Raw!$B$3:$BO$26,MATCH(Months_Ref!$A$3,Acct2_Raw!$A$3:$A$26,0),MATCH($A36,Acct2_Raw!$B$1:$BO$1,0))),0)</f>
        <v>9961.73</v>
      </c>
      <c r="J36" s="4" t="n">
        <f aca="false">IFERROR(IF(Months_Ref!$A$4="",0,INDEX(Acct2_Raw!$B$3:$BO$26,MATCH(Months_Ref!$A$4,Acct2_Raw!$A$3:$A$26,0),MATCH($A36,Acct2_Raw!$B$1:$BO$1,0))),0)</f>
        <v>10706.872</v>
      </c>
      <c r="K36" s="4" t="n">
        <f aca="false">IFERROR(IF(Months_Ref!$A$5="",0,INDEX(Acct2_Raw!$B$3:$BO$26,MATCH(Months_Ref!$A$5,Acct2_Raw!$A$3:$A$26,0),MATCH($A36,Acct2_Raw!$B$1:$BO$1,0))),0)</f>
        <v>9908.067</v>
      </c>
      <c r="L36" s="4" t="n">
        <f aca="false">IFERROR(IF(Months_Ref!$A$6="",0,INDEX(Acct2_Raw!$B$3:$BO$26,MATCH(Months_Ref!$A$6,Acct2_Raw!$A$3:$A$26,0),MATCH($A36,Acct2_Raw!$B$1:$BO$1,0))),0)</f>
        <v>11013.665</v>
      </c>
      <c r="M36" s="4" t="n">
        <f aca="false">IFERROR(IF(Months_Ref!$A$7="",0,INDEX(Acct2_Raw!$B$3:$BO$26,MATCH(Months_Ref!$A$7,Acct2_Raw!$A$3:$A$26,0),MATCH($A36,Acct2_Raw!$B$1:$BO$1,0))),0)</f>
        <v>11676.934</v>
      </c>
      <c r="N36" s="4" t="n">
        <f aca="false">B36+H36</f>
        <v>26642.671</v>
      </c>
      <c r="O36" s="4" t="n">
        <f aca="false">C36+I36</f>
        <v>24416.192</v>
      </c>
      <c r="P36" s="4" t="n">
        <f aca="false">D36+J36</f>
        <v>24945.146</v>
      </c>
      <c r="Q36" s="4" t="n">
        <f aca="false">E36+K36</f>
        <v>20913.15</v>
      </c>
      <c r="R36" s="4" t="n">
        <f aca="false">F36+L36</f>
        <v>24022.807</v>
      </c>
      <c r="S36" s="4" t="n">
        <f aca="false">G36+M36</f>
        <v>25090.948</v>
      </c>
    </row>
    <row r="37" customFormat="false" ht="15" hidden="false" customHeight="false" outlineLevel="0" collapsed="false">
      <c r="A37" s="3" t="s">
        <v>49</v>
      </c>
      <c r="B37" s="4" t="n">
        <f aca="false">IFERROR(IF(Months_Ref!$A$2="",0,INDEX(Acct1_Raw!$B$3:$BO$26,MATCH(Months_Ref!$A$2,Acct1_Raw!$A$3:$A$26,0),MATCH($A37,Acct1_Raw!$B$1:$BO$1,0))),0)</f>
        <v>10229.492</v>
      </c>
      <c r="C37" s="4" t="n">
        <f aca="false">IFERROR(IF(Months_Ref!$A$3="",0,INDEX(Acct1_Raw!$B$3:$BO$26,MATCH(Months_Ref!$A$3,Acct1_Raw!$A$3:$A$26,0),MATCH($A37,Acct1_Raw!$B$1:$BO$1,0))),0)</f>
        <v>8821.332</v>
      </c>
      <c r="D37" s="4" t="n">
        <f aca="false">IFERROR(IF(Months_Ref!$A$4="",0,INDEX(Acct1_Raw!$B$3:$BO$26,MATCH(Months_Ref!$A$4,Acct1_Raw!$A$3:$A$26,0),MATCH($A37,Acct1_Raw!$B$1:$BO$1,0))),0)</f>
        <v>8852.47</v>
      </c>
      <c r="E37" s="4" t="n">
        <f aca="false">IFERROR(IF(Months_Ref!$A$5="",0,INDEX(Acct1_Raw!$B$3:$BO$26,MATCH(Months_Ref!$A$5,Acct1_Raw!$A$3:$A$26,0),MATCH($A37,Acct1_Raw!$B$1:$BO$1,0))),0)</f>
        <v>9037.355</v>
      </c>
      <c r="F37" s="4" t="n">
        <f aca="false">IFERROR(IF(Months_Ref!$A$6="",0,INDEX(Acct1_Raw!$B$3:$BO$26,MATCH(Months_Ref!$A$6,Acct1_Raw!$A$3:$A$26,0),MATCH($A37,Acct1_Raw!$B$1:$BO$1,0))),0)</f>
        <v>10695.681</v>
      </c>
      <c r="G37" s="4" t="n">
        <f aca="false">IFERROR(IF(Months_Ref!$A$7="",0,INDEX(Acct1_Raw!$B$3:$BO$26,MATCH(Months_Ref!$A$7,Acct1_Raw!$A$3:$A$26,0),MATCH($A37,Acct1_Raw!$B$1:$BO$1,0))),0)</f>
        <v>8743.728</v>
      </c>
      <c r="H37" s="4" t="n">
        <f aca="false">IFERROR(IF(Months_Ref!$A$2="",0,INDEX(Acct2_Raw!$B$3:$BO$26,MATCH(Months_Ref!$A$2,Acct2_Raw!$A$3:$A$26,0),MATCH($A37,Acct2_Raw!$B$1:$BO$1,0))),0)</f>
        <v>8025.743</v>
      </c>
      <c r="I37" s="4" t="n">
        <f aca="false">IFERROR(IF(Months_Ref!$A$3="",0,INDEX(Acct2_Raw!$B$3:$BO$26,MATCH(Months_Ref!$A$3,Acct2_Raw!$A$3:$A$26,0),MATCH($A37,Acct2_Raw!$B$1:$BO$1,0))),0)</f>
        <v>8227.403</v>
      </c>
      <c r="J37" s="4" t="n">
        <f aca="false">IFERROR(IF(Months_Ref!$A$4="",0,INDEX(Acct2_Raw!$B$3:$BO$26,MATCH(Months_Ref!$A$4,Acct2_Raw!$A$3:$A$26,0),MATCH($A37,Acct2_Raw!$B$1:$BO$1,0))),0)</f>
        <v>8121.087</v>
      </c>
      <c r="K37" s="4" t="n">
        <f aca="false">IFERROR(IF(Months_Ref!$A$5="",0,INDEX(Acct2_Raw!$B$3:$BO$26,MATCH(Months_Ref!$A$5,Acct2_Raw!$A$3:$A$26,0),MATCH($A37,Acct2_Raw!$B$1:$BO$1,0))),0)</f>
        <v>9137.437</v>
      </c>
      <c r="L37" s="4" t="n">
        <f aca="false">IFERROR(IF(Months_Ref!$A$6="",0,INDEX(Acct2_Raw!$B$3:$BO$26,MATCH(Months_Ref!$A$6,Acct2_Raw!$A$3:$A$26,0),MATCH($A37,Acct2_Raw!$B$1:$BO$1,0))),0)</f>
        <v>9052.765</v>
      </c>
      <c r="M37" s="4" t="n">
        <f aca="false">IFERROR(IF(Months_Ref!$A$7="",0,INDEX(Acct2_Raw!$B$3:$BO$26,MATCH(Months_Ref!$A$7,Acct2_Raw!$A$3:$A$26,0),MATCH($A37,Acct2_Raw!$B$1:$BO$1,0))),0)</f>
        <v>7794.385</v>
      </c>
      <c r="N37" s="4" t="n">
        <f aca="false">B37+H37</f>
        <v>18255.235</v>
      </c>
      <c r="O37" s="4" t="n">
        <f aca="false">C37+I37</f>
        <v>17048.735</v>
      </c>
      <c r="P37" s="4" t="n">
        <f aca="false">D37+J37</f>
        <v>16973.557</v>
      </c>
      <c r="Q37" s="4" t="n">
        <f aca="false">E37+K37</f>
        <v>18174.792</v>
      </c>
      <c r="R37" s="4" t="n">
        <f aca="false">F37+L37</f>
        <v>19748.446</v>
      </c>
      <c r="S37" s="4" t="n">
        <f aca="false">G37+M37</f>
        <v>16538.113</v>
      </c>
    </row>
    <row r="38" customFormat="false" ht="15" hidden="false" customHeight="false" outlineLevel="0" collapsed="false">
      <c r="A38" s="3" t="s">
        <v>40</v>
      </c>
      <c r="B38" s="4" t="n">
        <f aca="false">IFERROR(IF(Months_Ref!$A$2="",0,INDEX(Acct1_Raw!$B$3:$BO$26,MATCH(Months_Ref!$A$2,Acct1_Raw!$A$3:$A$26,0),MATCH($A38,Acct1_Raw!$B$1:$BO$1,0))),0)</f>
        <v>8888.024</v>
      </c>
      <c r="C38" s="4" t="n">
        <f aca="false">IFERROR(IF(Months_Ref!$A$3="",0,INDEX(Acct1_Raw!$B$3:$BO$26,MATCH(Months_Ref!$A$3,Acct1_Raw!$A$3:$A$26,0),MATCH($A38,Acct1_Raw!$B$1:$BO$1,0))),0)</f>
        <v>8039.975</v>
      </c>
      <c r="D38" s="4" t="n">
        <f aca="false">IFERROR(IF(Months_Ref!$A$4="",0,INDEX(Acct1_Raw!$B$3:$BO$26,MATCH(Months_Ref!$A$4,Acct1_Raw!$A$3:$A$26,0),MATCH($A38,Acct1_Raw!$B$1:$BO$1,0))),0)</f>
        <v>8917.96</v>
      </c>
      <c r="E38" s="4" t="n">
        <f aca="false">IFERROR(IF(Months_Ref!$A$5="",0,INDEX(Acct1_Raw!$B$3:$BO$26,MATCH(Months_Ref!$A$5,Acct1_Raw!$A$3:$A$26,0),MATCH($A38,Acct1_Raw!$B$1:$BO$1,0))),0)</f>
        <v>9813.623</v>
      </c>
      <c r="F38" s="4" t="n">
        <f aca="false">IFERROR(IF(Months_Ref!$A$6="",0,INDEX(Acct1_Raw!$B$3:$BO$26,MATCH(Months_Ref!$A$6,Acct1_Raw!$A$3:$A$26,0),MATCH($A38,Acct1_Raw!$B$1:$BO$1,0))),0)</f>
        <v>7528.273</v>
      </c>
      <c r="G38" s="4" t="n">
        <f aca="false">IFERROR(IF(Months_Ref!$A$7="",0,INDEX(Acct1_Raw!$B$3:$BO$26,MATCH(Months_Ref!$A$7,Acct1_Raw!$A$3:$A$26,0),MATCH($A38,Acct1_Raw!$B$1:$BO$1,0))),0)</f>
        <v>7467.568</v>
      </c>
      <c r="H38" s="4" t="n">
        <f aca="false">IFERROR(IF(Months_Ref!$A$2="",0,INDEX(Acct2_Raw!$B$3:$BO$26,MATCH(Months_Ref!$A$2,Acct2_Raw!$A$3:$A$26,0),MATCH($A38,Acct2_Raw!$B$1:$BO$1,0))),0)</f>
        <v>5287.608</v>
      </c>
      <c r="I38" s="4" t="n">
        <f aca="false">IFERROR(IF(Months_Ref!$A$3="",0,INDEX(Acct2_Raw!$B$3:$BO$26,MATCH(Months_Ref!$A$3,Acct2_Raw!$A$3:$A$26,0),MATCH($A38,Acct2_Raw!$B$1:$BO$1,0))),0)</f>
        <v>4930.822</v>
      </c>
      <c r="J38" s="4" t="n">
        <f aca="false">IFERROR(IF(Months_Ref!$A$4="",0,INDEX(Acct2_Raw!$B$3:$BO$26,MATCH(Months_Ref!$A$4,Acct2_Raw!$A$3:$A$26,0),MATCH($A38,Acct2_Raw!$B$1:$BO$1,0))),0)</f>
        <v>4691.537</v>
      </c>
      <c r="K38" s="4" t="n">
        <f aca="false">IFERROR(IF(Months_Ref!$A$5="",0,INDEX(Acct2_Raw!$B$3:$BO$26,MATCH(Months_Ref!$A$5,Acct2_Raw!$A$3:$A$26,0),MATCH($A38,Acct2_Raw!$B$1:$BO$1,0))),0)</f>
        <v>5532.068</v>
      </c>
      <c r="L38" s="4" t="n">
        <f aca="false">IFERROR(IF(Months_Ref!$A$6="",0,INDEX(Acct2_Raw!$B$3:$BO$26,MATCH(Months_Ref!$A$6,Acct2_Raw!$A$3:$A$26,0),MATCH($A38,Acct2_Raw!$B$1:$BO$1,0))),0)</f>
        <v>4794.195</v>
      </c>
      <c r="M38" s="4" t="n">
        <f aca="false">IFERROR(IF(Months_Ref!$A$7="",0,INDEX(Acct2_Raw!$B$3:$BO$26,MATCH(Months_Ref!$A$7,Acct2_Raw!$A$3:$A$26,0),MATCH($A38,Acct2_Raw!$B$1:$BO$1,0))),0)</f>
        <v>4872.982</v>
      </c>
      <c r="N38" s="4" t="n">
        <f aca="false">B38+H38</f>
        <v>14175.632</v>
      </c>
      <c r="O38" s="4" t="n">
        <f aca="false">C38+I38</f>
        <v>12970.797</v>
      </c>
      <c r="P38" s="4" t="n">
        <f aca="false">D38+J38</f>
        <v>13609.497</v>
      </c>
      <c r="Q38" s="4" t="n">
        <f aca="false">E38+K38</f>
        <v>15345.691</v>
      </c>
      <c r="R38" s="4" t="n">
        <f aca="false">F38+L38</f>
        <v>12322.468</v>
      </c>
      <c r="S38" s="4" t="n">
        <f aca="false">G38+M38</f>
        <v>12340.55</v>
      </c>
    </row>
    <row r="39" customFormat="false" ht="15" hidden="false" customHeight="false" outlineLevel="0" collapsed="false">
      <c r="A39" s="3" t="s">
        <v>47</v>
      </c>
      <c r="B39" s="4" t="n">
        <f aca="false">IFERROR(IF(Months_Ref!$A$2="",0,INDEX(Acct1_Raw!$B$3:$BO$26,MATCH(Months_Ref!$A$2,Acct1_Raw!$A$3:$A$26,0),MATCH($A39,Acct1_Raw!$B$1:$BO$1,0))),0)</f>
        <v>1568.126</v>
      </c>
      <c r="C39" s="4" t="n">
        <f aca="false">IFERROR(IF(Months_Ref!$A$3="",0,INDEX(Acct1_Raw!$B$3:$BO$26,MATCH(Months_Ref!$A$3,Acct1_Raw!$A$3:$A$26,0),MATCH($A39,Acct1_Raw!$B$1:$BO$1,0))),0)</f>
        <v>1462.529</v>
      </c>
      <c r="D39" s="4" t="n">
        <f aca="false">IFERROR(IF(Months_Ref!$A$4="",0,INDEX(Acct1_Raw!$B$3:$BO$26,MATCH(Months_Ref!$A$4,Acct1_Raw!$A$3:$A$26,0),MATCH($A39,Acct1_Raw!$B$1:$BO$1,0))),0)</f>
        <v>1796.994</v>
      </c>
      <c r="E39" s="4" t="n">
        <f aca="false">IFERROR(IF(Months_Ref!$A$5="",0,INDEX(Acct1_Raw!$B$3:$BO$26,MATCH(Months_Ref!$A$5,Acct1_Raw!$A$3:$A$26,0),MATCH($A39,Acct1_Raw!$B$1:$BO$1,0))),0)</f>
        <v>1683.998</v>
      </c>
      <c r="F39" s="4" t="n">
        <f aca="false">IFERROR(IF(Months_Ref!$A$6="",0,INDEX(Acct1_Raw!$B$3:$BO$26,MATCH(Months_Ref!$A$6,Acct1_Raw!$A$3:$A$26,0),MATCH($A39,Acct1_Raw!$B$1:$BO$1,0))),0)</f>
        <v>1650.879</v>
      </c>
      <c r="G39" s="4" t="n">
        <f aca="false">IFERROR(IF(Months_Ref!$A$7="",0,INDEX(Acct1_Raw!$B$3:$BO$26,MATCH(Months_Ref!$A$7,Acct1_Raw!$A$3:$A$26,0),MATCH($A39,Acct1_Raw!$B$1:$BO$1,0))),0)</f>
        <v>1388.394</v>
      </c>
      <c r="H39" s="4" t="n">
        <f aca="false">IFERROR(IF(Months_Ref!$A$2="",0,INDEX(Acct2_Raw!$B$3:$BO$26,MATCH(Months_Ref!$A$2,Acct2_Raw!$A$3:$A$26,0),MATCH($A39,Acct2_Raw!$B$1:$BO$1,0))),0)</f>
        <v>4615.064</v>
      </c>
      <c r="I39" s="4" t="n">
        <f aca="false">IFERROR(IF(Months_Ref!$A$3="",0,INDEX(Acct2_Raw!$B$3:$BO$26,MATCH(Months_Ref!$A$3,Acct2_Raw!$A$3:$A$26,0),MATCH($A39,Acct2_Raw!$B$1:$BO$1,0))),0)</f>
        <v>4099.656</v>
      </c>
      <c r="J39" s="4" t="n">
        <f aca="false">IFERROR(IF(Months_Ref!$A$4="",0,INDEX(Acct2_Raw!$B$3:$BO$26,MATCH(Months_Ref!$A$4,Acct2_Raw!$A$3:$A$26,0),MATCH($A39,Acct2_Raw!$B$1:$BO$1,0))),0)</f>
        <v>4178.312</v>
      </c>
      <c r="K39" s="4" t="n">
        <f aca="false">IFERROR(IF(Months_Ref!$A$5="",0,INDEX(Acct2_Raw!$B$3:$BO$26,MATCH(Months_Ref!$A$5,Acct2_Raw!$A$3:$A$26,0),MATCH($A39,Acct2_Raw!$B$1:$BO$1,0))),0)</f>
        <v>3755.853</v>
      </c>
      <c r="L39" s="4" t="n">
        <f aca="false">IFERROR(IF(Months_Ref!$A$6="",0,INDEX(Acct2_Raw!$B$3:$BO$26,MATCH(Months_Ref!$A$6,Acct2_Raw!$A$3:$A$26,0),MATCH($A39,Acct2_Raw!$B$1:$BO$1,0))),0)</f>
        <v>3654.904</v>
      </c>
      <c r="M39" s="4" t="n">
        <f aca="false">IFERROR(IF(Months_Ref!$A$7="",0,INDEX(Acct2_Raw!$B$3:$BO$26,MATCH(Months_Ref!$A$7,Acct2_Raw!$A$3:$A$26,0),MATCH($A39,Acct2_Raw!$B$1:$BO$1,0))),0)</f>
        <v>3989.229</v>
      </c>
      <c r="N39" s="4" t="n">
        <f aca="false">B39+H39</f>
        <v>6183.19</v>
      </c>
      <c r="O39" s="4" t="n">
        <f aca="false">C39+I39</f>
        <v>5562.185</v>
      </c>
      <c r="P39" s="4" t="n">
        <f aca="false">D39+J39</f>
        <v>5975.306</v>
      </c>
      <c r="Q39" s="4" t="n">
        <f aca="false">E39+K39</f>
        <v>5439.851</v>
      </c>
      <c r="R39" s="4" t="n">
        <f aca="false">F39+L39</f>
        <v>5305.783</v>
      </c>
      <c r="S39" s="4" t="n">
        <f aca="false">G39+M39</f>
        <v>5377.623</v>
      </c>
    </row>
    <row r="40" customFormat="false" ht="15" hidden="false" customHeight="false" outlineLevel="0" collapsed="false">
      <c r="A40" s="3" t="s">
        <v>20</v>
      </c>
      <c r="B40" s="4" t="n">
        <f aca="false">IFERROR(IF(Months_Ref!$A$2="",0,INDEX(Acct1_Raw!$B$3:$BO$26,MATCH(Months_Ref!$A$2,Acct1_Raw!$A$3:$A$26,0),MATCH($A40,Acct1_Raw!$B$1:$BO$1,0))),0)</f>
        <v>205.682</v>
      </c>
      <c r="C40" s="4" t="n">
        <f aca="false">IFERROR(IF(Months_Ref!$A$3="",0,INDEX(Acct1_Raw!$B$3:$BO$26,MATCH(Months_Ref!$A$3,Acct1_Raw!$A$3:$A$26,0),MATCH($A40,Acct1_Raw!$B$1:$BO$1,0))),0)</f>
        <v>209.728</v>
      </c>
      <c r="D40" s="4" t="n">
        <f aca="false">IFERROR(IF(Months_Ref!$A$4="",0,INDEX(Acct1_Raw!$B$3:$BO$26,MATCH(Months_Ref!$A$4,Acct1_Raw!$A$3:$A$26,0),MATCH($A40,Acct1_Raw!$B$1:$BO$1,0))),0)</f>
        <v>182.895</v>
      </c>
      <c r="E40" s="4" t="n">
        <f aca="false">IFERROR(IF(Months_Ref!$A$5="",0,INDEX(Acct1_Raw!$B$3:$BO$26,MATCH(Months_Ref!$A$5,Acct1_Raw!$A$3:$A$26,0),MATCH($A40,Acct1_Raw!$B$1:$BO$1,0))),0)</f>
        <v>190.908</v>
      </c>
      <c r="F40" s="4" t="n">
        <f aca="false">IFERROR(IF(Months_Ref!$A$6="",0,INDEX(Acct1_Raw!$B$3:$BO$26,MATCH(Months_Ref!$A$6,Acct1_Raw!$A$3:$A$26,0),MATCH($A40,Acct1_Raw!$B$1:$BO$1,0))),0)</f>
        <v>168.749</v>
      </c>
      <c r="G40" s="4" t="n">
        <f aca="false">IFERROR(IF(Months_Ref!$A$7="",0,INDEX(Acct1_Raw!$B$3:$BO$26,MATCH(Months_Ref!$A$7,Acct1_Raw!$A$3:$A$26,0),MATCH($A40,Acct1_Raw!$B$1:$BO$1,0))),0)</f>
        <v>167.655</v>
      </c>
      <c r="H40" s="4" t="n">
        <f aca="false">IFERROR(IF(Months_Ref!$A$2="",0,INDEX(Acct2_Raw!$B$3:$BO$26,MATCH(Months_Ref!$A$2,Acct2_Raw!$A$3:$A$26,0),MATCH($A40,Acct2_Raw!$B$1:$BO$1,0))),0)</f>
        <v>11355.949</v>
      </c>
      <c r="I40" s="4" t="n">
        <f aca="false">IFERROR(IF(Months_Ref!$A$3="",0,INDEX(Acct2_Raw!$B$3:$BO$26,MATCH(Months_Ref!$A$3,Acct2_Raw!$A$3:$A$26,0),MATCH($A40,Acct2_Raw!$B$1:$BO$1,0))),0)</f>
        <v>12378.144</v>
      </c>
      <c r="J40" s="4" t="n">
        <f aca="false">IFERROR(IF(Months_Ref!$A$4="",0,INDEX(Acct2_Raw!$B$3:$BO$26,MATCH(Months_Ref!$A$4,Acct2_Raw!$A$3:$A$26,0),MATCH($A40,Acct2_Raw!$B$1:$BO$1,0))),0)</f>
        <v>11458.732</v>
      </c>
      <c r="K40" s="4" t="n">
        <f aca="false">IFERROR(IF(Months_Ref!$A$5="",0,INDEX(Acct2_Raw!$B$3:$BO$26,MATCH(Months_Ref!$A$5,Acct2_Raw!$A$3:$A$26,0),MATCH($A40,Acct2_Raw!$B$1:$BO$1,0))),0)</f>
        <v>13429.625</v>
      </c>
      <c r="L40" s="4" t="n">
        <f aca="false">IFERROR(IF(Months_Ref!$A$6="",0,INDEX(Acct2_Raw!$B$3:$BO$26,MATCH(Months_Ref!$A$6,Acct2_Raw!$A$3:$A$26,0),MATCH($A40,Acct2_Raw!$B$1:$BO$1,0))),0)</f>
        <v>13050.325</v>
      </c>
      <c r="M40" s="4" t="n">
        <f aca="false">IFERROR(IF(Months_Ref!$A$7="",0,INDEX(Acct2_Raw!$B$3:$BO$26,MATCH(Months_Ref!$A$7,Acct2_Raw!$A$3:$A$26,0),MATCH($A40,Acct2_Raw!$B$1:$BO$1,0))),0)</f>
        <v>12948.016</v>
      </c>
      <c r="N40" s="4" t="n">
        <f aca="false">B40+H40</f>
        <v>11561.631</v>
      </c>
      <c r="O40" s="4" t="n">
        <f aca="false">C40+I40</f>
        <v>12587.872</v>
      </c>
      <c r="P40" s="4" t="n">
        <f aca="false">D40+J40</f>
        <v>11641.627</v>
      </c>
      <c r="Q40" s="4" t="n">
        <f aca="false">E40+K40</f>
        <v>13620.533</v>
      </c>
      <c r="R40" s="4" t="n">
        <f aca="false">F40+L40</f>
        <v>13219.074</v>
      </c>
      <c r="S40" s="4" t="n">
        <f aca="false">G40+M40</f>
        <v>13115.671</v>
      </c>
    </row>
    <row r="41" customFormat="false" ht="15" hidden="false" customHeight="false" outlineLevel="0" collapsed="false">
      <c r="A41" s="3" t="s">
        <v>6</v>
      </c>
      <c r="B41" s="4" t="n">
        <f aca="false">IFERROR(IF(Months_Ref!$A$2="",0,INDEX(Acct1_Raw!$B$3:$BO$26,MATCH(Months_Ref!$A$2,Acct1_Raw!$A$3:$A$26,0),MATCH($A41,Acct1_Raw!$B$1:$BO$1,0))),0)</f>
        <v>10978.922</v>
      </c>
      <c r="C41" s="4" t="n">
        <f aca="false">IFERROR(IF(Months_Ref!$A$3="",0,INDEX(Acct1_Raw!$B$3:$BO$26,MATCH(Months_Ref!$A$3,Acct1_Raw!$A$3:$A$26,0),MATCH($A41,Acct1_Raw!$B$1:$BO$1,0))),0)</f>
        <v>9163.454</v>
      </c>
      <c r="D41" s="4" t="n">
        <f aca="false">IFERROR(IF(Months_Ref!$A$4="",0,INDEX(Acct1_Raw!$B$3:$BO$26,MATCH(Months_Ref!$A$4,Acct1_Raw!$A$3:$A$26,0),MATCH($A41,Acct1_Raw!$B$1:$BO$1,0))),0)</f>
        <v>8679.297</v>
      </c>
      <c r="E41" s="4" t="n">
        <f aca="false">IFERROR(IF(Months_Ref!$A$5="",0,INDEX(Acct1_Raw!$B$3:$BO$26,MATCH(Months_Ref!$A$5,Acct1_Raw!$A$3:$A$26,0),MATCH($A41,Acct1_Raw!$B$1:$BO$1,0))),0)</f>
        <v>11278.27</v>
      </c>
      <c r="F41" s="4" t="n">
        <f aca="false">IFERROR(IF(Months_Ref!$A$6="",0,INDEX(Acct1_Raw!$B$3:$BO$26,MATCH(Months_Ref!$A$6,Acct1_Raw!$A$3:$A$26,0),MATCH($A41,Acct1_Raw!$B$1:$BO$1,0))),0)</f>
        <v>9308.224</v>
      </c>
      <c r="G41" s="4" t="n">
        <f aca="false">IFERROR(IF(Months_Ref!$A$7="",0,INDEX(Acct1_Raw!$B$3:$BO$26,MATCH(Months_Ref!$A$7,Acct1_Raw!$A$3:$A$26,0),MATCH($A41,Acct1_Raw!$B$1:$BO$1,0))),0)</f>
        <v>10775.309</v>
      </c>
      <c r="H41" s="4" t="n">
        <f aca="false">IFERROR(IF(Months_Ref!$A$2="",0,INDEX(Acct2_Raw!$B$3:$BO$26,MATCH(Months_Ref!$A$2,Acct2_Raw!$A$3:$A$26,0),MATCH($A41,Acct2_Raw!$B$1:$BO$1,0))),0)</f>
        <v>11187.475</v>
      </c>
      <c r="I41" s="4" t="n">
        <f aca="false">IFERROR(IF(Months_Ref!$A$3="",0,INDEX(Acct2_Raw!$B$3:$BO$26,MATCH(Months_Ref!$A$3,Acct2_Raw!$A$3:$A$26,0),MATCH($A41,Acct2_Raw!$B$1:$BO$1,0))),0)</f>
        <v>13633.146</v>
      </c>
      <c r="J41" s="4" t="n">
        <f aca="false">IFERROR(IF(Months_Ref!$A$4="",0,INDEX(Acct2_Raw!$B$3:$BO$26,MATCH(Months_Ref!$A$4,Acct2_Raw!$A$3:$A$26,0),MATCH($A41,Acct2_Raw!$B$1:$BO$1,0))),0)</f>
        <v>13201.623</v>
      </c>
      <c r="K41" s="4" t="n">
        <f aca="false">IFERROR(IF(Months_Ref!$A$5="",0,INDEX(Acct2_Raw!$B$3:$BO$26,MATCH(Months_Ref!$A$5,Acct2_Raw!$A$3:$A$26,0),MATCH($A41,Acct2_Raw!$B$1:$BO$1,0))),0)</f>
        <v>13839.889</v>
      </c>
      <c r="L41" s="4" t="n">
        <f aca="false">IFERROR(IF(Months_Ref!$A$6="",0,INDEX(Acct2_Raw!$B$3:$BO$26,MATCH(Months_Ref!$A$6,Acct2_Raw!$A$3:$A$26,0),MATCH($A41,Acct2_Raw!$B$1:$BO$1,0))),0)</f>
        <v>11993.522</v>
      </c>
      <c r="M41" s="4" t="n">
        <f aca="false">IFERROR(IF(Months_Ref!$A$7="",0,INDEX(Acct2_Raw!$B$3:$BO$26,MATCH(Months_Ref!$A$7,Acct2_Raw!$A$3:$A$26,0),MATCH($A41,Acct2_Raw!$B$1:$BO$1,0))),0)</f>
        <v>12914.552</v>
      </c>
      <c r="N41" s="4" t="n">
        <f aca="false">B41+H41</f>
        <v>22166.397</v>
      </c>
      <c r="O41" s="4" t="n">
        <f aca="false">C41+I41</f>
        <v>22796.6</v>
      </c>
      <c r="P41" s="4" t="n">
        <f aca="false">D41+J41</f>
        <v>21880.92</v>
      </c>
      <c r="Q41" s="4" t="n">
        <f aca="false">E41+K41</f>
        <v>25118.159</v>
      </c>
      <c r="R41" s="4" t="n">
        <f aca="false">F41+L41</f>
        <v>21301.746</v>
      </c>
      <c r="S41" s="4" t="n">
        <f aca="false">G41+M41</f>
        <v>23689.861</v>
      </c>
    </row>
    <row r="42" customFormat="false" ht="15" hidden="false" customHeight="false" outlineLevel="0" collapsed="false">
      <c r="A42" s="3" t="s">
        <v>32</v>
      </c>
      <c r="B42" s="4" t="n">
        <f aca="false">IFERROR(IF(Months_Ref!$A$2="",0,INDEX(Acct1_Raw!$B$3:$BO$26,MATCH(Months_Ref!$A$2,Acct1_Raw!$A$3:$A$26,0),MATCH($A42,Acct1_Raw!$B$1:$BO$1,0))),0)</f>
        <v>12307.606</v>
      </c>
      <c r="C42" s="4" t="n">
        <f aca="false">IFERROR(IF(Months_Ref!$A$3="",0,INDEX(Acct1_Raw!$B$3:$BO$26,MATCH(Months_Ref!$A$3,Acct1_Raw!$A$3:$A$26,0),MATCH($A42,Acct1_Raw!$B$1:$BO$1,0))),0)</f>
        <v>12489.842</v>
      </c>
      <c r="D42" s="4" t="n">
        <f aca="false">IFERROR(IF(Months_Ref!$A$4="",0,INDEX(Acct1_Raw!$B$3:$BO$26,MATCH(Months_Ref!$A$4,Acct1_Raw!$A$3:$A$26,0),MATCH($A42,Acct1_Raw!$B$1:$BO$1,0))),0)</f>
        <v>11143.13</v>
      </c>
      <c r="E42" s="4" t="n">
        <f aca="false">IFERROR(IF(Months_Ref!$A$5="",0,INDEX(Acct1_Raw!$B$3:$BO$26,MATCH(Months_Ref!$A$5,Acct1_Raw!$A$3:$A$26,0),MATCH($A42,Acct1_Raw!$B$1:$BO$1,0))),0)</f>
        <v>10359.648</v>
      </c>
      <c r="F42" s="4" t="n">
        <f aca="false">IFERROR(IF(Months_Ref!$A$6="",0,INDEX(Acct1_Raw!$B$3:$BO$26,MATCH(Months_Ref!$A$6,Acct1_Raw!$A$3:$A$26,0),MATCH($A42,Acct1_Raw!$B$1:$BO$1,0))),0)</f>
        <v>9345.306</v>
      </c>
      <c r="G42" s="4" t="n">
        <f aca="false">IFERROR(IF(Months_Ref!$A$7="",0,INDEX(Acct1_Raw!$B$3:$BO$26,MATCH(Months_Ref!$A$7,Acct1_Raw!$A$3:$A$26,0),MATCH($A42,Acct1_Raw!$B$1:$BO$1,0))),0)</f>
        <v>9422.6</v>
      </c>
      <c r="H42" s="4" t="n">
        <f aca="false">IFERROR(IF(Months_Ref!$A$2="",0,INDEX(Acct2_Raw!$B$3:$BO$26,MATCH(Months_Ref!$A$2,Acct2_Raw!$A$3:$A$26,0),MATCH($A42,Acct2_Raw!$B$1:$BO$1,0))),0)</f>
        <v>4487.099</v>
      </c>
      <c r="I42" s="4" t="n">
        <f aca="false">IFERROR(IF(Months_Ref!$A$3="",0,INDEX(Acct2_Raw!$B$3:$BO$26,MATCH(Months_Ref!$A$3,Acct2_Raw!$A$3:$A$26,0),MATCH($A42,Acct2_Raw!$B$1:$BO$1,0))),0)</f>
        <v>3965.718</v>
      </c>
      <c r="J42" s="4" t="n">
        <f aca="false">IFERROR(IF(Months_Ref!$A$4="",0,INDEX(Acct2_Raw!$B$3:$BO$26,MATCH(Months_Ref!$A$4,Acct2_Raw!$A$3:$A$26,0),MATCH($A42,Acct2_Raw!$B$1:$BO$1,0))),0)</f>
        <v>3961.071</v>
      </c>
      <c r="K42" s="4" t="n">
        <f aca="false">IFERROR(IF(Months_Ref!$A$5="",0,INDEX(Acct2_Raw!$B$3:$BO$26,MATCH(Months_Ref!$A$5,Acct2_Raw!$A$3:$A$26,0),MATCH($A42,Acct2_Raw!$B$1:$BO$1,0))),0)</f>
        <v>4417.53</v>
      </c>
      <c r="L42" s="4" t="n">
        <f aca="false">IFERROR(IF(Months_Ref!$A$6="",0,INDEX(Acct2_Raw!$B$3:$BO$26,MATCH(Months_Ref!$A$6,Acct2_Raw!$A$3:$A$26,0),MATCH($A42,Acct2_Raw!$B$1:$BO$1,0))),0)</f>
        <v>4794.303</v>
      </c>
      <c r="M42" s="4" t="n">
        <f aca="false">IFERROR(IF(Months_Ref!$A$7="",0,INDEX(Acct2_Raw!$B$3:$BO$26,MATCH(Months_Ref!$A$7,Acct2_Raw!$A$3:$A$26,0),MATCH($A42,Acct2_Raw!$B$1:$BO$1,0))),0)</f>
        <v>4430.411</v>
      </c>
      <c r="N42" s="4" t="n">
        <f aca="false">B42+H42</f>
        <v>16794.705</v>
      </c>
      <c r="O42" s="4" t="n">
        <f aca="false">C42+I42</f>
        <v>16455.56</v>
      </c>
      <c r="P42" s="4" t="n">
        <f aca="false">D42+J42</f>
        <v>15104.201</v>
      </c>
      <c r="Q42" s="4" t="n">
        <f aca="false">E42+K42</f>
        <v>14777.178</v>
      </c>
      <c r="R42" s="4" t="n">
        <f aca="false">F42+L42</f>
        <v>14139.609</v>
      </c>
      <c r="S42" s="4" t="n">
        <f aca="false">G42+M42</f>
        <v>13853.011</v>
      </c>
    </row>
    <row r="43" customFormat="false" ht="15" hidden="false" customHeight="false" outlineLevel="0" collapsed="false">
      <c r="A43" s="3" t="s">
        <v>63</v>
      </c>
      <c r="B43" s="4" t="n">
        <f aca="false">IFERROR(IF(Months_Ref!$A$2="",0,INDEX(Acct1_Raw!$B$3:$BO$26,MATCH(Months_Ref!$A$2,Acct1_Raw!$A$3:$A$26,0),MATCH($A43,Acct1_Raw!$B$1:$BO$1,0))),0)</f>
        <v>8255.265</v>
      </c>
      <c r="C43" s="4" t="n">
        <f aca="false">IFERROR(IF(Months_Ref!$A$3="",0,INDEX(Acct1_Raw!$B$3:$BO$26,MATCH(Months_Ref!$A$3,Acct1_Raw!$A$3:$A$26,0),MATCH($A43,Acct1_Raw!$B$1:$BO$1,0))),0)</f>
        <v>9358.163</v>
      </c>
      <c r="D43" s="4" t="n">
        <f aca="false">IFERROR(IF(Months_Ref!$A$4="",0,INDEX(Acct1_Raw!$B$3:$BO$26,MATCH(Months_Ref!$A$4,Acct1_Raw!$A$3:$A$26,0),MATCH($A43,Acct1_Raw!$B$1:$BO$1,0))),0)</f>
        <v>7975.732</v>
      </c>
      <c r="E43" s="4" t="n">
        <f aca="false">IFERROR(IF(Months_Ref!$A$5="",0,INDEX(Acct1_Raw!$B$3:$BO$26,MATCH(Months_Ref!$A$5,Acct1_Raw!$A$3:$A$26,0),MATCH($A43,Acct1_Raw!$B$1:$BO$1,0))),0)</f>
        <v>7897.031</v>
      </c>
      <c r="F43" s="4" t="n">
        <f aca="false">IFERROR(IF(Months_Ref!$A$6="",0,INDEX(Acct1_Raw!$B$3:$BO$26,MATCH(Months_Ref!$A$6,Acct1_Raw!$A$3:$A$26,0),MATCH($A43,Acct1_Raw!$B$1:$BO$1,0))),0)</f>
        <v>8717.902</v>
      </c>
      <c r="G43" s="4" t="n">
        <f aca="false">IFERROR(IF(Months_Ref!$A$7="",0,INDEX(Acct1_Raw!$B$3:$BO$26,MATCH(Months_Ref!$A$7,Acct1_Raw!$A$3:$A$26,0),MATCH($A43,Acct1_Raw!$B$1:$BO$1,0))),0)</f>
        <v>8780.907</v>
      </c>
      <c r="H43" s="4" t="n">
        <f aca="false">IFERROR(IF(Months_Ref!$A$2="",0,INDEX(Acct2_Raw!$B$3:$BO$26,MATCH(Months_Ref!$A$2,Acct2_Raw!$A$3:$A$26,0),MATCH($A43,Acct2_Raw!$B$1:$BO$1,0))),0)</f>
        <v>175.933</v>
      </c>
      <c r="I43" s="4" t="n">
        <f aca="false">IFERROR(IF(Months_Ref!$A$3="",0,INDEX(Acct2_Raw!$B$3:$BO$26,MATCH(Months_Ref!$A$3,Acct2_Raw!$A$3:$A$26,0),MATCH($A43,Acct2_Raw!$B$1:$BO$1,0))),0)</f>
        <v>207.919</v>
      </c>
      <c r="J43" s="4" t="n">
        <f aca="false">IFERROR(IF(Months_Ref!$A$4="",0,INDEX(Acct2_Raw!$B$3:$BO$26,MATCH(Months_Ref!$A$4,Acct2_Raw!$A$3:$A$26,0),MATCH($A43,Acct2_Raw!$B$1:$BO$1,0))),0)</f>
        <v>203.055</v>
      </c>
      <c r="K43" s="4" t="n">
        <f aca="false">IFERROR(IF(Months_Ref!$A$5="",0,INDEX(Acct2_Raw!$B$3:$BO$26,MATCH(Months_Ref!$A$5,Acct2_Raw!$A$3:$A$26,0),MATCH($A43,Acct2_Raw!$B$1:$BO$1,0))),0)</f>
        <v>178.461</v>
      </c>
      <c r="L43" s="4" t="n">
        <f aca="false">IFERROR(IF(Months_Ref!$A$6="",0,INDEX(Acct2_Raw!$B$3:$BO$26,MATCH(Months_Ref!$A$6,Acct2_Raw!$A$3:$A$26,0),MATCH($A43,Acct2_Raw!$B$1:$BO$1,0))),0)</f>
        <v>159.961</v>
      </c>
      <c r="M43" s="4" t="n">
        <f aca="false">IFERROR(IF(Months_Ref!$A$7="",0,INDEX(Acct2_Raw!$B$3:$BO$26,MATCH(Months_Ref!$A$7,Acct2_Raw!$A$3:$A$26,0),MATCH($A43,Acct2_Raw!$B$1:$BO$1,0))),0)</f>
        <v>170.039</v>
      </c>
      <c r="N43" s="4" t="n">
        <f aca="false">B43+H43</f>
        <v>8431.198</v>
      </c>
      <c r="O43" s="4" t="n">
        <f aca="false">C43+I43</f>
        <v>9566.082</v>
      </c>
      <c r="P43" s="4" t="n">
        <f aca="false">D43+J43</f>
        <v>8178.787</v>
      </c>
      <c r="Q43" s="4" t="n">
        <f aca="false">E43+K43</f>
        <v>8075.492</v>
      </c>
      <c r="R43" s="4" t="n">
        <f aca="false">F43+L43</f>
        <v>8877.863</v>
      </c>
      <c r="S43" s="4" t="n">
        <f aca="false">G43+M43</f>
        <v>8950.946</v>
      </c>
    </row>
    <row r="44" customFormat="false" ht="15" hidden="false" customHeight="false" outlineLevel="0" collapsed="false">
      <c r="A44" s="3" t="s">
        <v>41</v>
      </c>
      <c r="B44" s="4" t="n">
        <f aca="false">IFERROR(IF(Months_Ref!$A$2="",0,INDEX(Acct1_Raw!$B$3:$BO$26,MATCH(Months_Ref!$A$2,Acct1_Raw!$A$3:$A$26,0),MATCH($A44,Acct1_Raw!$B$1:$BO$1,0))),0)</f>
        <v>10511.23</v>
      </c>
      <c r="C44" s="4" t="n">
        <f aca="false">IFERROR(IF(Months_Ref!$A$3="",0,INDEX(Acct1_Raw!$B$3:$BO$26,MATCH(Months_Ref!$A$3,Acct1_Raw!$A$3:$A$26,0),MATCH($A44,Acct1_Raw!$B$1:$BO$1,0))),0)</f>
        <v>10898.638</v>
      </c>
      <c r="D44" s="4" t="n">
        <f aca="false">IFERROR(IF(Months_Ref!$A$4="",0,INDEX(Acct1_Raw!$B$3:$BO$26,MATCH(Months_Ref!$A$4,Acct1_Raw!$A$3:$A$26,0),MATCH($A44,Acct1_Raw!$B$1:$BO$1,0))),0)</f>
        <v>9479.257</v>
      </c>
      <c r="E44" s="4" t="n">
        <f aca="false">IFERROR(IF(Months_Ref!$A$5="",0,INDEX(Acct1_Raw!$B$3:$BO$26,MATCH(Months_Ref!$A$5,Acct1_Raw!$A$3:$A$26,0),MATCH($A44,Acct1_Raw!$B$1:$BO$1,0))),0)</f>
        <v>10720.376</v>
      </c>
      <c r="F44" s="4" t="n">
        <f aca="false">IFERROR(IF(Months_Ref!$A$6="",0,INDEX(Acct1_Raw!$B$3:$BO$26,MATCH(Months_Ref!$A$6,Acct1_Raw!$A$3:$A$26,0),MATCH($A44,Acct1_Raw!$B$1:$BO$1,0))),0)</f>
        <v>9800.712</v>
      </c>
      <c r="G44" s="4" t="n">
        <f aca="false">IFERROR(IF(Months_Ref!$A$7="",0,INDEX(Acct1_Raw!$B$3:$BO$26,MATCH(Months_Ref!$A$7,Acct1_Raw!$A$3:$A$26,0),MATCH($A44,Acct1_Raw!$B$1:$BO$1,0))),0)</f>
        <v>10261.165</v>
      </c>
      <c r="H44" s="4" t="n">
        <f aca="false">IFERROR(IF(Months_Ref!$A$2="",0,INDEX(Acct2_Raw!$B$3:$BO$26,MATCH(Months_Ref!$A$2,Acct2_Raw!$A$3:$A$26,0),MATCH($A44,Acct2_Raw!$B$1:$BO$1,0))),0)</f>
        <v>1022.227</v>
      </c>
      <c r="I44" s="4" t="n">
        <f aca="false">IFERROR(IF(Months_Ref!$A$3="",0,INDEX(Acct2_Raw!$B$3:$BO$26,MATCH(Months_Ref!$A$3,Acct2_Raw!$A$3:$A$26,0),MATCH($A44,Acct2_Raw!$B$1:$BO$1,0))),0)</f>
        <v>788.509</v>
      </c>
      <c r="J44" s="4" t="n">
        <f aca="false">IFERROR(IF(Months_Ref!$A$4="",0,INDEX(Acct2_Raw!$B$3:$BO$26,MATCH(Months_Ref!$A$4,Acct2_Raw!$A$3:$A$26,0),MATCH($A44,Acct2_Raw!$B$1:$BO$1,0))),0)</f>
        <v>900.823</v>
      </c>
      <c r="K44" s="4" t="n">
        <f aca="false">IFERROR(IF(Months_Ref!$A$5="",0,INDEX(Acct2_Raw!$B$3:$BO$26,MATCH(Months_Ref!$A$5,Acct2_Raw!$A$3:$A$26,0),MATCH($A44,Acct2_Raw!$B$1:$BO$1,0))),0)</f>
        <v>1025.729</v>
      </c>
      <c r="L44" s="4" t="n">
        <f aca="false">IFERROR(IF(Months_Ref!$A$6="",0,INDEX(Acct2_Raw!$B$3:$BO$26,MATCH(Months_Ref!$A$6,Acct2_Raw!$A$3:$A$26,0),MATCH($A44,Acct2_Raw!$B$1:$BO$1,0))),0)</f>
        <v>816.364</v>
      </c>
      <c r="M44" s="4" t="n">
        <f aca="false">IFERROR(IF(Months_Ref!$A$7="",0,INDEX(Acct2_Raw!$B$3:$BO$26,MATCH(Months_Ref!$A$7,Acct2_Raw!$A$3:$A$26,0),MATCH($A44,Acct2_Raw!$B$1:$BO$1,0))),0)</f>
        <v>986.116</v>
      </c>
      <c r="N44" s="4" t="n">
        <f aca="false">B44+H44</f>
        <v>11533.457</v>
      </c>
      <c r="O44" s="4" t="n">
        <f aca="false">C44+I44</f>
        <v>11687.147</v>
      </c>
      <c r="P44" s="4" t="n">
        <f aca="false">D44+J44</f>
        <v>10380.08</v>
      </c>
      <c r="Q44" s="4" t="n">
        <f aca="false">E44+K44</f>
        <v>11746.105</v>
      </c>
      <c r="R44" s="4" t="n">
        <f aca="false">F44+L44</f>
        <v>10617.076</v>
      </c>
      <c r="S44" s="4" t="n">
        <f aca="false">G44+M44</f>
        <v>11247.281</v>
      </c>
    </row>
    <row r="45" customFormat="false" ht="15" hidden="false" customHeight="false" outlineLevel="0" collapsed="false">
      <c r="A45" s="3" t="s">
        <v>50</v>
      </c>
      <c r="B45" s="4" t="n">
        <f aca="false">IFERROR(IF(Months_Ref!$A$2="",0,INDEX(Acct1_Raw!$B$3:$BO$26,MATCH(Months_Ref!$A$2,Acct1_Raw!$A$3:$A$26,0),MATCH($A45,Acct1_Raw!$B$1:$BO$1,0))),0)</f>
        <v>5823.923</v>
      </c>
      <c r="C45" s="4" t="n">
        <f aca="false">IFERROR(IF(Months_Ref!$A$3="",0,INDEX(Acct1_Raw!$B$3:$BO$26,MATCH(Months_Ref!$A$3,Acct1_Raw!$A$3:$A$26,0),MATCH($A45,Acct1_Raw!$B$1:$BO$1,0))),0)</f>
        <v>5362.921</v>
      </c>
      <c r="D45" s="4" t="n">
        <f aca="false">IFERROR(IF(Months_Ref!$A$4="",0,INDEX(Acct1_Raw!$B$3:$BO$26,MATCH(Months_Ref!$A$4,Acct1_Raw!$A$3:$A$26,0),MATCH($A45,Acct1_Raw!$B$1:$BO$1,0))),0)</f>
        <v>4876.319</v>
      </c>
      <c r="E45" s="4" t="n">
        <f aca="false">IFERROR(IF(Months_Ref!$A$5="",0,INDEX(Acct1_Raw!$B$3:$BO$26,MATCH(Months_Ref!$A$5,Acct1_Raw!$A$3:$A$26,0),MATCH($A45,Acct1_Raw!$B$1:$BO$1,0))),0)</f>
        <v>6113.983</v>
      </c>
      <c r="F45" s="4" t="n">
        <f aca="false">IFERROR(IF(Months_Ref!$A$6="",0,INDEX(Acct1_Raw!$B$3:$BO$26,MATCH(Months_Ref!$A$6,Acct1_Raw!$A$3:$A$26,0),MATCH($A45,Acct1_Raw!$B$1:$BO$1,0))),0)</f>
        <v>5723.092</v>
      </c>
      <c r="G45" s="4" t="n">
        <f aca="false">IFERROR(IF(Months_Ref!$A$7="",0,INDEX(Acct1_Raw!$B$3:$BO$26,MATCH(Months_Ref!$A$7,Acct1_Raw!$A$3:$A$26,0),MATCH($A45,Acct1_Raw!$B$1:$BO$1,0))),0)</f>
        <v>5248.425</v>
      </c>
      <c r="H45" s="4" t="n">
        <f aca="false">IFERROR(IF(Months_Ref!$A$2="",0,INDEX(Acct2_Raw!$B$3:$BO$26,MATCH(Months_Ref!$A$2,Acct2_Raw!$A$3:$A$26,0),MATCH($A45,Acct2_Raw!$B$1:$BO$1,0))),0)</f>
        <v>12635.014</v>
      </c>
      <c r="I45" s="4" t="n">
        <f aca="false">IFERROR(IF(Months_Ref!$A$3="",0,INDEX(Acct2_Raw!$B$3:$BO$26,MATCH(Months_Ref!$A$3,Acct2_Raw!$A$3:$A$26,0),MATCH($A45,Acct2_Raw!$B$1:$BO$1,0))),0)</f>
        <v>10164.525</v>
      </c>
      <c r="J45" s="4" t="n">
        <f aca="false">IFERROR(IF(Months_Ref!$A$4="",0,INDEX(Acct2_Raw!$B$3:$BO$26,MATCH(Months_Ref!$A$4,Acct2_Raw!$A$3:$A$26,0),MATCH($A45,Acct2_Raw!$B$1:$BO$1,0))),0)</f>
        <v>13524.201</v>
      </c>
      <c r="K45" s="4" t="n">
        <f aca="false">IFERROR(IF(Months_Ref!$A$5="",0,INDEX(Acct2_Raw!$B$3:$BO$26,MATCH(Months_Ref!$A$5,Acct2_Raw!$A$3:$A$26,0),MATCH($A45,Acct2_Raw!$B$1:$BO$1,0))),0)</f>
        <v>13647.896</v>
      </c>
      <c r="L45" s="4" t="n">
        <f aca="false">IFERROR(IF(Months_Ref!$A$6="",0,INDEX(Acct2_Raw!$B$3:$BO$26,MATCH(Months_Ref!$A$6,Acct2_Raw!$A$3:$A$26,0),MATCH($A45,Acct2_Raw!$B$1:$BO$1,0))),0)</f>
        <v>13499.796</v>
      </c>
      <c r="M45" s="4" t="n">
        <f aca="false">IFERROR(IF(Months_Ref!$A$7="",0,INDEX(Acct2_Raw!$B$3:$BO$26,MATCH(Months_Ref!$A$7,Acct2_Raw!$A$3:$A$26,0),MATCH($A45,Acct2_Raw!$B$1:$BO$1,0))),0)</f>
        <v>12102.471</v>
      </c>
      <c r="N45" s="4" t="n">
        <f aca="false">B45+H45</f>
        <v>18458.937</v>
      </c>
      <c r="O45" s="4" t="n">
        <f aca="false">C45+I45</f>
        <v>15527.446</v>
      </c>
      <c r="P45" s="4" t="n">
        <f aca="false">D45+J45</f>
        <v>18400.52</v>
      </c>
      <c r="Q45" s="4" t="n">
        <f aca="false">E45+K45</f>
        <v>19761.879</v>
      </c>
      <c r="R45" s="4" t="n">
        <f aca="false">F45+L45</f>
        <v>19222.888</v>
      </c>
      <c r="S45" s="4" t="n">
        <f aca="false">G45+M45</f>
        <v>17350.896</v>
      </c>
    </row>
    <row r="46" customFormat="false" ht="15" hidden="false" customHeight="false" outlineLevel="0" collapsed="false">
      <c r="A46" s="3" t="s">
        <v>30</v>
      </c>
      <c r="B46" s="4" t="n">
        <f aca="false">IFERROR(IF(Months_Ref!$A$2="",0,INDEX(Acct1_Raw!$B$3:$BO$26,MATCH(Months_Ref!$A$2,Acct1_Raw!$A$3:$A$26,0),MATCH($A46,Acct1_Raw!$B$1:$BO$1,0))),0)</f>
        <v>9453.253</v>
      </c>
      <c r="C46" s="4" t="n">
        <f aca="false">IFERROR(IF(Months_Ref!$A$3="",0,INDEX(Acct1_Raw!$B$3:$BO$26,MATCH(Months_Ref!$A$3,Acct1_Raw!$A$3:$A$26,0),MATCH($A46,Acct1_Raw!$B$1:$BO$1,0))),0)</f>
        <v>10057.969</v>
      </c>
      <c r="D46" s="4" t="n">
        <f aca="false">IFERROR(IF(Months_Ref!$A$4="",0,INDEX(Acct1_Raw!$B$3:$BO$26,MATCH(Months_Ref!$A$4,Acct1_Raw!$A$3:$A$26,0),MATCH($A46,Acct1_Raw!$B$1:$BO$1,0))),0)</f>
        <v>8445.976</v>
      </c>
      <c r="E46" s="4" t="n">
        <f aca="false">IFERROR(IF(Months_Ref!$A$5="",0,INDEX(Acct1_Raw!$B$3:$BO$26,MATCH(Months_Ref!$A$5,Acct1_Raw!$A$3:$A$26,0),MATCH($A46,Acct1_Raw!$B$1:$BO$1,0))),0)</f>
        <v>8916.965</v>
      </c>
      <c r="F46" s="4" t="n">
        <f aca="false">IFERROR(IF(Months_Ref!$A$6="",0,INDEX(Acct1_Raw!$B$3:$BO$26,MATCH(Months_Ref!$A$6,Acct1_Raw!$A$3:$A$26,0),MATCH($A46,Acct1_Raw!$B$1:$BO$1,0))),0)</f>
        <v>8396.94</v>
      </c>
      <c r="G46" s="4" t="n">
        <f aca="false">IFERROR(IF(Months_Ref!$A$7="",0,INDEX(Acct1_Raw!$B$3:$BO$26,MATCH(Months_Ref!$A$7,Acct1_Raw!$A$3:$A$26,0),MATCH($A46,Acct1_Raw!$B$1:$BO$1,0))),0)</f>
        <v>8329.916</v>
      </c>
      <c r="H46" s="4" t="n">
        <f aca="false">IFERROR(IF(Months_Ref!$A$2="",0,INDEX(Acct2_Raw!$B$3:$BO$26,MATCH(Months_Ref!$A$2,Acct2_Raw!$A$3:$A$26,0),MATCH($A46,Acct2_Raw!$B$1:$BO$1,0))),0)</f>
        <v>12798.692</v>
      </c>
      <c r="I46" s="4" t="n">
        <f aca="false">IFERROR(IF(Months_Ref!$A$3="",0,INDEX(Acct2_Raw!$B$3:$BO$26,MATCH(Months_Ref!$A$3,Acct2_Raw!$A$3:$A$26,0),MATCH($A46,Acct2_Raw!$B$1:$BO$1,0))),0)</f>
        <v>12278.082</v>
      </c>
      <c r="J46" s="4" t="n">
        <f aca="false">IFERROR(IF(Months_Ref!$A$4="",0,INDEX(Acct2_Raw!$B$3:$BO$26,MATCH(Months_Ref!$A$4,Acct2_Raw!$A$3:$A$26,0),MATCH($A46,Acct2_Raw!$B$1:$BO$1,0))),0)</f>
        <v>14413.834</v>
      </c>
      <c r="K46" s="4" t="n">
        <f aca="false">IFERROR(IF(Months_Ref!$A$5="",0,INDEX(Acct2_Raw!$B$3:$BO$26,MATCH(Months_Ref!$A$5,Acct2_Raw!$A$3:$A$26,0),MATCH($A46,Acct2_Raw!$B$1:$BO$1,0))),0)</f>
        <v>12989.169</v>
      </c>
      <c r="L46" s="4" t="n">
        <f aca="false">IFERROR(IF(Months_Ref!$A$6="",0,INDEX(Acct2_Raw!$B$3:$BO$26,MATCH(Months_Ref!$A$6,Acct2_Raw!$A$3:$A$26,0),MATCH($A46,Acct2_Raw!$B$1:$BO$1,0))),0)</f>
        <v>13227.697</v>
      </c>
      <c r="M46" s="4" t="n">
        <f aca="false">IFERROR(IF(Months_Ref!$A$7="",0,INDEX(Acct2_Raw!$B$3:$BO$26,MATCH(Months_Ref!$A$7,Acct2_Raw!$A$3:$A$26,0),MATCH($A46,Acct2_Raw!$B$1:$BO$1,0))),0)</f>
        <v>13551.787</v>
      </c>
      <c r="N46" s="4" t="n">
        <f aca="false">B46+H46</f>
        <v>22251.945</v>
      </c>
      <c r="O46" s="4" t="n">
        <f aca="false">C46+I46</f>
        <v>22336.051</v>
      </c>
      <c r="P46" s="4" t="n">
        <f aca="false">D46+J46</f>
        <v>22859.81</v>
      </c>
      <c r="Q46" s="4" t="n">
        <f aca="false">E46+K46</f>
        <v>21906.134</v>
      </c>
      <c r="R46" s="4" t="n">
        <f aca="false">F46+L46</f>
        <v>21624.637</v>
      </c>
      <c r="S46" s="4" t="n">
        <f aca="false">G46+M46</f>
        <v>21881.703</v>
      </c>
    </row>
    <row r="47" customFormat="false" ht="15" hidden="false" customHeight="false" outlineLevel="0" collapsed="false">
      <c r="A47" s="3" t="s">
        <v>23</v>
      </c>
      <c r="B47" s="4" t="n">
        <f aca="false">IFERROR(IF(Months_Ref!$A$2="",0,INDEX(Acct1_Raw!$B$3:$BO$26,MATCH(Months_Ref!$A$2,Acct1_Raw!$A$3:$A$26,0),MATCH($A47,Acct1_Raw!$B$1:$BO$1,0))),0)</f>
        <v>4581.941</v>
      </c>
      <c r="C47" s="4" t="n">
        <f aca="false">IFERROR(IF(Months_Ref!$A$3="",0,INDEX(Acct1_Raw!$B$3:$BO$26,MATCH(Months_Ref!$A$3,Acct1_Raw!$A$3:$A$26,0),MATCH($A47,Acct1_Raw!$B$1:$BO$1,0))),0)</f>
        <v>5896.663</v>
      </c>
      <c r="D47" s="4" t="n">
        <f aca="false">IFERROR(IF(Months_Ref!$A$4="",0,INDEX(Acct1_Raw!$B$3:$BO$26,MATCH(Months_Ref!$A$4,Acct1_Raw!$A$3:$A$26,0),MATCH($A47,Acct1_Raw!$B$1:$BO$1,0))),0)</f>
        <v>5706.512</v>
      </c>
      <c r="E47" s="4" t="n">
        <f aca="false">IFERROR(IF(Months_Ref!$A$5="",0,INDEX(Acct1_Raw!$B$3:$BO$26,MATCH(Months_Ref!$A$5,Acct1_Raw!$A$3:$A$26,0),MATCH($A47,Acct1_Raw!$B$1:$BO$1,0))),0)</f>
        <v>5850.954</v>
      </c>
      <c r="F47" s="4" t="n">
        <f aca="false">IFERROR(IF(Months_Ref!$A$6="",0,INDEX(Acct1_Raw!$B$3:$BO$26,MATCH(Months_Ref!$A$6,Acct1_Raw!$A$3:$A$26,0),MATCH($A47,Acct1_Raw!$B$1:$BO$1,0))),0)</f>
        <v>5712.148</v>
      </c>
      <c r="G47" s="4" t="n">
        <f aca="false">IFERROR(IF(Months_Ref!$A$7="",0,INDEX(Acct1_Raw!$B$3:$BO$26,MATCH(Months_Ref!$A$7,Acct1_Raw!$A$3:$A$26,0),MATCH($A47,Acct1_Raw!$B$1:$BO$1,0))),0)</f>
        <v>5717.902</v>
      </c>
      <c r="H47" s="4" t="n">
        <f aca="false">IFERROR(IF(Months_Ref!$A$2="",0,INDEX(Acct2_Raw!$B$3:$BO$26,MATCH(Months_Ref!$A$2,Acct2_Raw!$A$3:$A$26,0),MATCH($A47,Acct2_Raw!$B$1:$BO$1,0))),0)</f>
        <v>1819.557</v>
      </c>
      <c r="I47" s="4" t="n">
        <f aca="false">IFERROR(IF(Months_Ref!$A$3="",0,INDEX(Acct2_Raw!$B$3:$BO$26,MATCH(Months_Ref!$A$3,Acct2_Raw!$A$3:$A$26,0),MATCH($A47,Acct2_Raw!$B$1:$BO$1,0))),0)</f>
        <v>1847.866</v>
      </c>
      <c r="J47" s="4" t="n">
        <f aca="false">IFERROR(IF(Months_Ref!$A$4="",0,INDEX(Acct2_Raw!$B$3:$BO$26,MATCH(Months_Ref!$A$4,Acct2_Raw!$A$3:$A$26,0),MATCH($A47,Acct2_Raw!$B$1:$BO$1,0))),0)</f>
        <v>2127.275</v>
      </c>
      <c r="K47" s="4" t="n">
        <f aca="false">IFERROR(IF(Months_Ref!$A$5="",0,INDEX(Acct2_Raw!$B$3:$BO$26,MATCH(Months_Ref!$A$5,Acct2_Raw!$A$3:$A$26,0),MATCH($A47,Acct2_Raw!$B$1:$BO$1,0))),0)</f>
        <v>2001.208</v>
      </c>
      <c r="L47" s="4" t="n">
        <f aca="false">IFERROR(IF(Months_Ref!$A$6="",0,INDEX(Acct2_Raw!$B$3:$BO$26,MATCH(Months_Ref!$A$6,Acct2_Raw!$A$3:$A$26,0),MATCH($A47,Acct2_Raw!$B$1:$BO$1,0))),0)</f>
        <v>2364.925</v>
      </c>
      <c r="M47" s="4" t="n">
        <f aca="false">IFERROR(IF(Months_Ref!$A$7="",0,INDEX(Acct2_Raw!$B$3:$BO$26,MATCH(Months_Ref!$A$7,Acct2_Raw!$A$3:$A$26,0),MATCH($A47,Acct2_Raw!$B$1:$BO$1,0))),0)</f>
        <v>2222.029</v>
      </c>
      <c r="N47" s="4" t="n">
        <f aca="false">B47+H47</f>
        <v>6401.498</v>
      </c>
      <c r="O47" s="4" t="n">
        <f aca="false">C47+I47</f>
        <v>7744.529</v>
      </c>
      <c r="P47" s="4" t="n">
        <f aca="false">D47+J47</f>
        <v>7833.787</v>
      </c>
      <c r="Q47" s="4" t="n">
        <f aca="false">E47+K47</f>
        <v>7852.162</v>
      </c>
      <c r="R47" s="4" t="n">
        <f aca="false">F47+L47</f>
        <v>8077.073</v>
      </c>
      <c r="S47" s="4" t="n">
        <f aca="false">G47+M47</f>
        <v>7939.931</v>
      </c>
    </row>
    <row r="48" customFormat="false" ht="15" hidden="false" customHeight="false" outlineLevel="0" collapsed="false">
      <c r="A48" s="3" t="s">
        <v>26</v>
      </c>
      <c r="B48" s="4" t="n">
        <f aca="false">IFERROR(IF(Months_Ref!$A$2="",0,INDEX(Acct1_Raw!$B$3:$BO$26,MATCH(Months_Ref!$A$2,Acct1_Raw!$A$3:$A$26,0),MATCH($A48,Acct1_Raw!$B$1:$BO$1,0))),0)</f>
        <v>5250.775</v>
      </c>
      <c r="C48" s="4" t="n">
        <f aca="false">IFERROR(IF(Months_Ref!$A$3="",0,INDEX(Acct1_Raw!$B$3:$BO$26,MATCH(Months_Ref!$A$3,Acct1_Raw!$A$3:$A$26,0),MATCH($A48,Acct1_Raw!$B$1:$BO$1,0))),0)</f>
        <v>5495.796</v>
      </c>
      <c r="D48" s="4" t="n">
        <f aca="false">IFERROR(IF(Months_Ref!$A$4="",0,INDEX(Acct1_Raw!$B$3:$BO$26,MATCH(Months_Ref!$A$4,Acct1_Raw!$A$3:$A$26,0),MATCH($A48,Acct1_Raw!$B$1:$BO$1,0))),0)</f>
        <v>4772.557</v>
      </c>
      <c r="E48" s="4" t="n">
        <f aca="false">IFERROR(IF(Months_Ref!$A$5="",0,INDEX(Acct1_Raw!$B$3:$BO$26,MATCH(Months_Ref!$A$5,Acct1_Raw!$A$3:$A$26,0),MATCH($A48,Acct1_Raw!$B$1:$BO$1,0))),0)</f>
        <v>4621.996</v>
      </c>
      <c r="F48" s="4" t="n">
        <f aca="false">IFERROR(IF(Months_Ref!$A$6="",0,INDEX(Acct1_Raw!$B$3:$BO$26,MATCH(Months_Ref!$A$6,Acct1_Raw!$A$3:$A$26,0),MATCH($A48,Acct1_Raw!$B$1:$BO$1,0))),0)</f>
        <v>5314.394</v>
      </c>
      <c r="G48" s="4" t="n">
        <f aca="false">IFERROR(IF(Months_Ref!$A$7="",0,INDEX(Acct1_Raw!$B$3:$BO$26,MATCH(Months_Ref!$A$7,Acct1_Raw!$A$3:$A$26,0),MATCH($A48,Acct1_Raw!$B$1:$BO$1,0))),0)</f>
        <v>5495.091</v>
      </c>
      <c r="H48" s="4" t="n">
        <f aca="false">IFERROR(IF(Months_Ref!$A$2="",0,INDEX(Acct2_Raw!$B$3:$BO$26,MATCH(Months_Ref!$A$2,Acct2_Raw!$A$3:$A$26,0),MATCH($A48,Acct2_Raw!$B$1:$BO$1,0))),0)</f>
        <v>7561.849</v>
      </c>
      <c r="I48" s="4" t="n">
        <f aca="false">IFERROR(IF(Months_Ref!$A$3="",0,INDEX(Acct2_Raw!$B$3:$BO$26,MATCH(Months_Ref!$A$3,Acct2_Raw!$A$3:$A$26,0),MATCH($A48,Acct2_Raw!$B$1:$BO$1,0))),0)</f>
        <v>6574.922</v>
      </c>
      <c r="J48" s="4" t="n">
        <f aca="false">IFERROR(IF(Months_Ref!$A$4="",0,INDEX(Acct2_Raw!$B$3:$BO$26,MATCH(Months_Ref!$A$4,Acct2_Raw!$A$3:$A$26,0),MATCH($A48,Acct2_Raw!$B$1:$BO$1,0))),0)</f>
        <v>6289.953</v>
      </c>
      <c r="K48" s="4" t="n">
        <f aca="false">IFERROR(IF(Months_Ref!$A$5="",0,INDEX(Acct2_Raw!$B$3:$BO$26,MATCH(Months_Ref!$A$5,Acct2_Raw!$A$3:$A$26,0),MATCH($A48,Acct2_Raw!$B$1:$BO$1,0))),0)</f>
        <v>7665.417</v>
      </c>
      <c r="L48" s="4" t="n">
        <f aca="false">IFERROR(IF(Months_Ref!$A$6="",0,INDEX(Acct2_Raw!$B$3:$BO$26,MATCH(Months_Ref!$A$6,Acct2_Raw!$A$3:$A$26,0),MATCH($A48,Acct2_Raw!$B$1:$BO$1,0))),0)</f>
        <v>6108.108</v>
      </c>
      <c r="M48" s="4" t="n">
        <f aca="false">IFERROR(IF(Months_Ref!$A$7="",0,INDEX(Acct2_Raw!$B$3:$BO$26,MATCH(Months_Ref!$A$7,Acct2_Raw!$A$3:$A$26,0),MATCH($A48,Acct2_Raw!$B$1:$BO$1,0))),0)</f>
        <v>6991.086</v>
      </c>
      <c r="N48" s="4" t="n">
        <f aca="false">B48+H48</f>
        <v>12812.624</v>
      </c>
      <c r="O48" s="4" t="n">
        <f aca="false">C48+I48</f>
        <v>12070.718</v>
      </c>
      <c r="P48" s="4" t="n">
        <f aca="false">D48+J48</f>
        <v>11062.51</v>
      </c>
      <c r="Q48" s="4" t="n">
        <f aca="false">E48+K48</f>
        <v>12287.413</v>
      </c>
      <c r="R48" s="4" t="n">
        <f aca="false">F48+L48</f>
        <v>11422.502</v>
      </c>
      <c r="S48" s="4" t="n">
        <f aca="false">G48+M48</f>
        <v>12486.177</v>
      </c>
    </row>
    <row r="49" customFormat="false" ht="15" hidden="false" customHeight="false" outlineLevel="0" collapsed="false">
      <c r="A49" s="3" t="s">
        <v>1</v>
      </c>
      <c r="B49" s="4" t="n">
        <f aca="false">IFERROR(IF(Months_Ref!$A$2="",0,INDEX(Acct1_Raw!$B$3:$BO$26,MATCH(Months_Ref!$A$2,Acct1_Raw!$A$3:$A$26,0),MATCH($A49,Acct1_Raw!$B$1:$BO$1,0))),0)</f>
        <v>10719.241</v>
      </c>
      <c r="C49" s="4" t="n">
        <f aca="false">IFERROR(IF(Months_Ref!$A$3="",0,INDEX(Acct1_Raw!$B$3:$BO$26,MATCH(Months_Ref!$A$3,Acct1_Raw!$A$3:$A$26,0),MATCH($A49,Acct1_Raw!$B$1:$BO$1,0))),0)</f>
        <v>11069.506</v>
      </c>
      <c r="D49" s="4" t="n">
        <f aca="false">IFERROR(IF(Months_Ref!$A$4="",0,INDEX(Acct1_Raw!$B$3:$BO$26,MATCH(Months_Ref!$A$4,Acct1_Raw!$A$3:$A$26,0),MATCH($A49,Acct1_Raw!$B$1:$BO$1,0))),0)</f>
        <v>10591.394</v>
      </c>
      <c r="E49" s="4" t="n">
        <f aca="false">IFERROR(IF(Months_Ref!$A$5="",0,INDEX(Acct1_Raw!$B$3:$BO$26,MATCH(Months_Ref!$A$5,Acct1_Raw!$A$3:$A$26,0),MATCH($A49,Acct1_Raw!$B$1:$BO$1,0))),0)</f>
        <v>10524.977</v>
      </c>
      <c r="F49" s="4" t="n">
        <f aca="false">IFERROR(IF(Months_Ref!$A$6="",0,INDEX(Acct1_Raw!$B$3:$BO$26,MATCH(Months_Ref!$A$6,Acct1_Raw!$A$3:$A$26,0),MATCH($A49,Acct1_Raw!$B$1:$BO$1,0))),0)</f>
        <v>9424.96</v>
      </c>
      <c r="G49" s="4" t="n">
        <f aca="false">IFERROR(IF(Months_Ref!$A$7="",0,INDEX(Acct1_Raw!$B$3:$BO$26,MATCH(Months_Ref!$A$7,Acct1_Raw!$A$3:$A$26,0),MATCH($A49,Acct1_Raw!$B$1:$BO$1,0))),0)</f>
        <v>8968.118</v>
      </c>
      <c r="H49" s="4" t="n">
        <f aca="false">IFERROR(IF(Months_Ref!$A$2="",0,INDEX(Acct2_Raw!$B$3:$BO$26,MATCH(Months_Ref!$A$2,Acct2_Raw!$A$3:$A$26,0),MATCH($A49,Acct2_Raw!$B$1:$BO$1,0))),0)</f>
        <v>7898.098</v>
      </c>
      <c r="I49" s="4" t="n">
        <f aca="false">IFERROR(IF(Months_Ref!$A$3="",0,INDEX(Acct2_Raw!$B$3:$BO$26,MATCH(Months_Ref!$A$3,Acct2_Raw!$A$3:$A$26,0),MATCH($A49,Acct2_Raw!$B$1:$BO$1,0))),0)</f>
        <v>7596.897</v>
      </c>
      <c r="J49" s="4" t="n">
        <f aca="false">IFERROR(IF(Months_Ref!$A$4="",0,INDEX(Acct2_Raw!$B$3:$BO$26,MATCH(Months_Ref!$A$4,Acct2_Raw!$A$3:$A$26,0),MATCH($A49,Acct2_Raw!$B$1:$BO$1,0))),0)</f>
        <v>7489.551</v>
      </c>
      <c r="K49" s="4" t="n">
        <f aca="false">IFERROR(IF(Months_Ref!$A$5="",0,INDEX(Acct2_Raw!$B$3:$BO$26,MATCH(Months_Ref!$A$5,Acct2_Raw!$A$3:$A$26,0),MATCH($A49,Acct2_Raw!$B$1:$BO$1,0))),0)</f>
        <v>7486.077</v>
      </c>
      <c r="L49" s="4" t="n">
        <f aca="false">IFERROR(IF(Months_Ref!$A$6="",0,INDEX(Acct2_Raw!$B$3:$BO$26,MATCH(Months_Ref!$A$6,Acct2_Raw!$A$3:$A$26,0),MATCH($A49,Acct2_Raw!$B$1:$BO$1,0))),0)</f>
        <v>9317.598</v>
      </c>
      <c r="M49" s="4" t="n">
        <f aca="false">IFERROR(IF(Months_Ref!$A$7="",0,INDEX(Acct2_Raw!$B$3:$BO$26,MATCH(Months_Ref!$A$7,Acct2_Raw!$A$3:$A$26,0),MATCH($A49,Acct2_Raw!$B$1:$BO$1,0))),0)</f>
        <v>10067.384</v>
      </c>
      <c r="N49" s="4" t="n">
        <f aca="false">B49+H49</f>
        <v>18617.339</v>
      </c>
      <c r="O49" s="4" t="n">
        <f aca="false">C49+I49</f>
        <v>18666.403</v>
      </c>
      <c r="P49" s="4" t="n">
        <f aca="false">D49+J49</f>
        <v>18080.945</v>
      </c>
      <c r="Q49" s="4" t="n">
        <f aca="false">E49+K49</f>
        <v>18011.054</v>
      </c>
      <c r="R49" s="4" t="n">
        <f aca="false">F49+L49</f>
        <v>18742.558</v>
      </c>
      <c r="S49" s="4" t="n">
        <f aca="false">G49+M49</f>
        <v>19035.502</v>
      </c>
    </row>
    <row r="50" customFormat="false" ht="15" hidden="false" customHeight="false" outlineLevel="0" collapsed="false">
      <c r="A50" s="3" t="s">
        <v>8</v>
      </c>
      <c r="B50" s="4" t="n">
        <f aca="false">IFERROR(IF(Months_Ref!$A$2="",0,INDEX(Acct1_Raw!$B$3:$BO$26,MATCH(Months_Ref!$A$2,Acct1_Raw!$A$3:$A$26,0),MATCH($A50,Acct1_Raw!$B$1:$BO$1,0))),0)</f>
        <v>1239.827</v>
      </c>
      <c r="C50" s="4" t="n">
        <f aca="false">IFERROR(IF(Months_Ref!$A$3="",0,INDEX(Acct1_Raw!$B$3:$BO$26,MATCH(Months_Ref!$A$3,Acct1_Raw!$A$3:$A$26,0),MATCH($A50,Acct1_Raw!$B$1:$BO$1,0))),0)</f>
        <v>1275.558</v>
      </c>
      <c r="D50" s="4" t="n">
        <f aca="false">IFERROR(IF(Months_Ref!$A$4="",0,INDEX(Acct1_Raw!$B$3:$BO$26,MATCH(Months_Ref!$A$4,Acct1_Raw!$A$3:$A$26,0),MATCH($A50,Acct1_Raw!$B$1:$BO$1,0))),0)</f>
        <v>1311.405</v>
      </c>
      <c r="E50" s="4" t="n">
        <f aca="false">IFERROR(IF(Months_Ref!$A$5="",0,INDEX(Acct1_Raw!$B$3:$BO$26,MATCH(Months_Ref!$A$5,Acct1_Raw!$A$3:$A$26,0),MATCH($A50,Acct1_Raw!$B$1:$BO$1,0))),0)</f>
        <v>1527.917</v>
      </c>
      <c r="F50" s="4" t="n">
        <f aca="false">IFERROR(IF(Months_Ref!$A$6="",0,INDEX(Acct1_Raw!$B$3:$BO$26,MATCH(Months_Ref!$A$6,Acct1_Raw!$A$3:$A$26,0),MATCH($A50,Acct1_Raw!$B$1:$BO$1,0))),0)</f>
        <v>1563.33</v>
      </c>
      <c r="G50" s="4" t="n">
        <f aca="false">IFERROR(IF(Months_Ref!$A$7="",0,INDEX(Acct1_Raw!$B$3:$BO$26,MATCH(Months_Ref!$A$7,Acct1_Raw!$A$3:$A$26,0),MATCH($A50,Acct1_Raw!$B$1:$BO$1,0))),0)</f>
        <v>1212.968</v>
      </c>
      <c r="H50" s="4" t="n">
        <f aca="false">IFERROR(IF(Months_Ref!$A$2="",0,INDEX(Acct2_Raw!$B$3:$BO$26,MATCH(Months_Ref!$A$2,Acct2_Raw!$A$3:$A$26,0),MATCH($A50,Acct2_Raw!$B$1:$BO$1,0))),0)</f>
        <v>1510.105</v>
      </c>
      <c r="I50" s="4" t="n">
        <f aca="false">IFERROR(IF(Months_Ref!$A$3="",0,INDEX(Acct2_Raw!$B$3:$BO$26,MATCH(Months_Ref!$A$3,Acct2_Raw!$A$3:$A$26,0),MATCH($A50,Acct2_Raw!$B$1:$BO$1,0))),0)</f>
        <v>1743.431</v>
      </c>
      <c r="J50" s="4" t="n">
        <f aca="false">IFERROR(IF(Months_Ref!$A$4="",0,INDEX(Acct2_Raw!$B$3:$BO$26,MATCH(Months_Ref!$A$4,Acct2_Raw!$A$3:$A$26,0),MATCH($A50,Acct2_Raw!$B$1:$BO$1,0))),0)</f>
        <v>1528.405</v>
      </c>
      <c r="K50" s="4" t="n">
        <f aca="false">IFERROR(IF(Months_Ref!$A$5="",0,INDEX(Acct2_Raw!$B$3:$BO$26,MATCH(Months_Ref!$A$5,Acct2_Raw!$A$3:$A$26,0),MATCH($A50,Acct2_Raw!$B$1:$BO$1,0))),0)</f>
        <v>1567.877</v>
      </c>
      <c r="L50" s="4" t="n">
        <f aca="false">IFERROR(IF(Months_Ref!$A$6="",0,INDEX(Acct2_Raw!$B$3:$BO$26,MATCH(Months_Ref!$A$6,Acct2_Raw!$A$3:$A$26,0),MATCH($A50,Acct2_Raw!$B$1:$BO$1,0))),0)</f>
        <v>1349.332</v>
      </c>
      <c r="M50" s="4" t="n">
        <f aca="false">IFERROR(IF(Months_Ref!$A$7="",0,INDEX(Acct2_Raw!$B$3:$BO$26,MATCH(Months_Ref!$A$7,Acct2_Raw!$A$3:$A$26,0),MATCH($A50,Acct2_Raw!$B$1:$BO$1,0))),0)</f>
        <v>1756.175</v>
      </c>
      <c r="N50" s="4" t="n">
        <f aca="false">B50+H50</f>
        <v>2749.932</v>
      </c>
      <c r="O50" s="4" t="n">
        <f aca="false">C50+I50</f>
        <v>3018.989</v>
      </c>
      <c r="P50" s="4" t="n">
        <f aca="false">D50+J50</f>
        <v>2839.81</v>
      </c>
      <c r="Q50" s="4" t="n">
        <f aca="false">E50+K50</f>
        <v>3095.794</v>
      </c>
      <c r="R50" s="4" t="n">
        <f aca="false">F50+L50</f>
        <v>2912.662</v>
      </c>
      <c r="S50" s="4" t="n">
        <f aca="false">G50+M50</f>
        <v>2969.143</v>
      </c>
    </row>
    <row r="51" customFormat="false" ht="15" hidden="false" customHeight="false" outlineLevel="0" collapsed="false">
      <c r="A51" s="3" t="s">
        <v>2</v>
      </c>
      <c r="B51" s="4" t="n">
        <f aca="false">IFERROR(IF(Months_Ref!$A$2="",0,INDEX(Acct1_Raw!$B$3:$BO$26,MATCH(Months_Ref!$A$2,Acct1_Raw!$A$3:$A$26,0),MATCH($A51,Acct1_Raw!$B$1:$BO$1,0))),0)</f>
        <v>536.037</v>
      </c>
      <c r="C51" s="4" t="n">
        <f aca="false">IFERROR(IF(Months_Ref!$A$3="",0,INDEX(Acct1_Raw!$B$3:$BO$26,MATCH(Months_Ref!$A$3,Acct1_Raw!$A$3:$A$26,0),MATCH($A51,Acct1_Raw!$B$1:$BO$1,0))),0)</f>
        <v>520.308</v>
      </c>
      <c r="D51" s="4" t="n">
        <f aca="false">IFERROR(IF(Months_Ref!$A$4="",0,INDEX(Acct1_Raw!$B$3:$BO$26,MATCH(Months_Ref!$A$4,Acct1_Raw!$A$3:$A$26,0),MATCH($A51,Acct1_Raw!$B$1:$BO$1,0))),0)</f>
        <v>501.522</v>
      </c>
      <c r="E51" s="4" t="n">
        <f aca="false">IFERROR(IF(Months_Ref!$A$5="",0,INDEX(Acct1_Raw!$B$3:$BO$26,MATCH(Months_Ref!$A$5,Acct1_Raw!$A$3:$A$26,0),MATCH($A51,Acct1_Raw!$B$1:$BO$1,0))),0)</f>
        <v>439.594</v>
      </c>
      <c r="F51" s="4" t="n">
        <f aca="false">IFERROR(IF(Months_Ref!$A$6="",0,INDEX(Acct1_Raw!$B$3:$BO$26,MATCH(Months_Ref!$A$6,Acct1_Raw!$A$3:$A$26,0),MATCH($A51,Acct1_Raw!$B$1:$BO$1,0))),0)</f>
        <v>484.002</v>
      </c>
      <c r="G51" s="4" t="n">
        <f aca="false">IFERROR(IF(Months_Ref!$A$7="",0,INDEX(Acct1_Raw!$B$3:$BO$26,MATCH(Months_Ref!$A$7,Acct1_Raw!$A$3:$A$26,0),MATCH($A51,Acct1_Raw!$B$1:$BO$1,0))),0)</f>
        <v>447.095</v>
      </c>
      <c r="H51" s="4" t="n">
        <f aca="false">IFERROR(IF(Months_Ref!$A$2="",0,INDEX(Acct2_Raw!$B$3:$BO$26,MATCH(Months_Ref!$A$2,Acct2_Raw!$A$3:$A$26,0),MATCH($A51,Acct2_Raw!$B$1:$BO$1,0))),0)</f>
        <v>8927.59</v>
      </c>
      <c r="I51" s="4" t="n">
        <f aca="false">IFERROR(IF(Months_Ref!$A$3="",0,INDEX(Acct2_Raw!$B$3:$BO$26,MATCH(Months_Ref!$A$3,Acct2_Raw!$A$3:$A$26,0),MATCH($A51,Acct2_Raw!$B$1:$BO$1,0))),0)</f>
        <v>9268.954</v>
      </c>
      <c r="J51" s="4" t="n">
        <f aca="false">IFERROR(IF(Months_Ref!$A$4="",0,INDEX(Acct2_Raw!$B$3:$BO$26,MATCH(Months_Ref!$A$4,Acct2_Raw!$A$3:$A$26,0),MATCH($A51,Acct2_Raw!$B$1:$BO$1,0))),0)</f>
        <v>10298.611</v>
      </c>
      <c r="K51" s="4" t="n">
        <f aca="false">IFERROR(IF(Months_Ref!$A$5="",0,INDEX(Acct2_Raw!$B$3:$BO$26,MATCH(Months_Ref!$A$5,Acct2_Raw!$A$3:$A$26,0),MATCH($A51,Acct2_Raw!$B$1:$BO$1,0))),0)</f>
        <v>8975.088</v>
      </c>
      <c r="L51" s="4" t="n">
        <f aca="false">IFERROR(IF(Months_Ref!$A$6="",0,INDEX(Acct2_Raw!$B$3:$BO$26,MATCH(Months_Ref!$A$6,Acct2_Raw!$A$3:$A$26,0),MATCH($A51,Acct2_Raw!$B$1:$BO$1,0))),0)</f>
        <v>11077.956</v>
      </c>
      <c r="M51" s="4" t="n">
        <f aca="false">IFERROR(IF(Months_Ref!$A$7="",0,INDEX(Acct2_Raw!$B$3:$BO$26,MATCH(Months_Ref!$A$7,Acct2_Raw!$A$3:$A$26,0),MATCH($A51,Acct2_Raw!$B$1:$BO$1,0))),0)</f>
        <v>11752.892</v>
      </c>
      <c r="N51" s="4" t="n">
        <f aca="false">B51+H51</f>
        <v>9463.627</v>
      </c>
      <c r="O51" s="4" t="n">
        <f aca="false">C51+I51</f>
        <v>9789.262</v>
      </c>
      <c r="P51" s="4" t="n">
        <f aca="false">D51+J51</f>
        <v>10800.133</v>
      </c>
      <c r="Q51" s="4" t="n">
        <f aca="false">E51+K51</f>
        <v>9414.682</v>
      </c>
      <c r="R51" s="4" t="n">
        <f aca="false">F51+L51</f>
        <v>11561.958</v>
      </c>
      <c r="S51" s="4" t="n">
        <f aca="false">G51+M51</f>
        <v>12199.987</v>
      </c>
    </row>
    <row r="52" customFormat="false" ht="15" hidden="false" customHeight="false" outlineLevel="0" collapsed="false">
      <c r="A52" s="3" t="s">
        <v>10</v>
      </c>
      <c r="B52" s="4" t="n">
        <f aca="false">IFERROR(IF(Months_Ref!$A$2="",0,INDEX(Acct1_Raw!$B$3:$BO$26,MATCH(Months_Ref!$A$2,Acct1_Raw!$A$3:$A$26,0),MATCH($A52,Acct1_Raw!$B$1:$BO$1,0))),0)</f>
        <v>552.106</v>
      </c>
      <c r="C52" s="4" t="n">
        <f aca="false">IFERROR(IF(Months_Ref!$A$3="",0,INDEX(Acct1_Raw!$B$3:$BO$26,MATCH(Months_Ref!$A$3,Acct1_Raw!$A$3:$A$26,0),MATCH($A52,Acct1_Raw!$B$1:$BO$1,0))),0)</f>
        <v>471.951</v>
      </c>
      <c r="D52" s="4" t="n">
        <f aca="false">IFERROR(IF(Months_Ref!$A$4="",0,INDEX(Acct1_Raw!$B$3:$BO$26,MATCH(Months_Ref!$A$4,Acct1_Raw!$A$3:$A$26,0),MATCH($A52,Acct1_Raw!$B$1:$BO$1,0))),0)</f>
        <v>615.609</v>
      </c>
      <c r="E52" s="4" t="n">
        <f aca="false">IFERROR(IF(Months_Ref!$A$5="",0,INDEX(Acct1_Raw!$B$3:$BO$26,MATCH(Months_Ref!$A$5,Acct1_Raw!$A$3:$A$26,0),MATCH($A52,Acct1_Raw!$B$1:$BO$1,0))),0)</f>
        <v>512.187</v>
      </c>
      <c r="F52" s="4" t="n">
        <f aca="false">IFERROR(IF(Months_Ref!$A$6="",0,INDEX(Acct1_Raw!$B$3:$BO$26,MATCH(Months_Ref!$A$6,Acct1_Raw!$A$3:$A$26,0),MATCH($A52,Acct1_Raw!$B$1:$BO$1,0))),0)</f>
        <v>490.074</v>
      </c>
      <c r="G52" s="4" t="n">
        <f aca="false">IFERROR(IF(Months_Ref!$A$7="",0,INDEX(Acct1_Raw!$B$3:$BO$26,MATCH(Months_Ref!$A$7,Acct1_Raw!$A$3:$A$26,0),MATCH($A52,Acct1_Raw!$B$1:$BO$1,0))),0)</f>
        <v>550.932</v>
      </c>
      <c r="H52" s="4" t="n">
        <f aca="false">IFERROR(IF(Months_Ref!$A$2="",0,INDEX(Acct2_Raw!$B$3:$BO$26,MATCH(Months_Ref!$A$2,Acct2_Raw!$A$3:$A$26,0),MATCH($A52,Acct2_Raw!$B$1:$BO$1,0))),0)</f>
        <v>7936.271</v>
      </c>
      <c r="I52" s="4" t="n">
        <f aca="false">IFERROR(IF(Months_Ref!$A$3="",0,INDEX(Acct2_Raw!$B$3:$BO$26,MATCH(Months_Ref!$A$3,Acct2_Raw!$A$3:$A$26,0),MATCH($A52,Acct2_Raw!$B$1:$BO$1,0))),0)</f>
        <v>7675.444</v>
      </c>
      <c r="J52" s="4" t="n">
        <f aca="false">IFERROR(IF(Months_Ref!$A$4="",0,INDEX(Acct2_Raw!$B$3:$BO$26,MATCH(Months_Ref!$A$4,Acct2_Raw!$A$3:$A$26,0),MATCH($A52,Acct2_Raw!$B$1:$BO$1,0))),0)</f>
        <v>7474.942</v>
      </c>
      <c r="K52" s="4" t="n">
        <f aca="false">IFERROR(IF(Months_Ref!$A$5="",0,INDEX(Acct2_Raw!$B$3:$BO$26,MATCH(Months_Ref!$A$5,Acct2_Raw!$A$3:$A$26,0),MATCH($A52,Acct2_Raw!$B$1:$BO$1,0))),0)</f>
        <v>8883.767</v>
      </c>
      <c r="L52" s="4" t="n">
        <f aca="false">IFERROR(IF(Months_Ref!$A$6="",0,INDEX(Acct2_Raw!$B$3:$BO$26,MATCH(Months_Ref!$A$6,Acct2_Raw!$A$3:$A$26,0),MATCH($A52,Acct2_Raw!$B$1:$BO$1,0))),0)</f>
        <v>7869.399</v>
      </c>
      <c r="M52" s="4" t="n">
        <f aca="false">IFERROR(IF(Months_Ref!$A$7="",0,INDEX(Acct2_Raw!$B$3:$BO$26,MATCH(Months_Ref!$A$7,Acct2_Raw!$A$3:$A$26,0),MATCH($A52,Acct2_Raw!$B$1:$BO$1,0))),0)</f>
        <v>7323.111</v>
      </c>
      <c r="N52" s="4" t="n">
        <f aca="false">B52+H52</f>
        <v>8488.377</v>
      </c>
      <c r="O52" s="4" t="n">
        <f aca="false">C52+I52</f>
        <v>8147.395</v>
      </c>
      <c r="P52" s="4" t="n">
        <f aca="false">D52+J52</f>
        <v>8090.551</v>
      </c>
      <c r="Q52" s="4" t="n">
        <f aca="false">E52+K52</f>
        <v>9395.954</v>
      </c>
      <c r="R52" s="4" t="n">
        <f aca="false">F52+L52</f>
        <v>8359.473</v>
      </c>
      <c r="S52" s="4" t="n">
        <f aca="false">G52+M52</f>
        <v>7874.043</v>
      </c>
    </row>
    <row r="53" customFormat="false" ht="15" hidden="false" customHeight="false" outlineLevel="0" collapsed="false">
      <c r="A53" s="3" t="s">
        <v>11</v>
      </c>
      <c r="B53" s="4" t="n">
        <f aca="false">IFERROR(IF(Months_Ref!$A$2="",0,INDEX(Acct1_Raw!$B$3:$BO$26,MATCH(Months_Ref!$A$2,Acct1_Raw!$A$3:$A$26,0),MATCH($A53,Acct1_Raw!$B$1:$BO$1,0))),0)</f>
        <v>3121.045</v>
      </c>
      <c r="C53" s="4" t="n">
        <f aca="false">IFERROR(IF(Months_Ref!$A$3="",0,INDEX(Acct1_Raw!$B$3:$BO$26,MATCH(Months_Ref!$A$3,Acct1_Raw!$A$3:$A$26,0),MATCH($A53,Acct1_Raw!$B$1:$BO$1,0))),0)</f>
        <v>3235.794</v>
      </c>
      <c r="D53" s="4" t="n">
        <f aca="false">IFERROR(IF(Months_Ref!$A$4="",0,INDEX(Acct1_Raw!$B$3:$BO$26,MATCH(Months_Ref!$A$4,Acct1_Raw!$A$3:$A$26,0),MATCH($A53,Acct1_Raw!$B$1:$BO$1,0))),0)</f>
        <v>2989.323</v>
      </c>
      <c r="E53" s="4" t="n">
        <f aca="false">IFERROR(IF(Months_Ref!$A$5="",0,INDEX(Acct1_Raw!$B$3:$BO$26,MATCH(Months_Ref!$A$5,Acct1_Raw!$A$3:$A$26,0),MATCH($A53,Acct1_Raw!$B$1:$BO$1,0))),0)</f>
        <v>3655.211</v>
      </c>
      <c r="F53" s="4" t="n">
        <f aca="false">IFERROR(IF(Months_Ref!$A$6="",0,INDEX(Acct1_Raw!$B$3:$BO$26,MATCH(Months_Ref!$A$6,Acct1_Raw!$A$3:$A$26,0),MATCH($A53,Acct1_Raw!$B$1:$BO$1,0))),0)</f>
        <v>2939.465</v>
      </c>
      <c r="G53" s="4" t="n">
        <f aca="false">IFERROR(IF(Months_Ref!$A$7="",0,INDEX(Acct1_Raw!$B$3:$BO$26,MATCH(Months_Ref!$A$7,Acct1_Raw!$A$3:$A$26,0),MATCH($A53,Acct1_Raw!$B$1:$BO$1,0))),0)</f>
        <v>3272.864</v>
      </c>
      <c r="H53" s="4" t="n">
        <f aca="false">IFERROR(IF(Months_Ref!$A$2="",0,INDEX(Acct2_Raw!$B$3:$BO$26,MATCH(Months_Ref!$A$2,Acct2_Raw!$A$3:$A$26,0),MATCH($A53,Acct2_Raw!$B$1:$BO$1,0))),0)</f>
        <v>14973.54</v>
      </c>
      <c r="I53" s="4" t="n">
        <f aca="false">IFERROR(IF(Months_Ref!$A$3="",0,INDEX(Acct2_Raw!$B$3:$BO$26,MATCH(Months_Ref!$A$3,Acct2_Raw!$A$3:$A$26,0),MATCH($A53,Acct2_Raw!$B$1:$BO$1,0))),0)</f>
        <v>11209.926</v>
      </c>
      <c r="J53" s="4" t="n">
        <f aca="false">IFERROR(IF(Months_Ref!$A$4="",0,INDEX(Acct2_Raw!$B$3:$BO$26,MATCH(Months_Ref!$A$4,Acct2_Raw!$A$3:$A$26,0),MATCH($A53,Acct2_Raw!$B$1:$BO$1,0))),0)</f>
        <v>11676.622</v>
      </c>
      <c r="K53" s="4" t="n">
        <f aca="false">IFERROR(IF(Months_Ref!$A$5="",0,INDEX(Acct2_Raw!$B$3:$BO$26,MATCH(Months_Ref!$A$5,Acct2_Raw!$A$3:$A$26,0),MATCH($A53,Acct2_Raw!$B$1:$BO$1,0))),0)</f>
        <v>13833.364</v>
      </c>
      <c r="L53" s="4" t="n">
        <f aca="false">IFERROR(IF(Months_Ref!$A$6="",0,INDEX(Acct2_Raw!$B$3:$BO$26,MATCH(Months_Ref!$A$6,Acct2_Raw!$A$3:$A$26,0),MATCH($A53,Acct2_Raw!$B$1:$BO$1,0))),0)</f>
        <v>11212.953</v>
      </c>
      <c r="M53" s="4" t="n">
        <f aca="false">IFERROR(IF(Months_Ref!$A$7="",0,INDEX(Acct2_Raw!$B$3:$BO$26,MATCH(Months_Ref!$A$7,Acct2_Raw!$A$3:$A$26,0),MATCH($A53,Acct2_Raw!$B$1:$BO$1,0))),0)</f>
        <v>13881.928</v>
      </c>
      <c r="N53" s="4" t="n">
        <f aca="false">B53+H53</f>
        <v>18094.585</v>
      </c>
      <c r="O53" s="4" t="n">
        <f aca="false">C53+I53</f>
        <v>14445.72</v>
      </c>
      <c r="P53" s="4" t="n">
        <f aca="false">D53+J53</f>
        <v>14665.945</v>
      </c>
      <c r="Q53" s="4" t="n">
        <f aca="false">E53+K53</f>
        <v>17488.575</v>
      </c>
      <c r="R53" s="4" t="n">
        <f aca="false">F53+L53</f>
        <v>14152.418</v>
      </c>
      <c r="S53" s="4" t="n">
        <f aca="false">G53+M53</f>
        <v>17154.792</v>
      </c>
    </row>
    <row r="54" customFormat="false" ht="15" hidden="false" customHeight="false" outlineLevel="0" collapsed="false">
      <c r="A54" s="3" t="s">
        <v>25</v>
      </c>
      <c r="B54" s="4" t="n">
        <f aca="false">IFERROR(IF(Months_Ref!$A$2="",0,INDEX(Acct1_Raw!$B$3:$BO$26,MATCH(Months_Ref!$A$2,Acct1_Raw!$A$3:$A$26,0),MATCH($A54,Acct1_Raw!$B$1:$BO$1,0))),0)</f>
        <v>13664.827</v>
      </c>
      <c r="C54" s="4" t="n">
        <f aca="false">IFERROR(IF(Months_Ref!$A$3="",0,INDEX(Acct1_Raw!$B$3:$BO$26,MATCH(Months_Ref!$A$3,Acct1_Raw!$A$3:$A$26,0),MATCH($A54,Acct1_Raw!$B$1:$BO$1,0))),0)</f>
        <v>14544.283</v>
      </c>
      <c r="D54" s="4" t="n">
        <f aca="false">IFERROR(IF(Months_Ref!$A$4="",0,INDEX(Acct1_Raw!$B$3:$BO$26,MATCH(Months_Ref!$A$4,Acct1_Raw!$A$3:$A$26,0),MATCH($A54,Acct1_Raw!$B$1:$BO$1,0))),0)</f>
        <v>14033.182</v>
      </c>
      <c r="E54" s="4" t="n">
        <f aca="false">IFERROR(IF(Months_Ref!$A$5="",0,INDEX(Acct1_Raw!$B$3:$BO$26,MATCH(Months_Ref!$A$5,Acct1_Raw!$A$3:$A$26,0),MATCH($A54,Acct1_Raw!$B$1:$BO$1,0))),0)</f>
        <v>16389.31</v>
      </c>
      <c r="F54" s="4" t="n">
        <f aca="false">IFERROR(IF(Months_Ref!$A$6="",0,INDEX(Acct1_Raw!$B$3:$BO$26,MATCH(Months_Ref!$A$6,Acct1_Raw!$A$3:$A$26,0),MATCH($A54,Acct1_Raw!$B$1:$BO$1,0))),0)</f>
        <v>13993.823</v>
      </c>
      <c r="G54" s="4" t="n">
        <f aca="false">IFERROR(IF(Months_Ref!$A$7="",0,INDEX(Acct1_Raw!$B$3:$BO$26,MATCH(Months_Ref!$A$7,Acct1_Raw!$A$3:$A$26,0),MATCH($A54,Acct1_Raw!$B$1:$BO$1,0))),0)</f>
        <v>14013.558</v>
      </c>
      <c r="H54" s="4" t="n">
        <f aca="false">IFERROR(IF(Months_Ref!$A$2="",0,INDEX(Acct2_Raw!$B$3:$BO$26,MATCH(Months_Ref!$A$2,Acct2_Raw!$A$3:$A$26,0),MATCH($A54,Acct2_Raw!$B$1:$BO$1,0))),0)</f>
        <v>154.545</v>
      </c>
      <c r="I54" s="4" t="n">
        <f aca="false">IFERROR(IF(Months_Ref!$A$3="",0,INDEX(Acct2_Raw!$B$3:$BO$26,MATCH(Months_Ref!$A$3,Acct2_Raw!$A$3:$A$26,0),MATCH($A54,Acct2_Raw!$B$1:$BO$1,0))),0)</f>
        <v>181.468</v>
      </c>
      <c r="J54" s="4" t="n">
        <f aca="false">IFERROR(IF(Months_Ref!$A$4="",0,INDEX(Acct2_Raw!$B$3:$BO$26,MATCH(Months_Ref!$A$4,Acct2_Raw!$A$3:$A$26,0),MATCH($A54,Acct2_Raw!$B$1:$BO$1,0))),0)</f>
        <v>184.277</v>
      </c>
      <c r="K54" s="4" t="n">
        <f aca="false">IFERROR(IF(Months_Ref!$A$5="",0,INDEX(Acct2_Raw!$B$3:$BO$26,MATCH(Months_Ref!$A$5,Acct2_Raw!$A$3:$A$26,0),MATCH($A54,Acct2_Raw!$B$1:$BO$1,0))),0)</f>
        <v>158.039</v>
      </c>
      <c r="L54" s="4" t="n">
        <f aca="false">IFERROR(IF(Months_Ref!$A$6="",0,INDEX(Acct2_Raw!$B$3:$BO$26,MATCH(Months_Ref!$A$6,Acct2_Raw!$A$3:$A$26,0),MATCH($A54,Acct2_Raw!$B$1:$BO$1,0))),0)</f>
        <v>154.63</v>
      </c>
      <c r="M54" s="4" t="n">
        <f aca="false">IFERROR(IF(Months_Ref!$A$7="",0,INDEX(Acct2_Raw!$B$3:$BO$26,MATCH(Months_Ref!$A$7,Acct2_Raw!$A$3:$A$26,0),MATCH($A54,Acct2_Raw!$B$1:$BO$1,0))),0)</f>
        <v>169.57</v>
      </c>
      <c r="N54" s="4" t="n">
        <f aca="false">B54+H54</f>
        <v>13819.372</v>
      </c>
      <c r="O54" s="4" t="n">
        <f aca="false">C54+I54</f>
        <v>14725.751</v>
      </c>
      <c r="P54" s="4" t="n">
        <f aca="false">D54+J54</f>
        <v>14217.459</v>
      </c>
      <c r="Q54" s="4" t="n">
        <f aca="false">E54+K54</f>
        <v>16547.349</v>
      </c>
      <c r="R54" s="4" t="n">
        <f aca="false">F54+L54</f>
        <v>14148.453</v>
      </c>
      <c r="S54" s="4" t="n">
        <f aca="false">G54+M54</f>
        <v>14183.128</v>
      </c>
    </row>
    <row r="55" customFormat="false" ht="15" hidden="false" customHeight="false" outlineLevel="0" collapsed="false">
      <c r="A55" s="3" t="s">
        <v>46</v>
      </c>
      <c r="B55" s="4" t="n">
        <f aca="false">IFERROR(IF(Months_Ref!$A$2="",0,INDEX(Acct1_Raw!$B$3:$BO$26,MATCH(Months_Ref!$A$2,Acct1_Raw!$A$3:$A$26,0),MATCH($A55,Acct1_Raw!$B$1:$BO$1,0))),0)</f>
        <v>3494.769</v>
      </c>
      <c r="C55" s="4" t="n">
        <f aca="false">IFERROR(IF(Months_Ref!$A$3="",0,INDEX(Acct1_Raw!$B$3:$BO$26,MATCH(Months_Ref!$A$3,Acct1_Raw!$A$3:$A$26,0),MATCH($A55,Acct1_Raw!$B$1:$BO$1,0))),0)</f>
        <v>4033.97</v>
      </c>
      <c r="D55" s="4" t="n">
        <f aca="false">IFERROR(IF(Months_Ref!$A$4="",0,INDEX(Acct1_Raw!$B$3:$BO$26,MATCH(Months_Ref!$A$4,Acct1_Raw!$A$3:$A$26,0),MATCH($A55,Acct1_Raw!$B$1:$BO$1,0))),0)</f>
        <v>3954.743</v>
      </c>
      <c r="E55" s="4" t="n">
        <f aca="false">IFERROR(IF(Months_Ref!$A$5="",0,INDEX(Acct1_Raw!$B$3:$BO$26,MATCH(Months_Ref!$A$5,Acct1_Raw!$A$3:$A$26,0),MATCH($A55,Acct1_Raw!$B$1:$BO$1,0))),0)</f>
        <v>3108.209</v>
      </c>
      <c r="F55" s="4" t="n">
        <f aca="false">IFERROR(IF(Months_Ref!$A$6="",0,INDEX(Acct1_Raw!$B$3:$BO$26,MATCH(Months_Ref!$A$6,Acct1_Raw!$A$3:$A$26,0),MATCH($A55,Acct1_Raw!$B$1:$BO$1,0))),0)</f>
        <v>4090.91</v>
      </c>
      <c r="G55" s="4" t="n">
        <f aca="false">IFERROR(IF(Months_Ref!$A$7="",0,INDEX(Acct1_Raw!$B$3:$BO$26,MATCH(Months_Ref!$A$7,Acct1_Raw!$A$3:$A$26,0),MATCH($A55,Acct1_Raw!$B$1:$BO$1,0))),0)</f>
        <v>3527.58</v>
      </c>
      <c r="H55" s="4" t="n">
        <f aca="false">IFERROR(IF(Months_Ref!$A$2="",0,INDEX(Acct2_Raw!$B$3:$BO$26,MATCH(Months_Ref!$A$2,Acct2_Raw!$A$3:$A$26,0),MATCH($A55,Acct2_Raw!$B$1:$BO$1,0))),0)</f>
        <v>4110.269</v>
      </c>
      <c r="I55" s="4" t="n">
        <f aca="false">IFERROR(IF(Months_Ref!$A$3="",0,INDEX(Acct2_Raw!$B$3:$BO$26,MATCH(Months_Ref!$A$3,Acct2_Raw!$A$3:$A$26,0),MATCH($A55,Acct2_Raw!$B$1:$BO$1,0))),0)</f>
        <v>3361.99</v>
      </c>
      <c r="J55" s="4" t="n">
        <f aca="false">IFERROR(IF(Months_Ref!$A$4="",0,INDEX(Acct2_Raw!$B$3:$BO$26,MATCH(Months_Ref!$A$4,Acct2_Raw!$A$3:$A$26,0),MATCH($A55,Acct2_Raw!$B$1:$BO$1,0))),0)</f>
        <v>4186.376</v>
      </c>
      <c r="K55" s="4" t="n">
        <f aca="false">IFERROR(IF(Months_Ref!$A$5="",0,INDEX(Acct2_Raw!$B$3:$BO$26,MATCH(Months_Ref!$A$5,Acct2_Raw!$A$3:$A$26,0),MATCH($A55,Acct2_Raw!$B$1:$BO$1,0))),0)</f>
        <v>3377.79</v>
      </c>
      <c r="L55" s="4" t="n">
        <f aca="false">IFERROR(IF(Months_Ref!$A$6="",0,INDEX(Acct2_Raw!$B$3:$BO$26,MATCH(Months_Ref!$A$6,Acct2_Raw!$A$3:$A$26,0),MATCH($A55,Acct2_Raw!$B$1:$BO$1,0))),0)</f>
        <v>3798.254</v>
      </c>
      <c r="M55" s="4" t="n">
        <f aca="false">IFERROR(IF(Months_Ref!$A$7="",0,INDEX(Acct2_Raw!$B$3:$BO$26,MATCH(Months_Ref!$A$7,Acct2_Raw!$A$3:$A$26,0),MATCH($A55,Acct2_Raw!$B$1:$BO$1,0))),0)</f>
        <v>4104.464</v>
      </c>
      <c r="N55" s="4" t="n">
        <f aca="false">B55+H55</f>
        <v>7605.038</v>
      </c>
      <c r="O55" s="4" t="n">
        <f aca="false">C55+I55</f>
        <v>7395.96</v>
      </c>
      <c r="P55" s="4" t="n">
        <f aca="false">D55+J55</f>
        <v>8141.119</v>
      </c>
      <c r="Q55" s="4" t="n">
        <f aca="false">E55+K55</f>
        <v>6485.999</v>
      </c>
      <c r="R55" s="4" t="n">
        <f aca="false">F55+L55</f>
        <v>7889.164</v>
      </c>
      <c r="S55" s="4" t="n">
        <f aca="false">G55+M55</f>
        <v>7632.044</v>
      </c>
    </row>
    <row r="56" customFormat="false" ht="15" hidden="false" customHeight="false" outlineLevel="0" collapsed="false">
      <c r="A56" s="3" t="s">
        <v>42</v>
      </c>
      <c r="B56" s="4" t="n">
        <f aca="false">IFERROR(IF(Months_Ref!$A$2="",0,INDEX(Acct1_Raw!$B$3:$BO$26,MATCH(Months_Ref!$A$2,Acct1_Raw!$A$3:$A$26,0),MATCH($A56,Acct1_Raw!$B$1:$BO$1,0))),0)</f>
        <v>849.622</v>
      </c>
      <c r="C56" s="4" t="n">
        <f aca="false">IFERROR(IF(Months_Ref!$A$3="",0,INDEX(Acct1_Raw!$B$3:$BO$26,MATCH(Months_Ref!$A$3,Acct1_Raw!$A$3:$A$26,0),MATCH($A56,Acct1_Raw!$B$1:$BO$1,0))),0)</f>
        <v>810.818</v>
      </c>
      <c r="D56" s="4" t="n">
        <f aca="false">IFERROR(IF(Months_Ref!$A$4="",0,INDEX(Acct1_Raw!$B$3:$BO$26,MATCH(Months_Ref!$A$4,Acct1_Raw!$A$3:$A$26,0),MATCH($A56,Acct1_Raw!$B$1:$BO$1,0))),0)</f>
        <v>695.294</v>
      </c>
      <c r="E56" s="4" t="n">
        <f aca="false">IFERROR(IF(Months_Ref!$A$5="",0,INDEX(Acct1_Raw!$B$3:$BO$26,MATCH(Months_Ref!$A$5,Acct1_Raw!$A$3:$A$26,0),MATCH($A56,Acct1_Raw!$B$1:$BO$1,0))),0)</f>
        <v>834.313</v>
      </c>
      <c r="F56" s="4" t="n">
        <f aca="false">IFERROR(IF(Months_Ref!$A$6="",0,INDEX(Acct1_Raw!$B$3:$BO$26,MATCH(Months_Ref!$A$6,Acct1_Raw!$A$3:$A$26,0),MATCH($A56,Acct1_Raw!$B$1:$BO$1,0))),0)</f>
        <v>864.585</v>
      </c>
      <c r="G56" s="4" t="n">
        <f aca="false">IFERROR(IF(Months_Ref!$A$7="",0,INDEX(Acct1_Raw!$B$3:$BO$26,MATCH(Months_Ref!$A$7,Acct1_Raw!$A$3:$A$26,0),MATCH($A56,Acct1_Raw!$B$1:$BO$1,0))),0)</f>
        <v>797.905</v>
      </c>
      <c r="H56" s="4" t="n">
        <f aca="false">IFERROR(IF(Months_Ref!$A$2="",0,INDEX(Acct2_Raw!$B$3:$BO$26,MATCH(Months_Ref!$A$2,Acct2_Raw!$A$3:$A$26,0),MATCH($A56,Acct2_Raw!$B$1:$BO$1,0))),0)</f>
        <v>4995.328</v>
      </c>
      <c r="I56" s="4" t="n">
        <f aca="false">IFERROR(IF(Months_Ref!$A$3="",0,INDEX(Acct2_Raw!$B$3:$BO$26,MATCH(Months_Ref!$A$3,Acct2_Raw!$A$3:$A$26,0),MATCH($A56,Acct2_Raw!$B$1:$BO$1,0))),0)</f>
        <v>4167.48</v>
      </c>
      <c r="J56" s="4" t="n">
        <f aca="false">IFERROR(IF(Months_Ref!$A$4="",0,INDEX(Acct2_Raw!$B$3:$BO$26,MATCH(Months_Ref!$A$4,Acct2_Raw!$A$3:$A$26,0),MATCH($A56,Acct2_Raw!$B$1:$BO$1,0))),0)</f>
        <v>4276.882</v>
      </c>
      <c r="K56" s="4" t="n">
        <f aca="false">IFERROR(IF(Months_Ref!$A$5="",0,INDEX(Acct2_Raw!$B$3:$BO$26,MATCH(Months_Ref!$A$5,Acct2_Raw!$A$3:$A$26,0),MATCH($A56,Acct2_Raw!$B$1:$BO$1,0))),0)</f>
        <v>5125.762</v>
      </c>
      <c r="L56" s="4" t="n">
        <f aca="false">IFERROR(IF(Months_Ref!$A$6="",0,INDEX(Acct2_Raw!$B$3:$BO$26,MATCH(Months_Ref!$A$6,Acct2_Raw!$A$3:$A$26,0),MATCH($A56,Acct2_Raw!$B$1:$BO$1,0))),0)</f>
        <v>4536.682</v>
      </c>
      <c r="M56" s="4" t="n">
        <f aca="false">IFERROR(IF(Months_Ref!$A$7="",0,INDEX(Acct2_Raw!$B$3:$BO$26,MATCH(Months_Ref!$A$7,Acct2_Raw!$A$3:$A$26,0),MATCH($A56,Acct2_Raw!$B$1:$BO$1,0))),0)</f>
        <v>4597.659</v>
      </c>
      <c r="N56" s="4" t="n">
        <f aca="false">B56+H56</f>
        <v>5844.95</v>
      </c>
      <c r="O56" s="4" t="n">
        <f aca="false">C56+I56</f>
        <v>4978.298</v>
      </c>
      <c r="P56" s="4" t="n">
        <f aca="false">D56+J56</f>
        <v>4972.176</v>
      </c>
      <c r="Q56" s="4" t="n">
        <f aca="false">E56+K56</f>
        <v>5960.075</v>
      </c>
      <c r="R56" s="4" t="n">
        <f aca="false">F56+L56</f>
        <v>5401.267</v>
      </c>
      <c r="S56" s="4" t="n">
        <f aca="false">G56+M56</f>
        <v>5395.564</v>
      </c>
    </row>
    <row r="57" customFormat="false" ht="15" hidden="false" customHeight="false" outlineLevel="0" collapsed="false">
      <c r="A57" s="3" t="s">
        <v>52</v>
      </c>
      <c r="B57" s="4" t="n">
        <f aca="false">IFERROR(IF(Months_Ref!$A$2="",0,INDEX(Acct1_Raw!$B$3:$BO$26,MATCH(Months_Ref!$A$2,Acct1_Raw!$A$3:$A$26,0),MATCH($A57,Acct1_Raw!$B$1:$BO$1,0))),0)</f>
        <v>2833.527</v>
      </c>
      <c r="C57" s="4" t="n">
        <f aca="false">IFERROR(IF(Months_Ref!$A$3="",0,INDEX(Acct1_Raw!$B$3:$BO$26,MATCH(Months_Ref!$A$3,Acct1_Raw!$A$3:$A$26,0),MATCH($A57,Acct1_Raw!$B$1:$BO$1,0))),0)</f>
        <v>3028.353</v>
      </c>
      <c r="D57" s="4" t="n">
        <f aca="false">IFERROR(IF(Months_Ref!$A$4="",0,INDEX(Acct1_Raw!$B$3:$BO$26,MATCH(Months_Ref!$A$4,Acct1_Raw!$A$3:$A$26,0),MATCH($A57,Acct1_Raw!$B$1:$BO$1,0))),0)</f>
        <v>3592.92</v>
      </c>
      <c r="E57" s="4" t="n">
        <f aca="false">IFERROR(IF(Months_Ref!$A$5="",0,INDEX(Acct1_Raw!$B$3:$BO$26,MATCH(Months_Ref!$A$5,Acct1_Raw!$A$3:$A$26,0),MATCH($A57,Acct1_Raw!$B$1:$BO$1,0))),0)</f>
        <v>3028.667</v>
      </c>
      <c r="F57" s="4" t="n">
        <f aca="false">IFERROR(IF(Months_Ref!$A$6="",0,INDEX(Acct1_Raw!$B$3:$BO$26,MATCH(Months_Ref!$A$6,Acct1_Raw!$A$3:$A$26,0),MATCH($A57,Acct1_Raw!$B$1:$BO$1,0))),0)</f>
        <v>3226.273</v>
      </c>
      <c r="G57" s="4" t="n">
        <f aca="false">IFERROR(IF(Months_Ref!$A$7="",0,INDEX(Acct1_Raw!$B$3:$BO$26,MATCH(Months_Ref!$A$7,Acct1_Raw!$A$3:$A$26,0),MATCH($A57,Acct1_Raw!$B$1:$BO$1,0))),0)</f>
        <v>3104.831</v>
      </c>
      <c r="H57" s="4" t="n">
        <f aca="false">IFERROR(IF(Months_Ref!$A$2="",0,INDEX(Acct2_Raw!$B$3:$BO$26,MATCH(Months_Ref!$A$2,Acct2_Raw!$A$3:$A$26,0),MATCH($A57,Acct2_Raw!$B$1:$BO$1,0))),0)</f>
        <v>14886.216</v>
      </c>
      <c r="I57" s="4" t="n">
        <f aca="false">IFERROR(IF(Months_Ref!$A$3="",0,INDEX(Acct2_Raw!$B$3:$BO$26,MATCH(Months_Ref!$A$3,Acct2_Raw!$A$3:$A$26,0),MATCH($A57,Acct2_Raw!$B$1:$BO$1,0))),0)</f>
        <v>12210.292</v>
      </c>
      <c r="J57" s="4" t="n">
        <f aca="false">IFERROR(IF(Months_Ref!$A$4="",0,INDEX(Acct2_Raw!$B$3:$BO$26,MATCH(Months_Ref!$A$4,Acct2_Raw!$A$3:$A$26,0),MATCH($A57,Acct2_Raw!$B$1:$BO$1,0))),0)</f>
        <v>15251.396</v>
      </c>
      <c r="K57" s="4" t="n">
        <f aca="false">IFERROR(IF(Months_Ref!$A$5="",0,INDEX(Acct2_Raw!$B$3:$BO$26,MATCH(Months_Ref!$A$5,Acct2_Raw!$A$3:$A$26,0),MATCH($A57,Acct2_Raw!$B$1:$BO$1,0))),0)</f>
        <v>13679.325</v>
      </c>
      <c r="L57" s="4" t="n">
        <f aca="false">IFERROR(IF(Months_Ref!$A$6="",0,INDEX(Acct2_Raw!$B$3:$BO$26,MATCH(Months_Ref!$A$6,Acct2_Raw!$A$3:$A$26,0),MATCH($A57,Acct2_Raw!$B$1:$BO$1,0))),0)</f>
        <v>12446.441</v>
      </c>
      <c r="M57" s="4" t="n">
        <f aca="false">IFERROR(IF(Months_Ref!$A$7="",0,INDEX(Acct2_Raw!$B$3:$BO$26,MATCH(Months_Ref!$A$7,Acct2_Raw!$A$3:$A$26,0),MATCH($A57,Acct2_Raw!$B$1:$BO$1,0))),0)</f>
        <v>12362.894</v>
      </c>
      <c r="N57" s="4" t="n">
        <f aca="false">B57+H57</f>
        <v>17719.743</v>
      </c>
      <c r="O57" s="4" t="n">
        <f aca="false">C57+I57</f>
        <v>15238.645</v>
      </c>
      <c r="P57" s="4" t="n">
        <f aca="false">D57+J57</f>
        <v>18844.316</v>
      </c>
      <c r="Q57" s="4" t="n">
        <f aca="false">E57+K57</f>
        <v>16707.992</v>
      </c>
      <c r="R57" s="4" t="n">
        <f aca="false">F57+L57</f>
        <v>15672.714</v>
      </c>
      <c r="S57" s="4" t="n">
        <f aca="false">G57+M57</f>
        <v>15467.725</v>
      </c>
    </row>
    <row r="58" customFormat="false" ht="15" hidden="false" customHeight="false" outlineLevel="0" collapsed="false">
      <c r="A58" s="3" t="s">
        <v>38</v>
      </c>
      <c r="B58" s="4" t="n">
        <f aca="false">IFERROR(IF(Months_Ref!$A$2="",0,INDEX(Acct1_Raw!$B$3:$BO$26,MATCH(Months_Ref!$A$2,Acct1_Raw!$A$3:$A$26,0),MATCH($A58,Acct1_Raw!$B$1:$BO$1,0))),0)</f>
        <v>8288.336</v>
      </c>
      <c r="C58" s="4" t="n">
        <f aca="false">IFERROR(IF(Months_Ref!$A$3="",0,INDEX(Acct1_Raw!$B$3:$BO$26,MATCH(Months_Ref!$A$3,Acct1_Raw!$A$3:$A$26,0),MATCH($A58,Acct1_Raw!$B$1:$BO$1,0))),0)</f>
        <v>8253.61</v>
      </c>
      <c r="D58" s="4" t="n">
        <f aca="false">IFERROR(IF(Months_Ref!$A$4="",0,INDEX(Acct1_Raw!$B$3:$BO$26,MATCH(Months_Ref!$A$4,Acct1_Raw!$A$3:$A$26,0),MATCH($A58,Acct1_Raw!$B$1:$BO$1,0))),0)</f>
        <v>9443.359</v>
      </c>
      <c r="E58" s="4" t="n">
        <f aca="false">IFERROR(IF(Months_Ref!$A$5="",0,INDEX(Acct1_Raw!$B$3:$BO$26,MATCH(Months_Ref!$A$5,Acct1_Raw!$A$3:$A$26,0),MATCH($A58,Acct1_Raw!$B$1:$BO$1,0))),0)</f>
        <v>9899.454</v>
      </c>
      <c r="F58" s="4" t="n">
        <f aca="false">IFERROR(IF(Months_Ref!$A$6="",0,INDEX(Acct1_Raw!$B$3:$BO$26,MATCH(Months_Ref!$A$6,Acct1_Raw!$A$3:$A$26,0),MATCH($A58,Acct1_Raw!$B$1:$BO$1,0))),0)</f>
        <v>10595.86</v>
      </c>
      <c r="G58" s="4" t="n">
        <f aca="false">IFERROR(IF(Months_Ref!$A$7="",0,INDEX(Acct1_Raw!$B$3:$BO$26,MATCH(Months_Ref!$A$7,Acct1_Raw!$A$3:$A$26,0),MATCH($A58,Acct1_Raw!$B$1:$BO$1,0))),0)</f>
        <v>8275.245</v>
      </c>
      <c r="H58" s="4" t="n">
        <f aca="false">IFERROR(IF(Months_Ref!$A$2="",0,INDEX(Acct2_Raw!$B$3:$BO$26,MATCH(Months_Ref!$A$2,Acct2_Raw!$A$3:$A$26,0),MATCH($A58,Acct2_Raw!$B$1:$BO$1,0))),0)</f>
        <v>2665.919</v>
      </c>
      <c r="I58" s="4" t="n">
        <f aca="false">IFERROR(IF(Months_Ref!$A$3="",0,INDEX(Acct2_Raw!$B$3:$BO$26,MATCH(Months_Ref!$A$3,Acct2_Raw!$A$3:$A$26,0),MATCH($A58,Acct2_Raw!$B$1:$BO$1,0))),0)</f>
        <v>2784.284</v>
      </c>
      <c r="J58" s="4" t="n">
        <f aca="false">IFERROR(IF(Months_Ref!$A$4="",0,INDEX(Acct2_Raw!$B$3:$BO$26,MATCH(Months_Ref!$A$4,Acct2_Raw!$A$3:$A$26,0),MATCH($A58,Acct2_Raw!$B$1:$BO$1,0))),0)</f>
        <v>2452.259</v>
      </c>
      <c r="K58" s="4" t="n">
        <f aca="false">IFERROR(IF(Months_Ref!$A$5="",0,INDEX(Acct2_Raw!$B$3:$BO$26,MATCH(Months_Ref!$A$5,Acct2_Raw!$A$3:$A$26,0),MATCH($A58,Acct2_Raw!$B$1:$BO$1,0))),0)</f>
        <v>2730.734</v>
      </c>
      <c r="L58" s="4" t="n">
        <f aca="false">IFERROR(IF(Months_Ref!$A$6="",0,INDEX(Acct2_Raw!$B$3:$BO$26,MATCH(Months_Ref!$A$6,Acct2_Raw!$A$3:$A$26,0),MATCH($A58,Acct2_Raw!$B$1:$BO$1,0))),0)</f>
        <v>2916.963</v>
      </c>
      <c r="M58" s="4" t="n">
        <f aca="false">IFERROR(IF(Months_Ref!$A$7="",0,INDEX(Acct2_Raw!$B$3:$BO$26,MATCH(Months_Ref!$A$7,Acct2_Raw!$A$3:$A$26,0),MATCH($A58,Acct2_Raw!$B$1:$BO$1,0))),0)</f>
        <v>2563.067</v>
      </c>
      <c r="N58" s="4" t="n">
        <f aca="false">B58+H58</f>
        <v>10954.255</v>
      </c>
      <c r="O58" s="4" t="n">
        <f aca="false">C58+I58</f>
        <v>11037.894</v>
      </c>
      <c r="P58" s="4" t="n">
        <f aca="false">D58+J58</f>
        <v>11895.618</v>
      </c>
      <c r="Q58" s="4" t="n">
        <f aca="false">E58+K58</f>
        <v>12630.188</v>
      </c>
      <c r="R58" s="4" t="n">
        <f aca="false">F58+L58</f>
        <v>13512.823</v>
      </c>
      <c r="S58" s="4" t="n">
        <f aca="false">G58+M58</f>
        <v>10838.312</v>
      </c>
    </row>
    <row r="59" customFormat="false" ht="15" hidden="false" customHeight="false" outlineLevel="0" collapsed="false">
      <c r="A59" s="3" t="s">
        <v>60</v>
      </c>
      <c r="B59" s="4" t="n">
        <f aca="false">IFERROR(IF(Months_Ref!$A$2="",0,INDEX(Acct1_Raw!$B$3:$BO$26,MATCH(Months_Ref!$A$2,Acct1_Raw!$A$3:$A$26,0),MATCH($A59,Acct1_Raw!$B$1:$BO$1,0))),0)</f>
        <v>5371.618</v>
      </c>
      <c r="C59" s="4" t="n">
        <f aca="false">IFERROR(IF(Months_Ref!$A$3="",0,INDEX(Acct1_Raw!$B$3:$BO$26,MATCH(Months_Ref!$A$3,Acct1_Raw!$A$3:$A$26,0),MATCH($A59,Acct1_Raw!$B$1:$BO$1,0))),0)</f>
        <v>5258.743</v>
      </c>
      <c r="D59" s="4" t="n">
        <f aca="false">IFERROR(IF(Months_Ref!$A$4="",0,INDEX(Acct1_Raw!$B$3:$BO$26,MATCH(Months_Ref!$A$4,Acct1_Raw!$A$3:$A$26,0),MATCH($A59,Acct1_Raw!$B$1:$BO$1,0))),0)</f>
        <v>6412.274</v>
      </c>
      <c r="E59" s="4" t="n">
        <f aca="false">IFERROR(IF(Months_Ref!$A$5="",0,INDEX(Acct1_Raw!$B$3:$BO$26,MATCH(Months_Ref!$A$5,Acct1_Raw!$A$3:$A$26,0),MATCH($A59,Acct1_Raw!$B$1:$BO$1,0))),0)</f>
        <v>6059.966</v>
      </c>
      <c r="F59" s="4" t="n">
        <f aca="false">IFERROR(IF(Months_Ref!$A$6="",0,INDEX(Acct1_Raw!$B$3:$BO$26,MATCH(Months_Ref!$A$6,Acct1_Raw!$A$3:$A$26,0),MATCH($A59,Acct1_Raw!$B$1:$BO$1,0))),0)</f>
        <v>5991.513</v>
      </c>
      <c r="G59" s="4" t="n">
        <f aca="false">IFERROR(IF(Months_Ref!$A$7="",0,INDEX(Acct1_Raw!$B$3:$BO$26,MATCH(Months_Ref!$A$7,Acct1_Raw!$A$3:$A$26,0),MATCH($A59,Acct1_Raw!$B$1:$BO$1,0))),0)</f>
        <v>5494.893</v>
      </c>
      <c r="H59" s="4" t="n">
        <f aca="false">IFERROR(IF(Months_Ref!$A$2="",0,INDEX(Acct2_Raw!$B$3:$BO$26,MATCH(Months_Ref!$A$2,Acct2_Raw!$A$3:$A$26,0),MATCH($A59,Acct2_Raw!$B$1:$BO$1,0))),0)</f>
        <v>8323.423</v>
      </c>
      <c r="I59" s="4" t="n">
        <f aca="false">IFERROR(IF(Months_Ref!$A$3="",0,INDEX(Acct2_Raw!$B$3:$BO$26,MATCH(Months_Ref!$A$3,Acct2_Raw!$A$3:$A$26,0),MATCH($A59,Acct2_Raw!$B$1:$BO$1,0))),0)</f>
        <v>8812.195</v>
      </c>
      <c r="J59" s="4" t="n">
        <f aca="false">IFERROR(IF(Months_Ref!$A$4="",0,INDEX(Acct2_Raw!$B$3:$BO$26,MATCH(Months_Ref!$A$4,Acct2_Raw!$A$3:$A$26,0),MATCH($A59,Acct2_Raw!$B$1:$BO$1,0))),0)</f>
        <v>8318.185</v>
      </c>
      <c r="K59" s="4" t="n">
        <f aca="false">IFERROR(IF(Months_Ref!$A$5="",0,INDEX(Acct2_Raw!$B$3:$BO$26,MATCH(Months_Ref!$A$5,Acct2_Raw!$A$3:$A$26,0),MATCH($A59,Acct2_Raw!$B$1:$BO$1,0))),0)</f>
        <v>8184.618</v>
      </c>
      <c r="L59" s="4" t="n">
        <f aca="false">IFERROR(IF(Months_Ref!$A$6="",0,INDEX(Acct2_Raw!$B$3:$BO$26,MATCH(Months_Ref!$A$6,Acct2_Raw!$A$3:$A$26,0),MATCH($A59,Acct2_Raw!$B$1:$BO$1,0))),0)</f>
        <v>6999.9</v>
      </c>
      <c r="M59" s="4" t="n">
        <f aca="false">IFERROR(IF(Months_Ref!$A$7="",0,INDEX(Acct2_Raw!$B$3:$BO$26,MATCH(Months_Ref!$A$7,Acct2_Raw!$A$3:$A$26,0),MATCH($A59,Acct2_Raw!$B$1:$BO$1,0))),0)</f>
        <v>7473.589</v>
      </c>
      <c r="N59" s="4" t="n">
        <f aca="false">B59+H59</f>
        <v>13695.041</v>
      </c>
      <c r="O59" s="4" t="n">
        <f aca="false">C59+I59</f>
        <v>14070.938</v>
      </c>
      <c r="P59" s="4" t="n">
        <f aca="false">D59+J59</f>
        <v>14730.459</v>
      </c>
      <c r="Q59" s="4" t="n">
        <f aca="false">E59+K59</f>
        <v>14244.584</v>
      </c>
      <c r="R59" s="4" t="n">
        <f aca="false">F59+L59</f>
        <v>12991.413</v>
      </c>
      <c r="S59" s="4" t="n">
        <f aca="false">G59+M59</f>
        <v>12968.482</v>
      </c>
    </row>
    <row r="60" customFormat="false" ht="15" hidden="false" customHeight="false" outlineLevel="0" collapsed="false">
      <c r="A60" s="3" t="s">
        <v>45</v>
      </c>
      <c r="B60" s="4" t="n">
        <f aca="false">IFERROR(IF(Months_Ref!$A$2="",0,INDEX(Acct1_Raw!$B$3:$BO$26,MATCH(Months_Ref!$A$2,Acct1_Raw!$A$3:$A$26,0),MATCH($A60,Acct1_Raw!$B$1:$BO$1,0))),0)</f>
        <v>1133.046</v>
      </c>
      <c r="C60" s="4" t="n">
        <f aca="false">IFERROR(IF(Months_Ref!$A$3="",0,INDEX(Acct1_Raw!$B$3:$BO$26,MATCH(Months_Ref!$A$3,Acct1_Raw!$A$3:$A$26,0),MATCH($A60,Acct1_Raw!$B$1:$BO$1,0))),0)</f>
        <v>1297.71</v>
      </c>
      <c r="D60" s="4" t="n">
        <f aca="false">IFERROR(IF(Months_Ref!$A$4="",0,INDEX(Acct1_Raw!$B$3:$BO$26,MATCH(Months_Ref!$A$4,Acct1_Raw!$A$3:$A$26,0),MATCH($A60,Acct1_Raw!$B$1:$BO$1,0))),0)</f>
        <v>1403.402</v>
      </c>
      <c r="E60" s="4" t="n">
        <f aca="false">IFERROR(IF(Months_Ref!$A$5="",0,INDEX(Acct1_Raw!$B$3:$BO$26,MATCH(Months_Ref!$A$5,Acct1_Raw!$A$3:$A$26,0),MATCH($A60,Acct1_Raw!$B$1:$BO$1,0))),0)</f>
        <v>1236.399</v>
      </c>
      <c r="F60" s="4" t="n">
        <f aca="false">IFERROR(IF(Months_Ref!$A$6="",0,INDEX(Acct1_Raw!$B$3:$BO$26,MATCH(Months_Ref!$A$6,Acct1_Raw!$A$3:$A$26,0),MATCH($A60,Acct1_Raw!$B$1:$BO$1,0))),0)</f>
        <v>1353.698</v>
      </c>
      <c r="G60" s="4" t="n">
        <f aca="false">IFERROR(IF(Months_Ref!$A$7="",0,INDEX(Acct1_Raw!$B$3:$BO$26,MATCH(Months_Ref!$A$7,Acct1_Raw!$A$3:$A$26,0),MATCH($A60,Acct1_Raw!$B$1:$BO$1,0))),0)</f>
        <v>1148.036</v>
      </c>
      <c r="H60" s="4" t="n">
        <f aca="false">IFERROR(IF(Months_Ref!$A$2="",0,INDEX(Acct2_Raw!$B$3:$BO$26,MATCH(Months_Ref!$A$2,Acct2_Raw!$A$3:$A$26,0),MATCH($A60,Acct2_Raw!$B$1:$BO$1,0))),0)</f>
        <v>9272.859</v>
      </c>
      <c r="I60" s="4" t="n">
        <f aca="false">IFERROR(IF(Months_Ref!$A$3="",0,INDEX(Acct2_Raw!$B$3:$BO$26,MATCH(Months_Ref!$A$3,Acct2_Raw!$A$3:$A$26,0),MATCH($A60,Acct2_Raw!$B$1:$BO$1,0))),0)</f>
        <v>9353.237</v>
      </c>
      <c r="J60" s="4" t="n">
        <f aca="false">IFERROR(IF(Months_Ref!$A$4="",0,INDEX(Acct2_Raw!$B$3:$BO$26,MATCH(Months_Ref!$A$4,Acct2_Raw!$A$3:$A$26,0),MATCH($A60,Acct2_Raw!$B$1:$BO$1,0))),0)</f>
        <v>9820.879</v>
      </c>
      <c r="K60" s="4" t="n">
        <f aca="false">IFERROR(IF(Months_Ref!$A$5="",0,INDEX(Acct2_Raw!$B$3:$BO$26,MATCH(Months_Ref!$A$5,Acct2_Raw!$A$3:$A$26,0),MATCH($A60,Acct2_Raw!$B$1:$BO$1,0))),0)</f>
        <v>9967.346</v>
      </c>
      <c r="L60" s="4" t="n">
        <f aca="false">IFERROR(IF(Months_Ref!$A$6="",0,INDEX(Acct2_Raw!$B$3:$BO$26,MATCH(Months_Ref!$A$6,Acct2_Raw!$A$3:$A$26,0),MATCH($A60,Acct2_Raw!$B$1:$BO$1,0))),0)</f>
        <v>10365.411</v>
      </c>
      <c r="M60" s="4" t="n">
        <f aca="false">IFERROR(IF(Months_Ref!$A$7="",0,INDEX(Acct2_Raw!$B$3:$BO$26,MATCH(Months_Ref!$A$7,Acct2_Raw!$A$3:$A$26,0),MATCH($A60,Acct2_Raw!$B$1:$BO$1,0))),0)</f>
        <v>9560.971</v>
      </c>
      <c r="N60" s="4" t="n">
        <f aca="false">B60+H60</f>
        <v>10405.905</v>
      </c>
      <c r="O60" s="4" t="n">
        <f aca="false">C60+I60</f>
        <v>10650.947</v>
      </c>
      <c r="P60" s="4" t="n">
        <f aca="false">D60+J60</f>
        <v>11224.281</v>
      </c>
      <c r="Q60" s="4" t="n">
        <f aca="false">E60+K60</f>
        <v>11203.745</v>
      </c>
      <c r="R60" s="4" t="n">
        <f aca="false">F60+L60</f>
        <v>11719.109</v>
      </c>
      <c r="S60" s="4" t="n">
        <f aca="false">G60+M60</f>
        <v>10709.007</v>
      </c>
    </row>
    <row r="61" customFormat="false" ht="15" hidden="false" customHeight="false" outlineLevel="0" collapsed="false">
      <c r="A61" s="3" t="s">
        <v>27</v>
      </c>
      <c r="B61" s="4" t="n">
        <f aca="false">IFERROR(IF(Months_Ref!$A$2="",0,INDEX(Acct1_Raw!$B$3:$BO$26,MATCH(Months_Ref!$A$2,Acct1_Raw!$A$3:$A$26,0),MATCH($A61,Acct1_Raw!$B$1:$BO$1,0))),0)</f>
        <v>1361.929</v>
      </c>
      <c r="C61" s="4" t="n">
        <f aca="false">IFERROR(IF(Months_Ref!$A$3="",0,INDEX(Acct1_Raw!$B$3:$BO$26,MATCH(Months_Ref!$A$3,Acct1_Raw!$A$3:$A$26,0),MATCH($A61,Acct1_Raw!$B$1:$BO$1,0))),0)</f>
        <v>1285.04</v>
      </c>
      <c r="D61" s="4" t="n">
        <f aca="false">IFERROR(IF(Months_Ref!$A$4="",0,INDEX(Acct1_Raw!$B$3:$BO$26,MATCH(Months_Ref!$A$4,Acct1_Raw!$A$3:$A$26,0),MATCH($A61,Acct1_Raw!$B$1:$BO$1,0))),0)</f>
        <v>1261.202</v>
      </c>
      <c r="E61" s="4" t="n">
        <f aca="false">IFERROR(IF(Months_Ref!$A$5="",0,INDEX(Acct1_Raw!$B$3:$BO$26,MATCH(Months_Ref!$A$5,Acct1_Raw!$A$3:$A$26,0),MATCH($A61,Acct1_Raw!$B$1:$BO$1,0))),0)</f>
        <v>1687.544</v>
      </c>
      <c r="F61" s="4" t="n">
        <f aca="false">IFERROR(IF(Months_Ref!$A$6="",0,INDEX(Acct1_Raw!$B$3:$BO$26,MATCH(Months_Ref!$A$6,Acct1_Raw!$A$3:$A$26,0),MATCH($A61,Acct1_Raw!$B$1:$BO$1,0))),0)</f>
        <v>1346.067</v>
      </c>
      <c r="G61" s="4" t="n">
        <f aca="false">IFERROR(IF(Months_Ref!$A$7="",0,INDEX(Acct1_Raw!$B$3:$BO$26,MATCH(Months_Ref!$A$7,Acct1_Raw!$A$3:$A$26,0),MATCH($A61,Acct1_Raw!$B$1:$BO$1,0))),0)</f>
        <v>1502.422</v>
      </c>
      <c r="H61" s="4" t="n">
        <f aca="false">IFERROR(IF(Months_Ref!$A$2="",0,INDEX(Acct2_Raw!$B$3:$BO$26,MATCH(Months_Ref!$A$2,Acct2_Raw!$A$3:$A$26,0),MATCH($A61,Acct2_Raw!$B$1:$BO$1,0))),0)</f>
        <v>11218.648</v>
      </c>
      <c r="I61" s="4" t="n">
        <f aca="false">IFERROR(IF(Months_Ref!$A$3="",0,INDEX(Acct2_Raw!$B$3:$BO$26,MATCH(Months_Ref!$A$3,Acct2_Raw!$A$3:$A$26,0),MATCH($A61,Acct2_Raw!$B$1:$BO$1,0))),0)</f>
        <v>11817.905</v>
      </c>
      <c r="J61" s="4" t="n">
        <f aca="false">IFERROR(IF(Months_Ref!$A$4="",0,INDEX(Acct2_Raw!$B$3:$BO$26,MATCH(Months_Ref!$A$4,Acct2_Raw!$A$3:$A$26,0),MATCH($A61,Acct2_Raw!$B$1:$BO$1,0))),0)</f>
        <v>11724.439</v>
      </c>
      <c r="K61" s="4" t="n">
        <f aca="false">IFERROR(IF(Months_Ref!$A$5="",0,INDEX(Acct2_Raw!$B$3:$BO$26,MATCH(Months_Ref!$A$5,Acct2_Raw!$A$3:$A$26,0),MATCH($A61,Acct2_Raw!$B$1:$BO$1,0))),0)</f>
        <v>11120.659</v>
      </c>
      <c r="L61" s="4" t="n">
        <f aca="false">IFERROR(IF(Months_Ref!$A$6="",0,INDEX(Acct2_Raw!$B$3:$BO$26,MATCH(Months_Ref!$A$6,Acct2_Raw!$A$3:$A$26,0),MATCH($A61,Acct2_Raw!$B$1:$BO$1,0))),0)</f>
        <v>13390.889</v>
      </c>
      <c r="M61" s="4" t="n">
        <f aca="false">IFERROR(IF(Months_Ref!$A$7="",0,INDEX(Acct2_Raw!$B$3:$BO$26,MATCH(Months_Ref!$A$7,Acct2_Raw!$A$3:$A$26,0),MATCH($A61,Acct2_Raw!$B$1:$BO$1,0))),0)</f>
        <v>10895.279</v>
      </c>
      <c r="N61" s="4" t="n">
        <f aca="false">B61+H61</f>
        <v>12580.577</v>
      </c>
      <c r="O61" s="4" t="n">
        <f aca="false">C61+I61</f>
        <v>13102.945</v>
      </c>
      <c r="P61" s="4" t="n">
        <f aca="false">D61+J61</f>
        <v>12985.641</v>
      </c>
      <c r="Q61" s="4" t="n">
        <f aca="false">E61+K61</f>
        <v>12808.203</v>
      </c>
      <c r="R61" s="4" t="n">
        <f aca="false">F61+L61</f>
        <v>14736.956</v>
      </c>
      <c r="S61" s="4" t="n">
        <f aca="false">G61+M61</f>
        <v>12397.701</v>
      </c>
    </row>
    <row r="62" customFormat="false" ht="15" hidden="false" customHeight="false" outlineLevel="0" collapsed="false">
      <c r="A62" s="3" t="s">
        <v>31</v>
      </c>
      <c r="B62" s="4" t="n">
        <f aca="false">IFERROR(IF(Months_Ref!$A$2="",0,INDEX(Acct1_Raw!$B$3:$BO$26,MATCH(Months_Ref!$A$2,Acct1_Raw!$A$3:$A$26,0),MATCH($A62,Acct1_Raw!$B$1:$BO$1,0))),0)</f>
        <v>11140.139</v>
      </c>
      <c r="C62" s="4" t="n">
        <f aca="false">IFERROR(IF(Months_Ref!$A$3="",0,INDEX(Acct1_Raw!$B$3:$BO$26,MATCH(Months_Ref!$A$3,Acct1_Raw!$A$3:$A$26,0),MATCH($A62,Acct1_Raw!$B$1:$BO$1,0))),0)</f>
        <v>10879.998</v>
      </c>
      <c r="D62" s="4" t="n">
        <f aca="false">IFERROR(IF(Months_Ref!$A$4="",0,INDEX(Acct1_Raw!$B$3:$BO$26,MATCH(Months_Ref!$A$4,Acct1_Raw!$A$3:$A$26,0),MATCH($A62,Acct1_Raw!$B$1:$BO$1,0))),0)</f>
        <v>13003.776</v>
      </c>
      <c r="E62" s="4" t="n">
        <f aca="false">IFERROR(IF(Months_Ref!$A$5="",0,INDEX(Acct1_Raw!$B$3:$BO$26,MATCH(Months_Ref!$A$5,Acct1_Raw!$A$3:$A$26,0),MATCH($A62,Acct1_Raw!$B$1:$BO$1,0))),0)</f>
        <v>12957.627</v>
      </c>
      <c r="F62" s="4" t="n">
        <f aca="false">IFERROR(IF(Months_Ref!$A$6="",0,INDEX(Acct1_Raw!$B$3:$BO$26,MATCH(Months_Ref!$A$6,Acct1_Raw!$A$3:$A$26,0),MATCH($A62,Acct1_Raw!$B$1:$BO$1,0))),0)</f>
        <v>12693.929</v>
      </c>
      <c r="G62" s="4" t="n">
        <f aca="false">IFERROR(IF(Months_Ref!$A$7="",0,INDEX(Acct1_Raw!$B$3:$BO$26,MATCH(Months_Ref!$A$7,Acct1_Raw!$A$3:$A$26,0),MATCH($A62,Acct1_Raw!$B$1:$BO$1,0))),0)</f>
        <v>11892.791</v>
      </c>
      <c r="H62" s="4" t="n">
        <f aca="false">IFERROR(IF(Months_Ref!$A$2="",0,INDEX(Acct2_Raw!$B$3:$BO$26,MATCH(Months_Ref!$A$2,Acct2_Raw!$A$3:$A$26,0),MATCH($A62,Acct2_Raw!$B$1:$BO$1,0))),0)</f>
        <v>14128.784</v>
      </c>
      <c r="I62" s="4" t="n">
        <f aca="false">IFERROR(IF(Months_Ref!$A$3="",0,INDEX(Acct2_Raw!$B$3:$BO$26,MATCH(Months_Ref!$A$3,Acct2_Raw!$A$3:$A$26,0),MATCH($A62,Acct2_Raw!$B$1:$BO$1,0))),0)</f>
        <v>12282.106</v>
      </c>
      <c r="J62" s="4" t="n">
        <f aca="false">IFERROR(IF(Months_Ref!$A$4="",0,INDEX(Acct2_Raw!$B$3:$BO$26,MATCH(Months_Ref!$A$4,Acct2_Raw!$A$3:$A$26,0),MATCH($A62,Acct2_Raw!$B$1:$BO$1,0))),0)</f>
        <v>11119.388</v>
      </c>
      <c r="K62" s="4" t="n">
        <f aca="false">IFERROR(IF(Months_Ref!$A$5="",0,INDEX(Acct2_Raw!$B$3:$BO$26,MATCH(Months_Ref!$A$5,Acct2_Raw!$A$3:$A$26,0),MATCH($A62,Acct2_Raw!$B$1:$BO$1,0))),0)</f>
        <v>14310.163</v>
      </c>
      <c r="L62" s="4" t="n">
        <f aca="false">IFERROR(IF(Months_Ref!$A$6="",0,INDEX(Acct2_Raw!$B$3:$BO$26,MATCH(Months_Ref!$A$6,Acct2_Raw!$A$3:$A$26,0),MATCH($A62,Acct2_Raw!$B$1:$BO$1,0))),0)</f>
        <v>11695.133</v>
      </c>
      <c r="M62" s="4" t="n">
        <f aca="false">IFERROR(IF(Months_Ref!$A$7="",0,INDEX(Acct2_Raw!$B$3:$BO$26,MATCH(Months_Ref!$A$7,Acct2_Raw!$A$3:$A$26,0),MATCH($A62,Acct2_Raw!$B$1:$BO$1,0))),0)</f>
        <v>13663.332</v>
      </c>
      <c r="N62" s="4" t="n">
        <f aca="false">B62+H62</f>
        <v>25268.923</v>
      </c>
      <c r="O62" s="4" t="n">
        <f aca="false">C62+I62</f>
        <v>23162.104</v>
      </c>
      <c r="P62" s="4" t="n">
        <f aca="false">D62+J62</f>
        <v>24123.164</v>
      </c>
      <c r="Q62" s="4" t="n">
        <f aca="false">E62+K62</f>
        <v>27267.79</v>
      </c>
      <c r="R62" s="4" t="n">
        <f aca="false">F62+L62</f>
        <v>24389.062</v>
      </c>
      <c r="S62" s="4" t="n">
        <f aca="false">G62+M62</f>
        <v>25556.123</v>
      </c>
    </row>
    <row r="63" customFormat="false" ht="15" hidden="false" customHeight="false" outlineLevel="0" collapsed="false">
      <c r="A63" s="3" t="s">
        <v>64</v>
      </c>
      <c r="B63" s="4" t="n">
        <f aca="false">IFERROR(IF(Months_Ref!$A$2="",0,INDEX(Acct1_Raw!$B$3:$BO$26,MATCH(Months_Ref!$A$2,Acct1_Raw!$A$3:$A$26,0),MATCH($A63,Acct1_Raw!$B$1:$BO$1,0))),0)</f>
        <v>11417.403</v>
      </c>
      <c r="C63" s="4" t="n">
        <f aca="false">IFERROR(IF(Months_Ref!$A$3="",0,INDEX(Acct1_Raw!$B$3:$BO$26,MATCH(Months_Ref!$A$3,Acct1_Raw!$A$3:$A$26,0),MATCH($A63,Acct1_Raw!$B$1:$BO$1,0))),0)</f>
        <v>11472.783</v>
      </c>
      <c r="D63" s="4" t="n">
        <f aca="false">IFERROR(IF(Months_Ref!$A$4="",0,INDEX(Acct1_Raw!$B$3:$BO$26,MATCH(Months_Ref!$A$4,Acct1_Raw!$A$3:$A$26,0),MATCH($A63,Acct1_Raw!$B$1:$BO$1,0))),0)</f>
        <v>11632.071</v>
      </c>
      <c r="E63" s="4" t="n">
        <f aca="false">IFERROR(IF(Months_Ref!$A$5="",0,INDEX(Acct1_Raw!$B$3:$BO$26,MATCH(Months_Ref!$A$5,Acct1_Raw!$A$3:$A$26,0),MATCH($A63,Acct1_Raw!$B$1:$BO$1,0))),0)</f>
        <v>10448.889</v>
      </c>
      <c r="F63" s="4" t="n">
        <f aca="false">IFERROR(IF(Months_Ref!$A$6="",0,INDEX(Acct1_Raw!$B$3:$BO$26,MATCH(Months_Ref!$A$6,Acct1_Raw!$A$3:$A$26,0),MATCH($A63,Acct1_Raw!$B$1:$BO$1,0))),0)</f>
        <v>9604.208</v>
      </c>
      <c r="G63" s="4" t="n">
        <f aca="false">IFERROR(IF(Months_Ref!$A$7="",0,INDEX(Acct1_Raw!$B$3:$BO$26,MATCH(Months_Ref!$A$7,Acct1_Raw!$A$3:$A$26,0),MATCH($A63,Acct1_Raw!$B$1:$BO$1,0))),0)</f>
        <v>11086.39</v>
      </c>
      <c r="H63" s="4" t="n">
        <f aca="false">IFERROR(IF(Months_Ref!$A$2="",0,INDEX(Acct2_Raw!$B$3:$BO$26,MATCH(Months_Ref!$A$2,Acct2_Raw!$A$3:$A$26,0),MATCH($A63,Acct2_Raw!$B$1:$BO$1,0))),0)</f>
        <v>14398.88</v>
      </c>
      <c r="I63" s="4" t="n">
        <f aca="false">IFERROR(IF(Months_Ref!$A$3="",0,INDEX(Acct2_Raw!$B$3:$BO$26,MATCH(Months_Ref!$A$3,Acct2_Raw!$A$3:$A$26,0),MATCH($A63,Acct2_Raw!$B$1:$BO$1,0))),0)</f>
        <v>13630.938</v>
      </c>
      <c r="J63" s="4" t="n">
        <f aca="false">IFERROR(IF(Months_Ref!$A$4="",0,INDEX(Acct2_Raw!$B$3:$BO$26,MATCH(Months_Ref!$A$4,Acct2_Raw!$A$3:$A$26,0),MATCH($A63,Acct2_Raw!$B$1:$BO$1,0))),0)</f>
        <v>11272.852</v>
      </c>
      <c r="K63" s="4" t="n">
        <f aca="false">IFERROR(IF(Months_Ref!$A$5="",0,INDEX(Acct2_Raw!$B$3:$BO$26,MATCH(Months_Ref!$A$5,Acct2_Raw!$A$3:$A$26,0),MATCH($A63,Acct2_Raw!$B$1:$BO$1,0))),0)</f>
        <v>14612.739</v>
      </c>
      <c r="L63" s="4" t="n">
        <f aca="false">IFERROR(IF(Months_Ref!$A$6="",0,INDEX(Acct2_Raw!$B$3:$BO$26,MATCH(Months_Ref!$A$6,Acct2_Raw!$A$3:$A$26,0),MATCH($A63,Acct2_Raw!$B$1:$BO$1,0))),0)</f>
        <v>13366.569</v>
      </c>
      <c r="M63" s="4" t="n">
        <f aca="false">IFERROR(IF(Months_Ref!$A$7="",0,INDEX(Acct2_Raw!$B$3:$BO$26,MATCH(Months_Ref!$A$7,Acct2_Raw!$A$3:$A$26,0),MATCH($A63,Acct2_Raw!$B$1:$BO$1,0))),0)</f>
        <v>13576.395</v>
      </c>
      <c r="N63" s="4" t="n">
        <f aca="false">B63+H63</f>
        <v>25816.283</v>
      </c>
      <c r="O63" s="4" t="n">
        <f aca="false">C63+I63</f>
        <v>25103.721</v>
      </c>
      <c r="P63" s="4" t="n">
        <f aca="false">D63+J63</f>
        <v>22904.923</v>
      </c>
      <c r="Q63" s="4" t="n">
        <f aca="false">E63+K63</f>
        <v>25061.628</v>
      </c>
      <c r="R63" s="4" t="n">
        <f aca="false">F63+L63</f>
        <v>22970.777</v>
      </c>
      <c r="S63" s="4" t="n">
        <f aca="false">G63+M63</f>
        <v>24662.785</v>
      </c>
    </row>
    <row r="64" customFormat="false" ht="15" hidden="false" customHeight="false" outlineLevel="0" collapsed="false">
      <c r="A64" s="3" t="s">
        <v>29</v>
      </c>
      <c r="B64" s="4" t="n">
        <f aca="false">IFERROR(IF(Months_Ref!$A$2="",0,INDEX(Acct1_Raw!$B$3:$BO$26,MATCH(Months_Ref!$A$2,Acct1_Raw!$A$3:$A$26,0),MATCH($A64,Acct1_Raw!$B$1:$BO$1,0))),0)</f>
        <v>11089.589</v>
      </c>
      <c r="C64" s="4" t="n">
        <f aca="false">IFERROR(IF(Months_Ref!$A$3="",0,INDEX(Acct1_Raw!$B$3:$BO$26,MATCH(Months_Ref!$A$3,Acct1_Raw!$A$3:$A$26,0),MATCH($A64,Acct1_Raw!$B$1:$BO$1,0))),0)</f>
        <v>12738.55</v>
      </c>
      <c r="D64" s="4" t="n">
        <f aca="false">IFERROR(IF(Months_Ref!$A$4="",0,INDEX(Acct1_Raw!$B$3:$BO$26,MATCH(Months_Ref!$A$4,Acct1_Raw!$A$3:$A$26,0),MATCH($A64,Acct1_Raw!$B$1:$BO$1,0))),0)</f>
        <v>13251.206</v>
      </c>
      <c r="E64" s="4" t="n">
        <f aca="false">IFERROR(IF(Months_Ref!$A$5="",0,INDEX(Acct1_Raw!$B$3:$BO$26,MATCH(Months_Ref!$A$5,Acct1_Raw!$A$3:$A$26,0),MATCH($A64,Acct1_Raw!$B$1:$BO$1,0))),0)</f>
        <v>11232.43</v>
      </c>
      <c r="F64" s="4" t="n">
        <f aca="false">IFERROR(IF(Months_Ref!$A$6="",0,INDEX(Acct1_Raw!$B$3:$BO$26,MATCH(Months_Ref!$A$6,Acct1_Raw!$A$3:$A$26,0),MATCH($A64,Acct1_Raw!$B$1:$BO$1,0))),0)</f>
        <v>12706.196</v>
      </c>
      <c r="G64" s="4" t="n">
        <f aca="false">IFERROR(IF(Months_Ref!$A$7="",0,INDEX(Acct1_Raw!$B$3:$BO$26,MATCH(Months_Ref!$A$7,Acct1_Raw!$A$3:$A$26,0),MATCH($A64,Acct1_Raw!$B$1:$BO$1,0))),0)</f>
        <v>11660.599</v>
      </c>
      <c r="H64" s="4" t="n">
        <f aca="false">IFERROR(IF(Months_Ref!$A$2="",0,INDEX(Acct2_Raw!$B$3:$BO$26,MATCH(Months_Ref!$A$2,Acct2_Raw!$A$3:$A$26,0),MATCH($A64,Acct2_Raw!$B$1:$BO$1,0))),0)</f>
        <v>11317.451</v>
      </c>
      <c r="I64" s="4" t="n">
        <f aca="false">IFERROR(IF(Months_Ref!$A$3="",0,INDEX(Acct2_Raw!$B$3:$BO$26,MATCH(Months_Ref!$A$3,Acct2_Raw!$A$3:$A$26,0),MATCH($A64,Acct2_Raw!$B$1:$BO$1,0))),0)</f>
        <v>11873.515</v>
      </c>
      <c r="J64" s="4" t="n">
        <f aca="false">IFERROR(IF(Months_Ref!$A$4="",0,INDEX(Acct2_Raw!$B$3:$BO$26,MATCH(Months_Ref!$A$4,Acct2_Raw!$A$3:$A$26,0),MATCH($A64,Acct2_Raw!$B$1:$BO$1,0))),0)</f>
        <v>12150.703</v>
      </c>
      <c r="K64" s="4" t="n">
        <f aca="false">IFERROR(IF(Months_Ref!$A$5="",0,INDEX(Acct2_Raw!$B$3:$BO$26,MATCH(Months_Ref!$A$5,Acct2_Raw!$A$3:$A$26,0),MATCH($A64,Acct2_Raw!$B$1:$BO$1,0))),0)</f>
        <v>10510.451</v>
      </c>
      <c r="L64" s="4" t="n">
        <f aca="false">IFERROR(IF(Months_Ref!$A$6="",0,INDEX(Acct2_Raw!$B$3:$BO$26,MATCH(Months_Ref!$A$6,Acct2_Raw!$A$3:$A$26,0),MATCH($A64,Acct2_Raw!$B$1:$BO$1,0))),0)</f>
        <v>10280.13</v>
      </c>
      <c r="M64" s="4" t="n">
        <f aca="false">IFERROR(IF(Months_Ref!$A$7="",0,INDEX(Acct2_Raw!$B$3:$BO$26,MATCH(Months_Ref!$A$7,Acct2_Raw!$A$3:$A$26,0),MATCH($A64,Acct2_Raw!$B$1:$BO$1,0))),0)</f>
        <v>9714.62</v>
      </c>
      <c r="N64" s="4" t="n">
        <f aca="false">B64+H64</f>
        <v>22407.04</v>
      </c>
      <c r="O64" s="4" t="n">
        <f aca="false">C64+I64</f>
        <v>24612.065</v>
      </c>
      <c r="P64" s="4" t="n">
        <f aca="false">D64+J64</f>
        <v>25401.909</v>
      </c>
      <c r="Q64" s="4" t="n">
        <f aca="false">E64+K64</f>
        <v>21742.881</v>
      </c>
      <c r="R64" s="4" t="n">
        <f aca="false">F64+L64</f>
        <v>22986.326</v>
      </c>
      <c r="S64" s="4" t="n">
        <f aca="false">G64+M64</f>
        <v>21375.219</v>
      </c>
    </row>
    <row r="65" customFormat="false" ht="15" hidden="false" customHeight="false" outlineLevel="0" collapsed="false">
      <c r="A65" s="3" t="s">
        <v>17</v>
      </c>
      <c r="B65" s="4" t="n">
        <f aca="false">IFERROR(IF(Months_Ref!$A$2="",0,INDEX(Acct1_Raw!$B$3:$BO$26,MATCH(Months_Ref!$A$2,Acct1_Raw!$A$3:$A$26,0),MATCH($A65,Acct1_Raw!$B$1:$BO$1,0))),0)</f>
        <v>3081.123</v>
      </c>
      <c r="C65" s="4" t="n">
        <f aca="false">IFERROR(IF(Months_Ref!$A$3="",0,INDEX(Acct1_Raw!$B$3:$BO$26,MATCH(Months_Ref!$A$3,Acct1_Raw!$A$3:$A$26,0),MATCH($A65,Acct1_Raw!$B$1:$BO$1,0))),0)</f>
        <v>3848.912</v>
      </c>
      <c r="D65" s="4" t="n">
        <f aca="false">IFERROR(IF(Months_Ref!$A$4="",0,INDEX(Acct1_Raw!$B$3:$BO$26,MATCH(Months_Ref!$A$4,Acct1_Raw!$A$3:$A$26,0),MATCH($A65,Acct1_Raw!$B$1:$BO$1,0))),0)</f>
        <v>3605.522</v>
      </c>
      <c r="E65" s="4" t="n">
        <f aca="false">IFERROR(IF(Months_Ref!$A$5="",0,INDEX(Acct1_Raw!$B$3:$BO$26,MATCH(Months_Ref!$A$5,Acct1_Raw!$A$3:$A$26,0),MATCH($A65,Acct1_Raw!$B$1:$BO$1,0))),0)</f>
        <v>3858.63</v>
      </c>
      <c r="F65" s="4" t="n">
        <f aca="false">IFERROR(IF(Months_Ref!$A$6="",0,INDEX(Acct1_Raw!$B$3:$BO$26,MATCH(Months_Ref!$A$6,Acct1_Raw!$A$3:$A$26,0),MATCH($A65,Acct1_Raw!$B$1:$BO$1,0))),0)</f>
        <v>3560.017</v>
      </c>
      <c r="G65" s="4" t="n">
        <f aca="false">IFERROR(IF(Months_Ref!$A$7="",0,INDEX(Acct1_Raw!$B$3:$BO$26,MATCH(Months_Ref!$A$7,Acct1_Raw!$A$3:$A$26,0),MATCH($A65,Acct1_Raw!$B$1:$BO$1,0))),0)</f>
        <v>3746.78</v>
      </c>
      <c r="H65" s="4" t="n">
        <f aca="false">IFERROR(IF(Months_Ref!$A$2="",0,INDEX(Acct2_Raw!$B$3:$BO$26,MATCH(Months_Ref!$A$2,Acct2_Raw!$A$3:$A$26,0),MATCH($A65,Acct2_Raw!$B$1:$BO$1,0))),0)</f>
        <v>4668.925</v>
      </c>
      <c r="I65" s="4" t="n">
        <f aca="false">IFERROR(IF(Months_Ref!$A$3="",0,INDEX(Acct2_Raw!$B$3:$BO$26,MATCH(Months_Ref!$A$3,Acct2_Raw!$A$3:$A$26,0),MATCH($A65,Acct2_Raw!$B$1:$BO$1,0))),0)</f>
        <v>4474.725</v>
      </c>
      <c r="J65" s="4" t="n">
        <f aca="false">IFERROR(IF(Months_Ref!$A$4="",0,INDEX(Acct2_Raw!$B$3:$BO$26,MATCH(Months_Ref!$A$4,Acct2_Raw!$A$3:$A$26,0),MATCH($A65,Acct2_Raw!$B$1:$BO$1,0))),0)</f>
        <v>5424.851</v>
      </c>
      <c r="K65" s="4" t="n">
        <f aca="false">IFERROR(IF(Months_Ref!$A$5="",0,INDEX(Acct2_Raw!$B$3:$BO$26,MATCH(Months_Ref!$A$5,Acct2_Raw!$A$3:$A$26,0),MATCH($A65,Acct2_Raw!$B$1:$BO$1,0))),0)</f>
        <v>4709.501</v>
      </c>
      <c r="L65" s="4" t="n">
        <f aca="false">IFERROR(IF(Months_Ref!$A$6="",0,INDEX(Acct2_Raw!$B$3:$BO$26,MATCH(Months_Ref!$A$6,Acct2_Raw!$A$3:$A$26,0),MATCH($A65,Acct2_Raw!$B$1:$BO$1,0))),0)</f>
        <v>5300.322</v>
      </c>
      <c r="M65" s="4" t="n">
        <f aca="false">IFERROR(IF(Months_Ref!$A$7="",0,INDEX(Acct2_Raw!$B$3:$BO$26,MATCH(Months_Ref!$A$7,Acct2_Raw!$A$3:$A$26,0),MATCH($A65,Acct2_Raw!$B$1:$BO$1,0))),0)</f>
        <v>5029.763</v>
      </c>
      <c r="N65" s="4" t="n">
        <f aca="false">B65+H65</f>
        <v>7750.048</v>
      </c>
      <c r="O65" s="4" t="n">
        <f aca="false">C65+I65</f>
        <v>8323.637</v>
      </c>
      <c r="P65" s="4" t="n">
        <f aca="false">D65+J65</f>
        <v>9030.373</v>
      </c>
      <c r="Q65" s="4" t="n">
        <f aca="false">E65+K65</f>
        <v>8568.131</v>
      </c>
      <c r="R65" s="4" t="n">
        <f aca="false">F65+L65</f>
        <v>8860.339</v>
      </c>
      <c r="S65" s="4" t="n">
        <f aca="false">G65+M65</f>
        <v>8776.543</v>
      </c>
    </row>
    <row r="66" customFormat="false" ht="15" hidden="false" customHeight="false" outlineLevel="0" collapsed="false">
      <c r="A66" s="3" t="s">
        <v>37</v>
      </c>
      <c r="B66" s="4" t="n">
        <f aca="false">IFERROR(IF(Months_Ref!$A$2="",0,INDEX(Acct1_Raw!$B$3:$BO$26,MATCH(Months_Ref!$A$2,Acct1_Raw!$A$3:$A$26,0),MATCH($A66,Acct1_Raw!$B$1:$BO$1,0))),0)</f>
        <v>11390.107</v>
      </c>
      <c r="C66" s="4" t="n">
        <f aca="false">IFERROR(IF(Months_Ref!$A$3="",0,INDEX(Acct1_Raw!$B$3:$BO$26,MATCH(Months_Ref!$A$3,Acct1_Raw!$A$3:$A$26,0),MATCH($A66,Acct1_Raw!$B$1:$BO$1,0))),0)</f>
        <v>11468.47</v>
      </c>
      <c r="D66" s="4" t="n">
        <f aca="false">IFERROR(IF(Months_Ref!$A$4="",0,INDEX(Acct1_Raw!$B$3:$BO$26,MATCH(Months_Ref!$A$4,Acct1_Raw!$A$3:$A$26,0),MATCH($A66,Acct1_Raw!$B$1:$BO$1,0))),0)</f>
        <v>13967.788</v>
      </c>
      <c r="E66" s="4" t="n">
        <f aca="false">IFERROR(IF(Months_Ref!$A$5="",0,INDEX(Acct1_Raw!$B$3:$BO$26,MATCH(Months_Ref!$A$5,Acct1_Raw!$A$3:$A$26,0),MATCH($A66,Acct1_Raw!$B$1:$BO$1,0))),0)</f>
        <v>11541.42</v>
      </c>
      <c r="F66" s="4" t="n">
        <f aca="false">IFERROR(IF(Months_Ref!$A$6="",0,INDEX(Acct1_Raw!$B$3:$BO$26,MATCH(Months_Ref!$A$6,Acct1_Raw!$A$3:$A$26,0),MATCH($A66,Acct1_Raw!$B$1:$BO$1,0))),0)</f>
        <v>11246.776</v>
      </c>
      <c r="G66" s="4" t="n">
        <f aca="false">IFERROR(IF(Months_Ref!$A$7="",0,INDEX(Acct1_Raw!$B$3:$BO$26,MATCH(Months_Ref!$A$7,Acct1_Raw!$A$3:$A$26,0),MATCH($A66,Acct1_Raw!$B$1:$BO$1,0))),0)</f>
        <v>12336.252</v>
      </c>
      <c r="H66" s="4" t="n">
        <f aca="false">IFERROR(IF(Months_Ref!$A$2="",0,INDEX(Acct2_Raw!$B$3:$BO$26,MATCH(Months_Ref!$A$2,Acct2_Raw!$A$3:$A$26,0),MATCH($A66,Acct2_Raw!$B$1:$BO$1,0))),0)</f>
        <v>3672.031</v>
      </c>
      <c r="I66" s="4" t="n">
        <f aca="false">IFERROR(IF(Months_Ref!$A$3="",0,INDEX(Acct2_Raw!$B$3:$BO$26,MATCH(Months_Ref!$A$3,Acct2_Raw!$A$3:$A$26,0),MATCH($A66,Acct2_Raw!$B$1:$BO$1,0))),0)</f>
        <v>3313.456</v>
      </c>
      <c r="J66" s="4" t="n">
        <f aca="false">IFERROR(IF(Months_Ref!$A$4="",0,INDEX(Acct2_Raw!$B$3:$BO$26,MATCH(Months_Ref!$A$4,Acct2_Raw!$A$3:$A$26,0),MATCH($A66,Acct2_Raw!$B$1:$BO$1,0))),0)</f>
        <v>3242.532</v>
      </c>
      <c r="K66" s="4" t="n">
        <f aca="false">IFERROR(IF(Months_Ref!$A$5="",0,INDEX(Acct2_Raw!$B$3:$BO$26,MATCH(Months_Ref!$A$5,Acct2_Raw!$A$3:$A$26,0),MATCH($A66,Acct2_Raw!$B$1:$BO$1,0))),0)</f>
        <v>4122.033</v>
      </c>
      <c r="L66" s="4" t="n">
        <f aca="false">IFERROR(IF(Months_Ref!$A$6="",0,INDEX(Acct2_Raw!$B$3:$BO$26,MATCH(Months_Ref!$A$6,Acct2_Raw!$A$3:$A$26,0),MATCH($A66,Acct2_Raw!$B$1:$BO$1,0))),0)</f>
        <v>3994.027</v>
      </c>
      <c r="M66" s="4" t="n">
        <f aca="false">IFERROR(IF(Months_Ref!$A$7="",0,INDEX(Acct2_Raw!$B$3:$BO$26,MATCH(Months_Ref!$A$7,Acct2_Raw!$A$3:$A$26,0),MATCH($A66,Acct2_Raw!$B$1:$BO$1,0))),0)</f>
        <v>3327.782</v>
      </c>
      <c r="N66" s="4" t="n">
        <f aca="false">B66+H66</f>
        <v>15062.138</v>
      </c>
      <c r="O66" s="4" t="n">
        <f aca="false">C66+I66</f>
        <v>14781.926</v>
      </c>
      <c r="P66" s="4" t="n">
        <f aca="false">D66+J66</f>
        <v>17210.32</v>
      </c>
      <c r="Q66" s="4" t="n">
        <f aca="false">E66+K66</f>
        <v>15663.453</v>
      </c>
      <c r="R66" s="4" t="n">
        <f aca="false">F66+L66</f>
        <v>15240.803</v>
      </c>
      <c r="S66" s="4" t="n">
        <f aca="false">G66+M66</f>
        <v>15664.034</v>
      </c>
    </row>
    <row r="67" customFormat="false" ht="15" hidden="false" customHeight="false" outlineLevel="0" collapsed="false">
      <c r="A67" s="3" t="s">
        <v>35</v>
      </c>
      <c r="B67" s="4" t="n">
        <f aca="false">IFERROR(IF(Months_Ref!$A$2="",0,INDEX(Acct1_Raw!$B$3:$BO$26,MATCH(Months_Ref!$A$2,Acct1_Raw!$A$3:$A$26,0),MATCH($A67,Acct1_Raw!$B$1:$BO$1,0))),0)</f>
        <v>5288.993</v>
      </c>
      <c r="C67" s="4" t="n">
        <f aca="false">IFERROR(IF(Months_Ref!$A$3="",0,INDEX(Acct1_Raw!$B$3:$BO$26,MATCH(Months_Ref!$A$3,Acct1_Raw!$A$3:$A$26,0),MATCH($A67,Acct1_Raw!$B$1:$BO$1,0))),0)</f>
        <v>5903.817</v>
      </c>
      <c r="D67" s="4" t="n">
        <f aca="false">IFERROR(IF(Months_Ref!$A$4="",0,INDEX(Acct1_Raw!$B$3:$BO$26,MATCH(Months_Ref!$A$4,Acct1_Raw!$A$3:$A$26,0),MATCH($A67,Acct1_Raw!$B$1:$BO$1,0))),0)</f>
        <v>5008.711</v>
      </c>
      <c r="E67" s="4" t="n">
        <f aca="false">IFERROR(IF(Months_Ref!$A$5="",0,INDEX(Acct1_Raw!$B$3:$BO$26,MATCH(Months_Ref!$A$5,Acct1_Raw!$A$3:$A$26,0),MATCH($A67,Acct1_Raw!$B$1:$BO$1,0))),0)</f>
        <v>5542.463</v>
      </c>
      <c r="F67" s="4" t="n">
        <f aca="false">IFERROR(IF(Months_Ref!$A$6="",0,INDEX(Acct1_Raw!$B$3:$BO$26,MATCH(Months_Ref!$A$6,Acct1_Raw!$A$3:$A$26,0),MATCH($A67,Acct1_Raw!$B$1:$BO$1,0))),0)</f>
        <v>5062.686</v>
      </c>
      <c r="G67" s="4" t="n">
        <f aca="false">IFERROR(IF(Months_Ref!$A$7="",0,INDEX(Acct1_Raw!$B$3:$BO$26,MATCH(Months_Ref!$A$7,Acct1_Raw!$A$3:$A$26,0),MATCH($A67,Acct1_Raw!$B$1:$BO$1,0))),0)</f>
        <v>5575.391</v>
      </c>
      <c r="H67" s="4" t="n">
        <f aca="false">IFERROR(IF(Months_Ref!$A$2="",0,INDEX(Acct2_Raw!$B$3:$BO$26,MATCH(Months_Ref!$A$2,Acct2_Raw!$A$3:$A$26,0),MATCH($A67,Acct2_Raw!$B$1:$BO$1,0))),0)</f>
        <v>502.34</v>
      </c>
      <c r="I67" s="4" t="n">
        <f aca="false">IFERROR(IF(Months_Ref!$A$3="",0,INDEX(Acct2_Raw!$B$3:$BO$26,MATCH(Months_Ref!$A$3,Acct2_Raw!$A$3:$A$26,0),MATCH($A67,Acct2_Raw!$B$1:$BO$1,0))),0)</f>
        <v>479.741</v>
      </c>
      <c r="J67" s="4" t="n">
        <f aca="false">IFERROR(IF(Months_Ref!$A$4="",0,INDEX(Acct2_Raw!$B$3:$BO$26,MATCH(Months_Ref!$A$4,Acct2_Raw!$A$3:$A$26,0),MATCH($A67,Acct2_Raw!$B$1:$BO$1,0))),0)</f>
        <v>599.416</v>
      </c>
      <c r="K67" s="4" t="n">
        <f aca="false">IFERROR(IF(Months_Ref!$A$5="",0,INDEX(Acct2_Raw!$B$3:$BO$26,MATCH(Months_Ref!$A$5,Acct2_Raw!$A$3:$A$26,0),MATCH($A67,Acct2_Raw!$B$1:$BO$1,0))),0)</f>
        <v>543.419</v>
      </c>
      <c r="L67" s="4" t="n">
        <f aca="false">IFERROR(IF(Months_Ref!$A$6="",0,INDEX(Acct2_Raw!$B$3:$BO$26,MATCH(Months_Ref!$A$6,Acct2_Raw!$A$3:$A$26,0),MATCH($A67,Acct2_Raw!$B$1:$BO$1,0))),0)</f>
        <v>562.139</v>
      </c>
      <c r="M67" s="4" t="n">
        <f aca="false">IFERROR(IF(Months_Ref!$A$7="",0,INDEX(Acct2_Raw!$B$3:$BO$26,MATCH(Months_Ref!$A$7,Acct2_Raw!$A$3:$A$26,0),MATCH($A67,Acct2_Raw!$B$1:$BO$1,0))),0)</f>
        <v>641.513</v>
      </c>
      <c r="N67" s="4" t="n">
        <f aca="false">B67+H67</f>
        <v>5791.333</v>
      </c>
      <c r="O67" s="4" t="n">
        <f aca="false">C67+I67</f>
        <v>6383.558</v>
      </c>
      <c r="P67" s="4" t="n">
        <f aca="false">D67+J67</f>
        <v>5608.127</v>
      </c>
      <c r="Q67" s="4" t="n">
        <f aca="false">E67+K67</f>
        <v>6085.882</v>
      </c>
      <c r="R67" s="4" t="n">
        <f aca="false">F67+L67</f>
        <v>5624.825</v>
      </c>
      <c r="S67" s="4" t="n">
        <f aca="false">G67+M67</f>
        <v>6216.904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A1:AL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36"/>
    <col collapsed="false" customWidth="true" hidden="false" outlineLevel="0" max="12" min="6" style="0" width="14"/>
    <col collapsed="false" customWidth="true" hidden="false" outlineLevel="0" max="14" min="14" style="0" width="6"/>
    <col collapsed="false" customWidth="true" hidden="false" outlineLevel="0" max="15" min="15" style="0" width="32"/>
    <col collapsed="false" customWidth="true" hidden="false" outlineLevel="0" max="18" min="16" style="0" width="13"/>
    <col collapsed="false" customWidth="true" hidden="false" outlineLevel="0" max="19" min="19" style="0" width="10"/>
    <col collapsed="false" customWidth="true" hidden="false" outlineLevel="0" max="21" min="21" style="0" width="6"/>
    <col collapsed="false" customWidth="true" hidden="false" outlineLevel="0" max="22" min="22" style="0" width="32"/>
    <col collapsed="false" customWidth="true" hidden="false" outlineLevel="0" max="25" min="23" style="0" width="13"/>
    <col collapsed="false" customWidth="true" hidden="false" outlineLevel="0" max="26" min="26" style="0" width="10"/>
    <col collapsed="false" customWidth="true" hidden="false" outlineLevel="0" max="28" min="28" style="0" width="12"/>
    <col collapsed="false" customWidth="true" hidden="false" outlineLevel="0" max="31" min="29" style="0" width="14"/>
    <col collapsed="false" customWidth="true" hidden="false" outlineLevel="0" max="33" min="33" style="0" width="30"/>
    <col collapsed="false" customWidth="true" hidden="false" outlineLevel="0" max="34" min="34" style="0" width="14"/>
    <col collapsed="false" customWidth="true" hidden="false" outlineLevel="0" max="36" min="36" style="0" width="30"/>
    <col collapsed="false" customWidth="true" hidden="false" outlineLevel="0" max="38" min="37" style="0" width="14"/>
  </cols>
  <sheetData>
    <row r="1" customFormat="false" ht="15" hidden="false" customHeight="false" outlineLevel="0" collapsed="false">
      <c r="A1" s="10" t="s">
        <v>211</v>
      </c>
      <c r="B1" s="10" t="s">
        <v>212</v>
      </c>
      <c r="C1" s="10" t="s">
        <v>213</v>
      </c>
      <c r="D1" s="10" t="s">
        <v>214</v>
      </c>
    </row>
    <row r="2" customFormat="false" ht="15" hidden="false" customHeight="false" outlineLevel="0" collapsed="false">
      <c r="A2" s="11" t="str">
        <f aca="false">Months_Ref!$A$2</f>
        <v>8/1/25</v>
      </c>
      <c r="B2" s="0" t="n">
        <v>2</v>
      </c>
      <c r="C2" s="0" t="n">
        <v>8</v>
      </c>
      <c r="D2" s="0" t="n">
        <v>14</v>
      </c>
    </row>
    <row r="3" customFormat="false" ht="15" hidden="false" customHeight="false" outlineLevel="0" collapsed="false">
      <c r="A3" s="11" t="str">
        <f aca="false">Months_Ref!$A$3</f>
        <v>9/1/25</v>
      </c>
      <c r="B3" s="0" t="n">
        <v>3</v>
      </c>
      <c r="C3" s="0" t="n">
        <v>9</v>
      </c>
      <c r="D3" s="0" t="n">
        <v>15</v>
      </c>
    </row>
    <row r="4" customFormat="false" ht="15" hidden="false" customHeight="false" outlineLevel="0" collapsed="false">
      <c r="A4" s="11" t="str">
        <f aca="false">Months_Ref!$A$4</f>
        <v>10/1/25</v>
      </c>
      <c r="B4" s="0" t="n">
        <v>4</v>
      </c>
      <c r="C4" s="0" t="n">
        <v>10</v>
      </c>
      <c r="D4" s="0" t="n">
        <v>16</v>
      </c>
    </row>
    <row r="5" customFormat="false" ht="15" hidden="false" customHeight="false" outlineLevel="0" collapsed="false">
      <c r="A5" s="11" t="str">
        <f aca="false">Months_Ref!$A$5</f>
        <v>11/1/25</v>
      </c>
      <c r="B5" s="0" t="n">
        <v>5</v>
      </c>
      <c r="C5" s="0" t="n">
        <v>11</v>
      </c>
      <c r="D5" s="0" t="n">
        <v>17</v>
      </c>
    </row>
    <row r="6" customFormat="false" ht="15" hidden="false" customHeight="false" outlineLevel="0" collapsed="false">
      <c r="A6" s="11" t="str">
        <f aca="false">Months_Ref!$A$6</f>
        <v>12/1/25</v>
      </c>
      <c r="B6" s="0" t="n">
        <v>6</v>
      </c>
      <c r="C6" s="0" t="n">
        <v>12</v>
      </c>
      <c r="D6" s="0" t="n">
        <v>18</v>
      </c>
    </row>
    <row r="7" customFormat="false" ht="15" hidden="false" customHeight="false" outlineLevel="0" collapsed="false">
      <c r="A7" s="11" t="str">
        <f aca="false">Months_Ref!$A$7</f>
        <v>1/1/26</v>
      </c>
      <c r="B7" s="0" t="n">
        <v>7</v>
      </c>
      <c r="C7" s="0" t="n">
        <v>13</v>
      </c>
      <c r="D7" s="0" t="n">
        <v>19</v>
      </c>
    </row>
    <row r="28" customFormat="false" ht="15" hidden="false" customHeight="false" outlineLevel="0" collapsed="false">
      <c r="A28" s="10" t="s">
        <v>215</v>
      </c>
      <c r="B28" s="11" t="n">
        <f aca="false">IF(Dashboard!$E$5="Acct1",IFERROR(INDEX($B$2:$B$7,IFERROR(MATCH(Dashboard!$K$5,$A$2:$A$7,0),1)),2),IF(Dashboard!$E$5="Acct2",IFERROR(INDEX($C$2:$C$7,IFERROR(MATCH(Dashboard!$K$5,$A$2:$A$7,0),1)),8),IFERROR(INDEX($D$2:$D$7,IFERROR(MATCH(Dashboard!$K$5,$A$2:$A$7,0),1)),14)))</f>
        <v>7</v>
      </c>
    </row>
    <row r="29" customFormat="false" ht="15" hidden="false" customHeight="false" outlineLevel="0" collapsed="false">
      <c r="A29" s="10" t="s">
        <v>216</v>
      </c>
      <c r="B29" s="11" t="n">
        <f aca="false">IF(Dashboard!$E$5="Acct1",IFERROR(INDEX($B$2:$B$7,IFERROR(MATCH(Dashboard!$Q$5,$A$2:$A$7,0),1)),2),IF(Dashboard!$E$5="Acct2",IFERROR(INDEX($C$2:$C$7,IFERROR(MATCH(Dashboard!$Q$5,$A$2:$A$7,0),1)),8),IFERROR(INDEX($D$2:$D$7,IFERROR(MATCH(Dashboard!$Q$5,$A$2:$A$7,0),1)),14)))</f>
        <v>6</v>
      </c>
      <c r="E29" s="10" t="s">
        <v>0</v>
      </c>
      <c r="F29" s="10" t="s">
        <v>217</v>
      </c>
      <c r="G29" s="10" t="s">
        <v>218</v>
      </c>
      <c r="H29" s="10" t="s">
        <v>219</v>
      </c>
      <c r="I29" s="10" t="s">
        <v>220</v>
      </c>
      <c r="J29" s="10" t="s">
        <v>221</v>
      </c>
      <c r="K29" s="10" t="s">
        <v>222</v>
      </c>
      <c r="L29" s="10" t="s">
        <v>223</v>
      </c>
      <c r="N29" s="12" t="s">
        <v>224</v>
      </c>
      <c r="O29" s="12" t="s">
        <v>0</v>
      </c>
      <c r="P29" s="12" t="s">
        <v>217</v>
      </c>
      <c r="Q29" s="12" t="s">
        <v>218</v>
      </c>
      <c r="R29" s="12" t="s">
        <v>219</v>
      </c>
      <c r="S29" s="12" t="s">
        <v>220</v>
      </c>
      <c r="U29" s="12" t="s">
        <v>224</v>
      </c>
      <c r="V29" s="12" t="s">
        <v>0</v>
      </c>
      <c r="W29" s="12" t="s">
        <v>217</v>
      </c>
      <c r="X29" s="12" t="s">
        <v>218</v>
      </c>
      <c r="Y29" s="12" t="s">
        <v>219</v>
      </c>
      <c r="Z29" s="12" t="s">
        <v>220</v>
      </c>
      <c r="AB29" s="12" t="s">
        <v>211</v>
      </c>
      <c r="AC29" s="12" t="s">
        <v>225</v>
      </c>
      <c r="AD29" s="12" t="s">
        <v>226</v>
      </c>
      <c r="AE29" s="12" t="s">
        <v>227</v>
      </c>
      <c r="AG29" s="12" t="s">
        <v>0</v>
      </c>
      <c r="AH29" s="12" t="s">
        <v>228</v>
      </c>
      <c r="AJ29" s="12" t="s">
        <v>0</v>
      </c>
      <c r="AK29" s="12" t="s">
        <v>225</v>
      </c>
      <c r="AL29" s="12" t="s">
        <v>226</v>
      </c>
    </row>
    <row r="30" customFormat="false" ht="15" hidden="false" customHeight="false" outlineLevel="0" collapsed="false">
      <c r="A30" s="10" t="s">
        <v>229</v>
      </c>
      <c r="B30" s="11" t="n">
        <f aca="false">VALUE(Dashboard!$W$5)</f>
        <v>10</v>
      </c>
      <c r="E30" s="11" t="str">
        <f aca="false">Service_List!$A$2</f>
        <v>ACM($)</v>
      </c>
      <c r="F30" s="13" t="n">
        <f aca="false">IFERROR(INDEX(Service_List!$2:2,1,$B$28),0)</f>
        <v>4087.961</v>
      </c>
      <c r="G30" s="13" t="n">
        <f aca="false">IFERROR(INDEX(Service_List!$2:2,1,$B$29),0)</f>
        <v>4814.501</v>
      </c>
      <c r="H30" s="13" t="n">
        <f aca="false">F30-G30</f>
        <v>-726.54</v>
      </c>
      <c r="I30" s="14" t="n">
        <f aca="false">IFERROR(H30/G30,0)</f>
        <v>-0.150906604858946</v>
      </c>
      <c r="J30" s="11" t="n">
        <f aca="false">RANK(F30,$F$30:$F$95,0)</f>
        <v>46</v>
      </c>
      <c r="K30" s="13" t="n">
        <f aca="false">ABS(H30)</f>
        <v>726.54</v>
      </c>
      <c r="L30" s="11" t="n">
        <f aca="false">RANK(K30,$K$30:$K$95,0)</f>
        <v>19</v>
      </c>
      <c r="N30" s="11" t="n">
        <v>1</v>
      </c>
      <c r="O30" s="11" t="str">
        <f aca="false">IFERROR(INDEX($E$30:$E$95,MATCH(1,$J$30:$J$95,0)),"")</f>
        <v>Batch($)</v>
      </c>
      <c r="P30" s="13" t="n">
        <f aca="false">IFERROR(INDEX($F$30:$F$95,MATCH(1,$J$30:$J$95,0)),0)</f>
        <v>15512.515</v>
      </c>
      <c r="Q30" s="13" t="n">
        <f aca="false">IFERROR(INDEX($G$30:$G$95,MATCH(1,$J$30:$J$95,0)),0)</f>
        <v>16027.611</v>
      </c>
      <c r="R30" s="13" t="n">
        <f aca="false">IFERROR(INDEX($H$30:$H$95,MATCH(1,$J$30:$J$95,0)),0)</f>
        <v>-515.096000000001</v>
      </c>
      <c r="S30" s="14" t="n">
        <f aca="false">IFERROR(INDEX($I$30:$I$95,MATCH(1,$J$30:$J$95,0)),0)</f>
        <v>-0.0321380397864661</v>
      </c>
      <c r="U30" s="11" t="n">
        <v>1</v>
      </c>
      <c r="V30" s="11" t="str">
        <f aca="false">IFERROR(INDEX($E$30:$E$95,MATCH(1,$L$30:$L$95,0)),"")</f>
        <v>DataSync($)</v>
      </c>
      <c r="W30" s="13" t="n">
        <f aca="false">IFERROR(INDEX($F$30:$F$95,MATCH(1,$L$30:$L$95,0)),0)</f>
        <v>14365.916</v>
      </c>
      <c r="X30" s="13" t="n">
        <f aca="false">IFERROR(INDEX($G$30:$G$95,MATCH(1,$L$30:$L$95,0)),0)</f>
        <v>11053.966</v>
      </c>
      <c r="Y30" s="13" t="n">
        <f aca="false">IFERROR(INDEX($H$30:$H$95,MATCH(1,$L$30:$L$95,0)),0)</f>
        <v>3311.95</v>
      </c>
      <c r="Z30" s="14" t="n">
        <f aca="false">IFERROR(INDEX($I$30:$I$95,MATCH(1,$L$30:$L$95,0)),0)</f>
        <v>0.29961644535545</v>
      </c>
      <c r="AB30" s="11" t="str">
        <f aca="false">IF(Months_Ref!$A$2="","",TEXT(Months_Ref!$A$2,"mmm-yy"))</f>
        <v>Aug-25</v>
      </c>
      <c r="AC30" s="13" t="n">
        <f aca="false">IFERROR(IF(Months_Ref!$A$2="",0,SUMPRODUCT((Acct1_Raw!$A$3:$A$26=Months_Ref!$A$2)*Acct1_Raw!$B$3:$BO$26)),0)</f>
        <v>474371.397</v>
      </c>
      <c r="AD30" s="13" t="n">
        <f aca="false">IFERROR(IF(Months_Ref!$A$2="",0,SUMPRODUCT((Acct2_Raw!$A$3:$A$26=Months_Ref!$A$2)*Acct2_Raw!$B$3:$BO$26)),0)</f>
        <v>447795.004</v>
      </c>
      <c r="AE30" s="13" t="n">
        <f aca="false">AC30+AD30</f>
        <v>922166.401</v>
      </c>
      <c r="AG30" s="11" t="str">
        <f aca="false">IFERROR(INDEX($E$30:$E$95,MATCH(1,$J$30:$J$95,0)),"")</f>
        <v>Batch($)</v>
      </c>
      <c r="AH30" s="13" t="n">
        <f aca="false">IFERROR(INDEX($F$30:$F$95,MATCH(1,$J$30:$J$95,0)),0)</f>
        <v>15512.515</v>
      </c>
      <c r="AJ30" s="11" t="str">
        <f aca="false">IFERROR(INDEX($E$30:$E$95,MATCH(1,$J$30:$J$95,0)),"")</f>
        <v>Batch($)</v>
      </c>
      <c r="AK30" s="13" t="n">
        <f aca="false">IFERROR(INDEX(Service_List!$2:67,IFERROR(MATCH(IFERROR(INDEX($E$30:$E$95,MATCH(1,$J$30:$J$95,0)),""),Service_List!$A$2:$A$67,0),0),IFERROR(INDEX($B$2:$B$7,IFERROR(MATCH(Dashboard!$K$5,$A$2:$A$7,0),1)),2)),0)</f>
        <v>15512.515</v>
      </c>
      <c r="AL30" s="13" t="n">
        <f aca="false">IFERROR(INDEX(Service_List!$2:67,IFERROR(MATCH(IFERROR(INDEX($E$30:$E$95,MATCH(1,$J$30:$J$95,0)),""),Service_List!$A$2:$A$67,0),0),IFERROR(INDEX($C$2:$C$7,IFERROR(MATCH(Dashboard!$K$5,$A$2:$A$7,0),1)),8)),0)</f>
        <v>10580.265</v>
      </c>
    </row>
    <row r="31" customFormat="false" ht="15" hidden="false" customHeight="false" outlineLevel="0" collapsed="false">
      <c r="E31" s="11" t="str">
        <f aca="false">Service_List!$A$3</f>
        <v>API Gateway($)</v>
      </c>
      <c r="F31" s="13" t="n">
        <f aca="false">IFERROR(INDEX(Service_List!$3:3,1,$B$28),0)</f>
        <v>11724.125</v>
      </c>
      <c r="G31" s="13" t="n">
        <f aca="false">IFERROR(INDEX(Service_List!$3:3,1,$B$29),0)</f>
        <v>11062.893</v>
      </c>
      <c r="H31" s="13" t="n">
        <f aca="false">F31-G31</f>
        <v>661.232</v>
      </c>
      <c r="I31" s="14" t="n">
        <f aca="false">IFERROR(H31/G31,0)</f>
        <v>0.0597702608169491</v>
      </c>
      <c r="J31" s="11" t="n">
        <f aca="false">RANK(F31,$F$30:$F$95,0)</f>
        <v>10</v>
      </c>
      <c r="K31" s="13" t="n">
        <f aca="false">ABS(H31)</f>
        <v>661.232</v>
      </c>
      <c r="L31" s="11" t="n">
        <f aca="false">RANK(K31,$K$30:$K$95,0)</f>
        <v>23</v>
      </c>
      <c r="N31" s="11" t="n">
        <v>2</v>
      </c>
      <c r="O31" s="11" t="str">
        <f aca="false">IFERROR(INDEX($E$30:$E$95,MATCH(2,$J$30:$J$95,0)),"")</f>
        <v>CodeBuild($)</v>
      </c>
      <c r="P31" s="13" t="n">
        <f aca="false">IFERROR(INDEX($F$30:$F$95,MATCH(2,$J$30:$J$95,0)),0)</f>
        <v>15455.827</v>
      </c>
      <c r="Q31" s="13" t="n">
        <f aca="false">IFERROR(INDEX($G$30:$G$95,MATCH(2,$J$30:$J$95,0)),0)</f>
        <v>14258.022</v>
      </c>
      <c r="R31" s="13" t="n">
        <f aca="false">IFERROR(INDEX($H$30:$H$95,MATCH(2,$J$30:$J$95,0)),0)</f>
        <v>1197.805</v>
      </c>
      <c r="S31" s="14" t="n">
        <f aca="false">IFERROR(INDEX($I$30:$I$95,MATCH(2,$J$30:$J$95,0)),0)</f>
        <v>0.0840091984708677</v>
      </c>
      <c r="U31" s="11" t="n">
        <v>2</v>
      </c>
      <c r="V31" s="11" t="str">
        <f aca="false">IFERROR(INDEX($E$30:$E$95,MATCH(2,$L$30:$L$95,0)),"")</f>
        <v>Shield($)</v>
      </c>
      <c r="W31" s="13" t="n">
        <f aca="false">IFERROR(INDEX($F$30:$F$95,MATCH(2,$L$30:$L$95,0)),0)</f>
        <v>8275.245</v>
      </c>
      <c r="X31" s="13" t="n">
        <f aca="false">IFERROR(INDEX($G$30:$G$95,MATCH(2,$L$30:$L$95,0)),0)</f>
        <v>10595.86</v>
      </c>
      <c r="Y31" s="13" t="n">
        <f aca="false">IFERROR(INDEX($H$30:$H$95,MATCH(2,$L$30:$L$95,0)),0)</f>
        <v>-2320.615</v>
      </c>
      <c r="Z31" s="14" t="n">
        <f aca="false">IFERROR(INDEX($I$30:$I$95,MATCH(2,$L$30:$L$95,0)),0)</f>
        <v>-0.219011481842908</v>
      </c>
      <c r="AB31" s="11" t="str">
        <f aca="false">IF(Months_Ref!$A$3="","",TEXT(Months_Ref!$A$3,"mmm-yy"))</f>
        <v>Sep-25</v>
      </c>
      <c r="AC31" s="13" t="n">
        <f aca="false">IFERROR(IF(Months_Ref!$A$3="",0,SUMPRODUCT((Acct1_Raw!$A$3:$A$26=Months_Ref!$A$3)*Acct1_Raw!$B$3:$BO$26)),0)</f>
        <v>480182.009</v>
      </c>
      <c r="AD31" s="13" t="n">
        <f aca="false">IFERROR(IF(Months_Ref!$A$3="",0,SUMPRODUCT((Acct2_Raw!$A$3:$A$26=Months_Ref!$A$3)*Acct2_Raw!$B$3:$BO$26)),0)</f>
        <v>433250.809</v>
      </c>
      <c r="AE31" s="13" t="n">
        <f aca="false">AC31+AD31</f>
        <v>913432.818</v>
      </c>
      <c r="AG31" s="11" t="str">
        <f aca="false">IFERROR(INDEX($E$30:$E$95,MATCH(2,$J$30:$J$95,0)),"")</f>
        <v>CodeBuild($)</v>
      </c>
      <c r="AH31" s="13" t="n">
        <f aca="false">IFERROR(INDEX($F$30:$F$95,MATCH(2,$J$30:$J$95,0)),0)</f>
        <v>15455.827</v>
      </c>
      <c r="AJ31" s="11" t="str">
        <f aca="false">IFERROR(INDEX($E$30:$E$95,MATCH(2,$J$30:$J$95,0)),"")</f>
        <v>CodeBuild($)</v>
      </c>
      <c r="AK31" s="13" t="n">
        <f aca="false">IFERROR(INDEX(Service_List!$2:67,IFERROR(MATCH(IFERROR(INDEX($E$30:$E$95,MATCH(2,$J$30:$J$95,0)),""),Service_List!$A$2:$A$67,0),0),IFERROR(INDEX($B$2:$B$7,IFERROR(MATCH(Dashboard!$K$5,$A$2:$A$7,0),1)),2)),0)</f>
        <v>15455.827</v>
      </c>
      <c r="AL31" s="13" t="n">
        <f aca="false">IFERROR(INDEX(Service_List!$2:67,IFERROR(MATCH(IFERROR(INDEX($E$30:$E$95,MATCH(2,$J$30:$J$95,0)),""),Service_List!$A$2:$A$67,0),0),IFERROR(INDEX($C$2:$C$7,IFERROR(MATCH(Dashboard!$K$5,$A$2:$A$7,0),1)),8)),0)</f>
        <v>8166.235</v>
      </c>
    </row>
    <row r="32" customFormat="false" ht="15" hidden="false" customHeight="false" outlineLevel="0" collapsed="false">
      <c r="E32" s="11" t="str">
        <f aca="false">Service_List!$A$4</f>
        <v>Amplify($)</v>
      </c>
      <c r="F32" s="13" t="n">
        <f aca="false">IFERROR(INDEX(Service_List!$4:4,1,$B$28),0)</f>
        <v>2267.88</v>
      </c>
      <c r="G32" s="13" t="n">
        <f aca="false">IFERROR(INDEX(Service_List!$4:4,1,$B$29),0)</f>
        <v>2629.832</v>
      </c>
      <c r="H32" s="13" t="n">
        <f aca="false">F32-G32</f>
        <v>-361.952</v>
      </c>
      <c r="I32" s="14" t="n">
        <f aca="false">IFERROR(H32/G32,0)</f>
        <v>-0.137633126374612</v>
      </c>
      <c r="J32" s="11" t="n">
        <f aca="false">RANK(F32,$F$30:$F$95,0)</f>
        <v>56</v>
      </c>
      <c r="K32" s="13" t="n">
        <f aca="false">ABS(H32)</f>
        <v>361.952</v>
      </c>
      <c r="L32" s="11" t="n">
        <f aca="false">RANK(K32,$K$30:$K$95,0)</f>
        <v>39</v>
      </c>
      <c r="N32" s="11" t="n">
        <v>3</v>
      </c>
      <c r="O32" s="11" t="str">
        <f aca="false">IFERROR(INDEX($E$30:$E$95,MATCH(3,$J$30:$J$95,0)),"")</f>
        <v>Chime($)</v>
      </c>
      <c r="P32" s="13" t="n">
        <f aca="false">IFERROR(INDEX($F$30:$F$95,MATCH(3,$J$30:$J$95,0)),0)</f>
        <v>15384.035</v>
      </c>
      <c r="Q32" s="13" t="n">
        <f aca="false">IFERROR(INDEX($G$30:$G$95,MATCH(3,$J$30:$J$95,0)),0)</f>
        <v>15782.181</v>
      </c>
      <c r="R32" s="13" t="n">
        <f aca="false">IFERROR(INDEX($H$30:$H$95,MATCH(3,$J$30:$J$95,0)),0)</f>
        <v>-398.146000000001</v>
      </c>
      <c r="S32" s="14" t="n">
        <f aca="false">IFERROR(INDEX($I$30:$I$95,MATCH(3,$J$30:$J$95,0)),0)</f>
        <v>-0.0252275651888672</v>
      </c>
      <c r="U32" s="11" t="n">
        <v>3</v>
      </c>
      <c r="V32" s="11" t="str">
        <f aca="false">IFERROR(INDEX($E$30:$E$95,MATCH(3,$L$30:$L$95,0)),"")</f>
        <v>IAM($)</v>
      </c>
      <c r="W32" s="13" t="n">
        <f aca="false">IFERROR(INDEX($F$30:$F$95,MATCH(3,$L$30:$L$95,0)),0)</f>
        <v>8743.728</v>
      </c>
      <c r="X32" s="13" t="n">
        <f aca="false">IFERROR(INDEX($G$30:$G$95,MATCH(3,$L$30:$L$95,0)),0)</f>
        <v>10695.681</v>
      </c>
      <c r="Y32" s="13" t="n">
        <f aca="false">IFERROR(INDEX($H$30:$H$95,MATCH(3,$L$30:$L$95,0)),0)</f>
        <v>-1951.953</v>
      </c>
      <c r="Z32" s="14" t="n">
        <f aca="false">IFERROR(INDEX($I$30:$I$95,MATCH(3,$L$30:$L$95,0)),0)</f>
        <v>-0.182499178874164</v>
      </c>
      <c r="AB32" s="11" t="str">
        <f aca="false">IF(Months_Ref!$A$4="","",TEXT(Months_Ref!$A$4,"mmm-yy"))</f>
        <v>Oct-25</v>
      </c>
      <c r="AC32" s="13" t="n">
        <f aca="false">IFERROR(IF(Months_Ref!$A$4="",0,SUMPRODUCT((Acct1_Raw!$A$3:$A$26=Months_Ref!$A$4)*Acct1_Raw!$B$3:$BO$26)),0)</f>
        <v>483330.519</v>
      </c>
      <c r="AD32" s="13" t="n">
        <f aca="false">IFERROR(IF(Months_Ref!$A$4="",0,SUMPRODUCT((Acct2_Raw!$A$3:$A$26=Months_Ref!$A$4)*Acct2_Raw!$B$3:$BO$26)),0)</f>
        <v>441339.158</v>
      </c>
      <c r="AE32" s="13" t="n">
        <f aca="false">AC32+AD32</f>
        <v>924669.677</v>
      </c>
      <c r="AG32" s="11" t="str">
        <f aca="false">IFERROR(INDEX($E$30:$E$95,MATCH(3,$J$30:$J$95,0)),"")</f>
        <v>Chime($)</v>
      </c>
      <c r="AH32" s="13" t="n">
        <f aca="false">IFERROR(INDEX($F$30:$F$95,MATCH(3,$J$30:$J$95,0)),0)</f>
        <v>15384.035</v>
      </c>
      <c r="AJ32" s="11" t="str">
        <f aca="false">IFERROR(INDEX($E$30:$E$95,MATCH(3,$J$30:$J$95,0)),"")</f>
        <v>Chime($)</v>
      </c>
      <c r="AK32" s="13" t="n">
        <f aca="false">IFERROR(INDEX(Service_List!$2:67,IFERROR(MATCH(IFERROR(INDEX($E$30:$E$95,MATCH(3,$J$30:$J$95,0)),""),Service_List!$A$2:$A$67,0),0),IFERROR(INDEX($B$2:$B$7,IFERROR(MATCH(Dashboard!$K$5,$A$2:$A$7,0),1)),2)),0)</f>
        <v>15384.035</v>
      </c>
      <c r="AL32" s="13" t="n">
        <f aca="false">IFERROR(INDEX(Service_List!$2:67,IFERROR(MATCH(IFERROR(INDEX($E$30:$E$95,MATCH(3,$J$30:$J$95,0)),""),Service_List!$A$2:$A$67,0),0),IFERROR(INDEX($C$2:$C$7,IFERROR(MATCH(Dashboard!$K$5,$A$2:$A$7,0),1)),8)),0)</f>
        <v>4827.409</v>
      </c>
    </row>
    <row r="33" customFormat="false" ht="15" hidden="false" customHeight="false" outlineLevel="0" collapsed="false">
      <c r="E33" s="11" t="str">
        <f aca="false">Service_List!$A$5</f>
        <v>AppStream($)</v>
      </c>
      <c r="F33" s="13" t="n">
        <f aca="false">IFERROR(INDEX(Service_List!$5:5,1,$B$28),0)</f>
        <v>7488.814</v>
      </c>
      <c r="G33" s="13" t="n">
        <f aca="false">IFERROR(INDEX(Service_List!$5:5,1,$B$29),0)</f>
        <v>8138.449</v>
      </c>
      <c r="H33" s="13" t="n">
        <f aca="false">F33-G33</f>
        <v>-649.634999999999</v>
      </c>
      <c r="I33" s="14" t="n">
        <f aca="false">IFERROR(H33/G33,0)</f>
        <v>-0.079822949065602</v>
      </c>
      <c r="J33" s="11" t="n">
        <f aca="false">RANK(F33,$F$30:$F$95,0)</f>
        <v>33</v>
      </c>
      <c r="K33" s="13" t="n">
        <f aca="false">ABS(H33)</f>
        <v>649.634999999999</v>
      </c>
      <c r="L33" s="11" t="n">
        <f aca="false">RANK(K33,$K$30:$K$95,0)</f>
        <v>24</v>
      </c>
      <c r="N33" s="11" t="n">
        <v>4</v>
      </c>
      <c r="O33" s="11" t="str">
        <f aca="false">IFERROR(INDEX($E$30:$E$95,MATCH(4,$J$30:$J$95,0)),"")</f>
        <v>DataSync($)</v>
      </c>
      <c r="P33" s="13" t="n">
        <f aca="false">IFERROR(INDEX($F$30:$F$95,MATCH(4,$J$30:$J$95,0)),0)</f>
        <v>14365.916</v>
      </c>
      <c r="Q33" s="13" t="n">
        <f aca="false">IFERROR(INDEX($G$30:$G$95,MATCH(4,$J$30:$J$95,0)),0)</f>
        <v>11053.966</v>
      </c>
      <c r="R33" s="13" t="n">
        <f aca="false">IFERROR(INDEX($H$30:$H$95,MATCH(4,$J$30:$J$95,0)),0)</f>
        <v>3311.95</v>
      </c>
      <c r="S33" s="14" t="n">
        <f aca="false">IFERROR(INDEX($I$30:$I$95,MATCH(4,$J$30:$J$95,0)),0)</f>
        <v>0.29961644535545</v>
      </c>
      <c r="U33" s="11" t="n">
        <v>4</v>
      </c>
      <c r="V33" s="11" t="str">
        <f aca="false">IFERROR(INDEX($E$30:$E$95,MATCH(4,$L$30:$L$95,0)),"")</f>
        <v>CodeDeploy($)</v>
      </c>
      <c r="W33" s="13" t="n">
        <f aca="false">IFERROR(INDEX($F$30:$F$95,MATCH(4,$L$30:$L$95,0)),0)</f>
        <v>9030.696</v>
      </c>
      <c r="X33" s="13" t="n">
        <f aca="false">IFERROR(INDEX($G$30:$G$95,MATCH(4,$L$30:$L$95,0)),0)</f>
        <v>10918.243</v>
      </c>
      <c r="Y33" s="13" t="n">
        <f aca="false">IFERROR(INDEX($H$30:$H$95,MATCH(4,$L$30:$L$95,0)),0)</f>
        <v>-1887.547</v>
      </c>
      <c r="Z33" s="14" t="n">
        <f aca="false">IFERROR(INDEX($I$30:$I$95,MATCH(4,$L$30:$L$95,0)),0)</f>
        <v>-0.172880105342957</v>
      </c>
      <c r="AB33" s="11" t="str">
        <f aca="false">IF(Months_Ref!$A$5="","",TEXT(Months_Ref!$A$5,"mmm-yy"))</f>
        <v>Nov-25</v>
      </c>
      <c r="AC33" s="13" t="n">
        <f aca="false">IFERROR(IF(Months_Ref!$A$5="",0,SUMPRODUCT((Acct1_Raw!$A$3:$A$26=Months_Ref!$A$5)*Acct1_Raw!$B$3:$BO$26)),0)</f>
        <v>477796.982</v>
      </c>
      <c r="AD33" s="13" t="n">
        <f aca="false">IFERROR(IF(Months_Ref!$A$5="",0,SUMPRODUCT((Acct2_Raw!$A$3:$A$26=Months_Ref!$A$5)*Acct2_Raw!$B$3:$BO$26)),0)</f>
        <v>454138.274</v>
      </c>
      <c r="AE33" s="13" t="n">
        <f aca="false">AC33+AD33</f>
        <v>931935.256</v>
      </c>
      <c r="AG33" s="11" t="str">
        <f aca="false">IFERROR(INDEX($E$30:$E$95,MATCH(4,$J$30:$J$95,0)),"")</f>
        <v>DataSync($)</v>
      </c>
      <c r="AH33" s="13" t="n">
        <f aca="false">IFERROR(INDEX($F$30:$F$95,MATCH(4,$J$30:$J$95,0)),0)</f>
        <v>14365.916</v>
      </c>
      <c r="AJ33" s="11" t="str">
        <f aca="false">IFERROR(INDEX($E$30:$E$95,MATCH(4,$J$30:$J$95,0)),"")</f>
        <v>DataSync($)</v>
      </c>
      <c r="AK33" s="13" t="n">
        <f aca="false">IFERROR(INDEX(Service_List!$2:67,IFERROR(MATCH(IFERROR(INDEX($E$30:$E$95,MATCH(4,$J$30:$J$95,0)),""),Service_List!$A$2:$A$67,0),0),IFERROR(INDEX($B$2:$B$7,IFERROR(MATCH(Dashboard!$K$5,$A$2:$A$7,0),1)),2)),0)</f>
        <v>14365.916</v>
      </c>
      <c r="AL33" s="13" t="n">
        <f aca="false">IFERROR(INDEX(Service_List!$2:67,IFERROR(MATCH(IFERROR(INDEX($E$30:$E$95,MATCH(4,$J$30:$J$95,0)),""),Service_List!$A$2:$A$67,0),0),IFERROR(INDEX($C$2:$C$7,IFERROR(MATCH(Dashboard!$K$5,$A$2:$A$7,0),1)),8)),0)</f>
        <v>13517.198</v>
      </c>
    </row>
    <row r="34" customFormat="false" ht="15" hidden="false" customHeight="false" outlineLevel="0" collapsed="false">
      <c r="E34" s="11" t="str">
        <f aca="false">Service_List!$A$6</f>
        <v>AppSync($)</v>
      </c>
      <c r="F34" s="13" t="n">
        <f aca="false">IFERROR(INDEX(Service_List!$6:6,1,$B$28),0)</f>
        <v>11093.646</v>
      </c>
      <c r="G34" s="13" t="n">
        <f aca="false">IFERROR(INDEX(Service_List!$6:6,1,$B$29),0)</f>
        <v>10171.923</v>
      </c>
      <c r="H34" s="13" t="n">
        <f aca="false">F34-G34</f>
        <v>921.723</v>
      </c>
      <c r="I34" s="14" t="n">
        <f aca="false">IFERROR(H34/G34,0)</f>
        <v>0.0906144295429684</v>
      </c>
      <c r="J34" s="11" t="n">
        <f aca="false">RANK(F34,$F$30:$F$95,0)</f>
        <v>14</v>
      </c>
      <c r="K34" s="13" t="n">
        <f aca="false">ABS(H34)</f>
        <v>921.723</v>
      </c>
      <c r="L34" s="11" t="n">
        <f aca="false">RANK(K34,$K$30:$K$95,0)</f>
        <v>14</v>
      </c>
      <c r="N34" s="11" t="n">
        <v>5</v>
      </c>
      <c r="O34" s="11" t="str">
        <f aca="false">IFERROR(INDEX($E$30:$E$95,MATCH(5,$J$30:$J$95,0)),"")</f>
        <v>CloudFront($)</v>
      </c>
      <c r="P34" s="13" t="n">
        <f aca="false">IFERROR(INDEX($F$30:$F$95,MATCH(5,$J$30:$J$95,0)),0)</f>
        <v>14222.876</v>
      </c>
      <c r="Q34" s="13" t="n">
        <f aca="false">IFERROR(INDEX($G$30:$G$95,MATCH(5,$J$30:$J$95,0)),0)</f>
        <v>13285.737</v>
      </c>
      <c r="R34" s="13" t="n">
        <f aca="false">IFERROR(INDEX($H$30:$H$95,MATCH(5,$J$30:$J$95,0)),0)</f>
        <v>937.139000000001</v>
      </c>
      <c r="S34" s="14" t="n">
        <f aca="false">IFERROR(INDEX($I$30:$I$95,MATCH(5,$J$30:$J$95,0)),0)</f>
        <v>0.0705372234901234</v>
      </c>
      <c r="U34" s="11" t="n">
        <v>5</v>
      </c>
      <c r="V34" s="11" t="str">
        <f aca="false">IFERROR(INDEX($E$30:$E$95,MATCH(5,$L$30:$L$95,0)),"")</f>
        <v>CodeCommit($)</v>
      </c>
      <c r="W34" s="13" t="n">
        <f aca="false">IFERROR(INDEX($F$30:$F$95,MATCH(5,$L$30:$L$95,0)),0)</f>
        <v>8025.117</v>
      </c>
      <c r="X34" s="13" t="n">
        <f aca="false">IFERROR(INDEX($G$30:$G$95,MATCH(5,$L$30:$L$95,0)),0)</f>
        <v>9846.79</v>
      </c>
      <c r="Y34" s="13" t="n">
        <f aca="false">IFERROR(INDEX($H$30:$H$95,MATCH(5,$L$30:$L$95,0)),0)</f>
        <v>-1821.673</v>
      </c>
      <c r="Z34" s="14" t="n">
        <f aca="false">IFERROR(INDEX($I$30:$I$95,MATCH(5,$L$30:$L$95,0)),0)</f>
        <v>-0.185001711217564</v>
      </c>
      <c r="AB34" s="11" t="str">
        <f aca="false">IF(Months_Ref!$A$6="","",TEXT(Months_Ref!$A$6,"mmm-yy"))</f>
        <v>Dec-25</v>
      </c>
      <c r="AC34" s="13" t="n">
        <f aca="false">IFERROR(IF(Months_Ref!$A$6="",0,SUMPRODUCT((Acct1_Raw!$A$3:$A$26=Months_Ref!$A$6)*Acct1_Raw!$B$3:$BO$26)),0)</f>
        <v>474735.204</v>
      </c>
      <c r="AD34" s="13" t="n">
        <f aca="false">IFERROR(IF(Months_Ref!$A$6="",0,SUMPRODUCT((Acct2_Raw!$A$3:$A$26=Months_Ref!$A$6)*Acct2_Raw!$B$3:$BO$26)),0)</f>
        <v>449403.33</v>
      </c>
      <c r="AE34" s="13" t="n">
        <f aca="false">AC34+AD34</f>
        <v>924138.534</v>
      </c>
      <c r="AG34" s="11" t="str">
        <f aca="false">IFERROR(INDEX($E$30:$E$95,MATCH(5,$J$30:$J$95,0)),"")</f>
        <v>CloudFront($)</v>
      </c>
      <c r="AH34" s="13" t="n">
        <f aca="false">IFERROR(INDEX($F$30:$F$95,MATCH(5,$J$30:$J$95,0)),0)</f>
        <v>14222.876</v>
      </c>
      <c r="AJ34" s="11" t="str">
        <f aca="false">IFERROR(INDEX($E$30:$E$95,MATCH(5,$J$30:$J$95,0)),"")</f>
        <v>CloudFront($)</v>
      </c>
      <c r="AK34" s="13" t="n">
        <f aca="false">IFERROR(INDEX(Service_List!$2:67,IFERROR(MATCH(IFERROR(INDEX($E$30:$E$95,MATCH(5,$J$30:$J$95,0)),""),Service_List!$A$2:$A$67,0),0),IFERROR(INDEX($B$2:$B$7,IFERROR(MATCH(Dashboard!$K$5,$A$2:$A$7,0),1)),2)),0)</f>
        <v>14222.876</v>
      </c>
      <c r="AL34" s="13" t="n">
        <f aca="false">IFERROR(INDEX(Service_List!$2:67,IFERROR(MATCH(IFERROR(INDEX($E$30:$E$95,MATCH(5,$J$30:$J$95,0)),""),Service_List!$A$2:$A$67,0),0),IFERROR(INDEX($C$2:$C$7,IFERROR(MATCH(Dashboard!$K$5,$A$2:$A$7,0),1)),8)),0)</f>
        <v>3871.446</v>
      </c>
    </row>
    <row r="35" customFormat="false" ht="15" hidden="false" customHeight="false" outlineLevel="0" collapsed="false">
      <c r="E35" s="11" t="str">
        <f aca="false">Service_List!$A$7</f>
        <v>Athena($)</v>
      </c>
      <c r="F35" s="13" t="n">
        <f aca="false">IFERROR(INDEX(Service_List!$7:7,1,$B$28),0)</f>
        <v>11300.897</v>
      </c>
      <c r="G35" s="13" t="n">
        <f aca="false">IFERROR(INDEX(Service_List!$7:7,1,$B$29),0)</f>
        <v>10423.939</v>
      </c>
      <c r="H35" s="13" t="n">
        <f aca="false">F35-G35</f>
        <v>876.958000000001</v>
      </c>
      <c r="I35" s="14" t="n">
        <f aca="false">IFERROR(H35/G35,0)</f>
        <v>0.0841292336802816</v>
      </c>
      <c r="J35" s="11" t="n">
        <f aca="false">RANK(F35,$F$30:$F$95,0)</f>
        <v>13</v>
      </c>
      <c r="K35" s="13" t="n">
        <f aca="false">ABS(H35)</f>
        <v>876.958000000001</v>
      </c>
      <c r="L35" s="11" t="n">
        <f aca="false">RANK(K35,$K$30:$K$95,0)</f>
        <v>15</v>
      </c>
      <c r="N35" s="11" t="n">
        <v>6</v>
      </c>
      <c r="O35" s="11" t="str">
        <f aca="false">IFERROR(INDEX($E$30:$E$95,MATCH(6,$J$30:$J$95,0)),"")</f>
        <v>SageMaker($)</v>
      </c>
      <c r="P35" s="13" t="n">
        <f aca="false">IFERROR(INDEX($F$30:$F$95,MATCH(6,$J$30:$J$95,0)),0)</f>
        <v>14013.558</v>
      </c>
      <c r="Q35" s="13" t="n">
        <f aca="false">IFERROR(INDEX($G$30:$G$95,MATCH(6,$J$30:$J$95,0)),0)</f>
        <v>13993.823</v>
      </c>
      <c r="R35" s="13" t="n">
        <f aca="false">IFERROR(INDEX($H$30:$H$95,MATCH(6,$J$30:$J$95,0)),0)</f>
        <v>19.7350000000006</v>
      </c>
      <c r="S35" s="14" t="n">
        <f aca="false">IFERROR(INDEX($I$30:$I$95,MATCH(6,$J$30:$J$95,0)),0)</f>
        <v>0.00141026508624559</v>
      </c>
      <c r="U35" s="11" t="n">
        <v>6</v>
      </c>
      <c r="V35" s="11" t="str">
        <f aca="false">IFERROR(INDEX($E$30:$E$95,MATCH(6,$L$30:$L$95,0)),"")</f>
        <v>Transfer Family($)</v>
      </c>
      <c r="W35" s="13" t="n">
        <f aca="false">IFERROR(INDEX($F$30:$F$95,MATCH(6,$L$30:$L$95,0)),0)</f>
        <v>11086.39</v>
      </c>
      <c r="X35" s="13" t="n">
        <f aca="false">IFERROR(INDEX($G$30:$G$95,MATCH(6,$L$30:$L$95,0)),0)</f>
        <v>9604.208</v>
      </c>
      <c r="Y35" s="13" t="n">
        <f aca="false">IFERROR(INDEX($H$30:$H$95,MATCH(6,$L$30:$L$95,0)),0)</f>
        <v>1482.182</v>
      </c>
      <c r="Z35" s="14" t="n">
        <f aca="false">IFERROR(INDEX($I$30:$I$95,MATCH(6,$L$30:$L$95,0)),0)</f>
        <v>0.154326311966588</v>
      </c>
      <c r="AB35" s="11" t="str">
        <f aca="false">IF(Months_Ref!$A$7="","",TEXT(Months_Ref!$A$7,"mmm-yy"))</f>
        <v>Jan-26</v>
      </c>
      <c r="AC35" s="13" t="n">
        <f aca="false">IFERROR(IF(Months_Ref!$A$7="",0,SUMPRODUCT((Acct1_Raw!$A$3:$A$26=Months_Ref!$A$7)*Acct1_Raw!$B$3:$BO$26)),0)</f>
        <v>472288.498</v>
      </c>
      <c r="AD35" s="13" t="n">
        <f aca="false">IFERROR(IF(Months_Ref!$A$7="",0,SUMPRODUCT((Acct2_Raw!$A$3:$A$26=Months_Ref!$A$7)*Acct2_Raw!$B$3:$BO$26)),0)</f>
        <v>449777.497</v>
      </c>
      <c r="AE35" s="13" t="n">
        <f aca="false">AC35+AD35</f>
        <v>922065.995</v>
      </c>
      <c r="AG35" s="11" t="str">
        <f aca="false">IFERROR(INDEX($E$30:$E$95,MATCH(6,$J$30:$J$95,0)),"")</f>
        <v>SageMaker($)</v>
      </c>
      <c r="AH35" s="13" t="n">
        <f aca="false">IFERROR(INDEX($F$30:$F$95,MATCH(6,$J$30:$J$95,0)),0)</f>
        <v>14013.558</v>
      </c>
      <c r="AJ35" s="11" t="str">
        <f aca="false">IFERROR(INDEX($E$30:$E$95,MATCH(6,$J$30:$J$95,0)),"")</f>
        <v>SageMaker($)</v>
      </c>
      <c r="AK35" s="13" t="n">
        <f aca="false">IFERROR(INDEX(Service_List!$2:67,IFERROR(MATCH(IFERROR(INDEX($E$30:$E$95,MATCH(6,$J$30:$J$95,0)),""),Service_List!$A$2:$A$67,0),0),IFERROR(INDEX($B$2:$B$7,IFERROR(MATCH(Dashboard!$K$5,$A$2:$A$7,0),1)),2)),0)</f>
        <v>14013.558</v>
      </c>
      <c r="AL35" s="13" t="n">
        <f aca="false">IFERROR(INDEX(Service_List!$2:67,IFERROR(MATCH(IFERROR(INDEX($E$30:$E$95,MATCH(6,$J$30:$J$95,0)),""),Service_List!$A$2:$A$67,0),0),IFERROR(INDEX($C$2:$C$7,IFERROR(MATCH(Dashboard!$K$5,$A$2:$A$7,0),1)),8)),0)</f>
        <v>169.57</v>
      </c>
    </row>
    <row r="36" customFormat="false" ht="15" hidden="false" customHeight="false" outlineLevel="0" collapsed="false">
      <c r="E36" s="11" t="str">
        <f aca="false">Service_List!$A$8</f>
        <v>Backup($)</v>
      </c>
      <c r="F36" s="13" t="n">
        <f aca="false">IFERROR(INDEX(Service_List!$8:8,1,$B$28),0)</f>
        <v>10610.546</v>
      </c>
      <c r="G36" s="13" t="n">
        <f aca="false">IFERROR(INDEX(Service_List!$8:8,1,$B$29),0)</f>
        <v>10912.722</v>
      </c>
      <c r="H36" s="13" t="n">
        <f aca="false">F36-G36</f>
        <v>-302.176</v>
      </c>
      <c r="I36" s="14" t="n">
        <f aca="false">IFERROR(H36/G36,0)</f>
        <v>-0.0276902499669651</v>
      </c>
      <c r="J36" s="11" t="n">
        <f aca="false">RANK(F36,$F$30:$F$95,0)</f>
        <v>17</v>
      </c>
      <c r="K36" s="13" t="n">
        <f aca="false">ABS(H36)</f>
        <v>302.176</v>
      </c>
      <c r="L36" s="11" t="n">
        <f aca="false">RANK(K36,$K$30:$K$95,0)</f>
        <v>43</v>
      </c>
      <c r="N36" s="11" t="n">
        <v>7</v>
      </c>
      <c r="O36" s="11" t="str">
        <f aca="false">IFERROR(INDEX($E$30:$E$95,MATCH(7,$J$30:$J$95,0)),"")</f>
        <v>GuardDuty($)</v>
      </c>
      <c r="P36" s="13" t="n">
        <f aca="false">IFERROR(INDEX($F$30:$F$95,MATCH(7,$J$30:$J$95,0)),0)</f>
        <v>13414.014</v>
      </c>
      <c r="Q36" s="13" t="n">
        <f aca="false">IFERROR(INDEX($G$30:$G$95,MATCH(7,$J$30:$J$95,0)),0)</f>
        <v>13009.142</v>
      </c>
      <c r="R36" s="13" t="n">
        <f aca="false">IFERROR(INDEX($H$30:$H$95,MATCH(7,$J$30:$J$95,0)),0)</f>
        <v>404.871999999999</v>
      </c>
      <c r="S36" s="14" t="n">
        <f aca="false">IFERROR(INDEX($I$30:$I$95,MATCH(7,$J$30:$J$95,0)),0)</f>
        <v>0.0311221139718514</v>
      </c>
      <c r="U36" s="11" t="n">
        <v>7</v>
      </c>
      <c r="V36" s="11" t="str">
        <f aca="false">IFERROR(INDEX($E$30:$E$95,MATCH(7,$L$30:$L$95,0)),"")</f>
        <v>Lambda($)</v>
      </c>
      <c r="W36" s="13" t="n">
        <f aca="false">IFERROR(INDEX($F$30:$F$95,MATCH(7,$L$30:$L$95,0)),0)</f>
        <v>10775.309</v>
      </c>
      <c r="X36" s="13" t="n">
        <f aca="false">IFERROR(INDEX($G$30:$G$95,MATCH(7,$L$30:$L$95,0)),0)</f>
        <v>9308.224</v>
      </c>
      <c r="Y36" s="13" t="n">
        <f aca="false">IFERROR(INDEX($H$30:$H$95,MATCH(7,$L$30:$L$95,0)),0)</f>
        <v>1467.085</v>
      </c>
      <c r="Z36" s="14" t="n">
        <f aca="false">IFERROR(INDEX($I$30:$I$95,MATCH(7,$L$30:$L$95,0)),0)</f>
        <v>0.157611699073851</v>
      </c>
      <c r="AG36" s="11" t="str">
        <f aca="false">IFERROR(INDEX($E$30:$E$95,MATCH(7,$J$30:$J$95,0)),"")</f>
        <v>GuardDuty($)</v>
      </c>
      <c r="AH36" s="13" t="n">
        <f aca="false">IFERROR(INDEX($F$30:$F$95,MATCH(7,$J$30:$J$95,0)),0)</f>
        <v>13414.014</v>
      </c>
      <c r="AJ36" s="11" t="str">
        <f aca="false">IFERROR(INDEX($E$30:$E$95,MATCH(7,$J$30:$J$95,0)),"")</f>
        <v>GuardDuty($)</v>
      </c>
      <c r="AK36" s="13" t="n">
        <f aca="false">IFERROR(INDEX(Service_List!$2:67,IFERROR(MATCH(IFERROR(INDEX($E$30:$E$95,MATCH(7,$J$30:$J$95,0)),""),Service_List!$A$2:$A$67,0),0),IFERROR(INDEX($B$2:$B$7,IFERROR(MATCH(Dashboard!$K$5,$A$2:$A$7,0),1)),2)),0)</f>
        <v>13414.014</v>
      </c>
      <c r="AL36" s="13" t="n">
        <f aca="false">IFERROR(INDEX(Service_List!$2:67,IFERROR(MATCH(IFERROR(INDEX($E$30:$E$95,MATCH(7,$J$30:$J$95,0)),""),Service_List!$A$2:$A$67,0),0),IFERROR(INDEX($C$2:$C$7,IFERROR(MATCH(Dashboard!$K$5,$A$2:$A$7,0),1)),8)),0)</f>
        <v>11676.934</v>
      </c>
    </row>
    <row r="37" customFormat="false" ht="15" hidden="false" customHeight="false" outlineLevel="0" collapsed="false">
      <c r="E37" s="11" t="str">
        <f aca="false">Service_List!$A$9</f>
        <v>Batch($)</v>
      </c>
      <c r="F37" s="13" t="n">
        <f aca="false">IFERROR(INDEX(Service_List!$9:9,1,$B$28),0)</f>
        <v>15512.515</v>
      </c>
      <c r="G37" s="13" t="n">
        <f aca="false">IFERROR(INDEX(Service_List!$9:9,1,$B$29),0)</f>
        <v>16027.611</v>
      </c>
      <c r="H37" s="13" t="n">
        <f aca="false">F37-G37</f>
        <v>-515.096000000001</v>
      </c>
      <c r="I37" s="14" t="n">
        <f aca="false">IFERROR(H37/G37,0)</f>
        <v>-0.0321380397864661</v>
      </c>
      <c r="J37" s="11" t="n">
        <f aca="false">RANK(F37,$F$30:$F$95,0)</f>
        <v>1</v>
      </c>
      <c r="K37" s="13" t="n">
        <f aca="false">ABS(H37)</f>
        <v>515.096000000001</v>
      </c>
      <c r="L37" s="11" t="n">
        <f aca="false">RANK(K37,$K$30:$K$95,0)</f>
        <v>29</v>
      </c>
      <c r="N37" s="11" t="n">
        <v>8</v>
      </c>
      <c r="O37" s="11" t="str">
        <f aca="false">IFERROR(INDEX($E$30:$E$95,MATCH(8,$J$30:$J$95,0)),"")</f>
        <v>WAF($)</v>
      </c>
      <c r="P37" s="13" t="n">
        <f aca="false">IFERROR(INDEX($F$30:$F$95,MATCH(8,$J$30:$J$95,0)),0)</f>
        <v>12336.252</v>
      </c>
      <c r="Q37" s="13" t="n">
        <f aca="false">IFERROR(INDEX($G$30:$G$95,MATCH(8,$J$30:$J$95,0)),0)</f>
        <v>11246.776</v>
      </c>
      <c r="R37" s="13" t="n">
        <f aca="false">IFERROR(INDEX($H$30:$H$95,MATCH(8,$J$30:$J$95,0)),0)</f>
        <v>1089.476</v>
      </c>
      <c r="S37" s="14" t="n">
        <f aca="false">IFERROR(INDEX($I$30:$I$95,MATCH(8,$J$30:$J$95,0)),0)</f>
        <v>0.0968700719210555</v>
      </c>
      <c r="U37" s="11" t="n">
        <v>8</v>
      </c>
      <c r="V37" s="11" t="str">
        <f aca="false">IFERROR(INDEX($E$30:$E$95,MATCH(8,$L$30:$L$95,0)),"")</f>
        <v>Direct Connect($)</v>
      </c>
      <c r="W37" s="13" t="n">
        <f aca="false">IFERROR(INDEX($F$30:$F$95,MATCH(8,$L$30:$L$95,0)),0)</f>
        <v>9587.607</v>
      </c>
      <c r="X37" s="13" t="n">
        <f aca="false">IFERROR(INDEX($G$30:$G$95,MATCH(8,$L$30:$L$95,0)),0)</f>
        <v>8146.497</v>
      </c>
      <c r="Y37" s="13" t="n">
        <f aca="false">IFERROR(INDEX($H$30:$H$95,MATCH(8,$L$30:$L$95,0)),0)</f>
        <v>1441.11</v>
      </c>
      <c r="Z37" s="14" t="n">
        <f aca="false">IFERROR(INDEX($I$30:$I$95,MATCH(8,$L$30:$L$95,0)),0)</f>
        <v>0.176899347044503</v>
      </c>
      <c r="AG37" s="11" t="str">
        <f aca="false">IFERROR(INDEX($E$30:$E$95,MATCH(8,$J$30:$J$95,0)),"")</f>
        <v>WAF($)</v>
      </c>
      <c r="AH37" s="13" t="n">
        <f aca="false">IFERROR(INDEX($F$30:$F$95,MATCH(8,$J$30:$J$95,0)),0)</f>
        <v>12336.252</v>
      </c>
      <c r="AJ37" s="11" t="str">
        <f aca="false">IFERROR(INDEX($E$30:$E$95,MATCH(8,$J$30:$J$95,0)),"")</f>
        <v>WAF($)</v>
      </c>
      <c r="AK37" s="13" t="n">
        <f aca="false">IFERROR(INDEX(Service_List!$2:67,IFERROR(MATCH(IFERROR(INDEX($E$30:$E$95,MATCH(8,$J$30:$J$95,0)),""),Service_List!$A$2:$A$67,0),0),IFERROR(INDEX($B$2:$B$7,IFERROR(MATCH(Dashboard!$K$5,$A$2:$A$7,0),1)),2)),0)</f>
        <v>12336.252</v>
      </c>
      <c r="AL37" s="13" t="n">
        <f aca="false">IFERROR(INDEX(Service_List!$2:67,IFERROR(MATCH(IFERROR(INDEX($E$30:$E$95,MATCH(8,$J$30:$J$95,0)),""),Service_List!$A$2:$A$67,0),0),IFERROR(INDEX($C$2:$C$7,IFERROR(MATCH(Dashboard!$K$5,$A$2:$A$7,0),1)),8)),0)</f>
        <v>3327.782</v>
      </c>
    </row>
    <row r="38" customFormat="false" ht="15" hidden="false" customHeight="false" outlineLevel="0" collapsed="false">
      <c r="E38" s="11" t="str">
        <f aca="false">Service_List!$A$10</f>
        <v>Chime($)</v>
      </c>
      <c r="F38" s="13" t="n">
        <f aca="false">IFERROR(INDEX(Service_List!$10:10,1,$B$28),0)</f>
        <v>15384.035</v>
      </c>
      <c r="G38" s="13" t="n">
        <f aca="false">IFERROR(INDEX(Service_List!$10:10,1,$B$29),0)</f>
        <v>15782.181</v>
      </c>
      <c r="H38" s="13" t="n">
        <f aca="false">F38-G38</f>
        <v>-398.146000000001</v>
      </c>
      <c r="I38" s="14" t="n">
        <f aca="false">IFERROR(H38/G38,0)</f>
        <v>-0.0252275651888672</v>
      </c>
      <c r="J38" s="11" t="n">
        <f aca="false">RANK(F38,$F$30:$F$95,0)</f>
        <v>3</v>
      </c>
      <c r="K38" s="13" t="n">
        <f aca="false">ABS(H38)</f>
        <v>398.146000000001</v>
      </c>
      <c r="L38" s="11" t="n">
        <f aca="false">RANK(K38,$K$30:$K$95,0)</f>
        <v>37</v>
      </c>
      <c r="N38" s="11" t="n">
        <v>9</v>
      </c>
      <c r="O38" s="11" t="str">
        <f aca="false">IFERROR(INDEX($E$30:$E$95,MATCH(9,$J$30:$J$95,0)),"")</f>
        <v>Transcribe($)</v>
      </c>
      <c r="P38" s="13" t="n">
        <f aca="false">IFERROR(INDEX($F$30:$F$95,MATCH(9,$J$30:$J$95,0)),0)</f>
        <v>11892.791</v>
      </c>
      <c r="Q38" s="13" t="n">
        <f aca="false">IFERROR(INDEX($G$30:$G$95,MATCH(9,$J$30:$J$95,0)),0)</f>
        <v>12693.929</v>
      </c>
      <c r="R38" s="13" t="n">
        <f aca="false">IFERROR(INDEX($H$30:$H$95,MATCH(9,$J$30:$J$95,0)),0)</f>
        <v>-801.138000000001</v>
      </c>
      <c r="S38" s="14" t="n">
        <f aca="false">IFERROR(INDEX($I$30:$I$95,MATCH(9,$J$30:$J$95,0)),0)</f>
        <v>-0.0631119017602825</v>
      </c>
      <c r="U38" s="11" t="n">
        <v>9</v>
      </c>
      <c r="V38" s="11" t="str">
        <f aca="false">IFERROR(INDEX($E$30:$E$95,MATCH(9,$L$30:$L$95,0)),"")</f>
        <v>CodeBuild($)</v>
      </c>
      <c r="W38" s="13" t="n">
        <f aca="false">IFERROR(INDEX($F$30:$F$95,MATCH(9,$L$30:$L$95,0)),0)</f>
        <v>15455.827</v>
      </c>
      <c r="X38" s="13" t="n">
        <f aca="false">IFERROR(INDEX($G$30:$G$95,MATCH(9,$L$30:$L$95,0)),0)</f>
        <v>14258.022</v>
      </c>
      <c r="Y38" s="13" t="n">
        <f aca="false">IFERROR(INDEX($H$30:$H$95,MATCH(9,$L$30:$L$95,0)),0)</f>
        <v>1197.805</v>
      </c>
      <c r="Z38" s="14" t="n">
        <f aca="false">IFERROR(INDEX($I$30:$I$95,MATCH(9,$L$30:$L$95,0)),0)</f>
        <v>0.0840091984708677</v>
      </c>
      <c r="AG38" s="11" t="str">
        <f aca="false">IFERROR(INDEX($E$30:$E$95,MATCH(9,$J$30:$J$95,0)),"")</f>
        <v>Transcribe($)</v>
      </c>
      <c r="AH38" s="13" t="n">
        <f aca="false">IFERROR(INDEX($F$30:$F$95,MATCH(9,$J$30:$J$95,0)),0)</f>
        <v>11892.791</v>
      </c>
      <c r="AJ38" s="11" t="str">
        <f aca="false">IFERROR(INDEX($E$30:$E$95,MATCH(9,$J$30:$J$95,0)),"")</f>
        <v>Transcribe($)</v>
      </c>
      <c r="AK38" s="13" t="n">
        <f aca="false">IFERROR(INDEX(Service_List!$2:67,IFERROR(MATCH(IFERROR(INDEX($E$30:$E$95,MATCH(9,$J$30:$J$95,0)),""),Service_List!$A$2:$A$67,0),0),IFERROR(INDEX($B$2:$B$7,IFERROR(MATCH(Dashboard!$K$5,$A$2:$A$7,0),1)),2)),0)</f>
        <v>11892.791</v>
      </c>
      <c r="AL38" s="13" t="n">
        <f aca="false">IFERROR(INDEX(Service_List!$2:67,IFERROR(MATCH(IFERROR(INDEX($E$30:$E$95,MATCH(9,$J$30:$J$95,0)),""),Service_List!$A$2:$A$67,0),0),IFERROR(INDEX($C$2:$C$7,IFERROR(MATCH(Dashboard!$K$5,$A$2:$A$7,0),1)),8)),0)</f>
        <v>13663.332</v>
      </c>
    </row>
    <row r="39" customFormat="false" ht="15" hidden="false" customHeight="false" outlineLevel="0" collapsed="false">
      <c r="E39" s="11" t="str">
        <f aca="false">Service_List!$A$11</f>
        <v>CloudFront($)</v>
      </c>
      <c r="F39" s="13" t="n">
        <f aca="false">IFERROR(INDEX(Service_List!$11:11,1,$B$28),0)</f>
        <v>14222.876</v>
      </c>
      <c r="G39" s="13" t="n">
        <f aca="false">IFERROR(INDEX(Service_List!$11:11,1,$B$29),0)</f>
        <v>13285.737</v>
      </c>
      <c r="H39" s="13" t="n">
        <f aca="false">F39-G39</f>
        <v>937.139000000001</v>
      </c>
      <c r="I39" s="14" t="n">
        <f aca="false">IFERROR(H39/G39,0)</f>
        <v>0.0705372234901234</v>
      </c>
      <c r="J39" s="11" t="n">
        <f aca="false">RANK(F39,$F$30:$F$95,0)</f>
        <v>5</v>
      </c>
      <c r="K39" s="13" t="n">
        <f aca="false">ABS(H39)</f>
        <v>937.139000000001</v>
      </c>
      <c r="L39" s="11" t="n">
        <f aca="false">RANK(K39,$K$30:$K$95,0)</f>
        <v>13</v>
      </c>
      <c r="N39" s="11" t="n">
        <v>10</v>
      </c>
      <c r="O39" s="11" t="str">
        <f aca="false">IFERROR(INDEX($E$30:$E$95,MATCH(10,$J$30:$J$95,0)),"")</f>
        <v>API Gateway($)</v>
      </c>
      <c r="P39" s="13" t="n">
        <f aca="false">IFERROR(INDEX($F$30:$F$95,MATCH(10,$J$30:$J$95,0)),0)</f>
        <v>11724.125</v>
      </c>
      <c r="Q39" s="13" t="n">
        <f aca="false">IFERROR(INDEX($G$30:$G$95,MATCH(10,$J$30:$J$95,0)),0)</f>
        <v>11062.893</v>
      </c>
      <c r="R39" s="13" t="n">
        <f aca="false">IFERROR(INDEX($H$30:$H$95,MATCH(10,$J$30:$J$95,0)),0)</f>
        <v>661.232</v>
      </c>
      <c r="S39" s="14" t="n">
        <f aca="false">IFERROR(INDEX($I$30:$I$95,MATCH(10,$J$30:$J$95,0)),0)</f>
        <v>0.0597702608169491</v>
      </c>
      <c r="U39" s="11" t="n">
        <v>10</v>
      </c>
      <c r="V39" s="11" t="str">
        <f aca="false">IFERROR(INDEX($E$30:$E$95,MATCH(10,$L$30:$L$95,0)),"")</f>
        <v>WAF($)</v>
      </c>
      <c r="W39" s="13" t="n">
        <f aca="false">IFERROR(INDEX($F$30:$F$95,MATCH(10,$L$30:$L$95,0)),0)</f>
        <v>12336.252</v>
      </c>
      <c r="X39" s="13" t="n">
        <f aca="false">IFERROR(INDEX($G$30:$G$95,MATCH(10,$L$30:$L$95,0)),0)</f>
        <v>11246.776</v>
      </c>
      <c r="Y39" s="13" t="n">
        <f aca="false">IFERROR(INDEX($H$30:$H$95,MATCH(10,$L$30:$L$95,0)),0)</f>
        <v>1089.476</v>
      </c>
      <c r="Z39" s="14" t="n">
        <f aca="false">IFERROR(INDEX($I$30:$I$95,MATCH(10,$L$30:$L$95,0)),0)</f>
        <v>0.0968700719210555</v>
      </c>
      <c r="AG39" s="11" t="s">
        <v>230</v>
      </c>
      <c r="AH39" s="13" t="n">
        <f aca="false">SUM($F$30:$F$95)-SUM(AH30:AH38)</f>
        <v>345690.714</v>
      </c>
      <c r="AJ39" s="11" t="str">
        <f aca="false">IFERROR(INDEX($E$30:$E$95,MATCH(10,$J$30:$J$95,0)),"")</f>
        <v>API Gateway($)</v>
      </c>
      <c r="AK39" s="13" t="n">
        <f aca="false">IFERROR(INDEX(Service_List!$2:67,IFERROR(MATCH(IFERROR(INDEX($E$30:$E$95,MATCH(10,$J$30:$J$95,0)),""),Service_List!$A$2:$A$67,0),0),IFERROR(INDEX($B$2:$B$7,IFERROR(MATCH(Dashboard!$K$5,$A$2:$A$7,0),1)),2)),0)</f>
        <v>11724.125</v>
      </c>
      <c r="AL39" s="13" t="n">
        <f aca="false">IFERROR(INDEX(Service_List!$2:67,IFERROR(MATCH(IFERROR(INDEX($E$30:$E$95,MATCH(10,$J$30:$J$95,0)),""),Service_List!$A$2:$A$67,0),0),IFERROR(INDEX($C$2:$C$7,IFERROR(MATCH(Dashboard!$K$5,$A$2:$A$7,0),1)),8)),0)</f>
        <v>8243.276</v>
      </c>
    </row>
    <row r="40" customFormat="false" ht="15" hidden="false" customHeight="false" outlineLevel="0" collapsed="false">
      <c r="E40" s="11" t="str">
        <f aca="false">Service_List!$A$12</f>
        <v>CloudTrail($)</v>
      </c>
      <c r="F40" s="13" t="n">
        <f aca="false">IFERROR(INDEX(Service_List!$12:12,1,$B$28),0)</f>
        <v>4600.819</v>
      </c>
      <c r="G40" s="13" t="n">
        <f aca="false">IFERROR(INDEX(Service_List!$12:12,1,$B$29),0)</f>
        <v>4810.825</v>
      </c>
      <c r="H40" s="13" t="n">
        <f aca="false">F40-G40</f>
        <v>-210.005999999999</v>
      </c>
      <c r="I40" s="14" t="n">
        <f aca="false">IFERROR(H40/G40,0)</f>
        <v>-0.0436528038330223</v>
      </c>
      <c r="J40" s="11" t="n">
        <f aca="false">RANK(F40,$F$30:$F$95,0)</f>
        <v>43</v>
      </c>
      <c r="K40" s="13" t="n">
        <f aca="false">ABS(H40)</f>
        <v>210.005999999999</v>
      </c>
      <c r="L40" s="11" t="n">
        <f aca="false">RANK(K40,$K$30:$K$95,0)</f>
        <v>45</v>
      </c>
      <c r="N40" s="11" t="n">
        <v>11</v>
      </c>
      <c r="O40" s="11" t="str">
        <f aca="false">IFERROR(INDEX($E$30:$E$95,MATCH(11,$J$30:$J$95,0)),"")</f>
        <v>Translate($)</v>
      </c>
      <c r="P40" s="13" t="n">
        <f aca="false">IFERROR(INDEX($F$30:$F$95,MATCH(11,$J$30:$J$95,0)),0)</f>
        <v>11660.599</v>
      </c>
      <c r="Q40" s="13" t="n">
        <f aca="false">IFERROR(INDEX($G$30:$G$95,MATCH(11,$J$30:$J$95,0)),0)</f>
        <v>12706.196</v>
      </c>
      <c r="R40" s="13" t="n">
        <f aca="false">IFERROR(INDEX($H$30:$H$95,MATCH(11,$J$30:$J$95,0)),0)</f>
        <v>-1045.597</v>
      </c>
      <c r="S40" s="14" t="n">
        <f aca="false">IFERROR(INDEX($I$30:$I$95,MATCH(11,$J$30:$J$95,0)),0)</f>
        <v>-0.0822903251295667</v>
      </c>
      <c r="U40" s="11" t="n">
        <v>11</v>
      </c>
      <c r="V40" s="11" t="str">
        <f aca="false">IFERROR(INDEX($E$30:$E$95,MATCH(11,$L$30:$L$95,0)),"")</f>
        <v>Translate($)</v>
      </c>
      <c r="W40" s="13" t="n">
        <f aca="false">IFERROR(INDEX($F$30:$F$95,MATCH(11,$L$30:$L$95,0)),0)</f>
        <v>11660.599</v>
      </c>
      <c r="X40" s="13" t="n">
        <f aca="false">IFERROR(INDEX($G$30:$G$95,MATCH(11,$L$30:$L$95,0)),0)</f>
        <v>12706.196</v>
      </c>
      <c r="Y40" s="13" t="n">
        <f aca="false">IFERROR(INDEX($H$30:$H$95,MATCH(11,$L$30:$L$95,0)),0)</f>
        <v>-1045.597</v>
      </c>
      <c r="Z40" s="14" t="n">
        <f aca="false">IFERROR(INDEX($I$30:$I$95,MATCH(11,$L$30:$L$95,0)),0)</f>
        <v>-0.0822903251295667</v>
      </c>
      <c r="AJ40" s="11" t="str">
        <f aca="false">IFERROR(INDEX($E$30:$E$95,MATCH(11,$J$30:$J$95,0)),"")</f>
        <v>Translate($)</v>
      </c>
      <c r="AK40" s="13" t="n">
        <f aca="false">IFERROR(INDEX(Service_List!$2:67,IFERROR(MATCH(IFERROR(INDEX($E$30:$E$95,MATCH(11,$J$30:$J$95,0)),""),Service_List!$A$2:$A$67,0),0),IFERROR(INDEX($B$2:$B$7,IFERROR(MATCH(Dashboard!$K$5,$A$2:$A$7,0),1)),2)),0)</f>
        <v>11660.599</v>
      </c>
      <c r="AL40" s="13" t="n">
        <f aca="false">IFERROR(INDEX(Service_List!$2:67,IFERROR(MATCH(IFERROR(INDEX($E$30:$E$95,MATCH(11,$J$30:$J$95,0)),""),Service_List!$A$2:$A$67,0),0),IFERROR(INDEX($C$2:$C$7,IFERROR(MATCH(Dashboard!$K$5,$A$2:$A$7,0),1)),8)),0)</f>
        <v>9714.62</v>
      </c>
    </row>
    <row r="41" customFormat="false" ht="15" hidden="false" customHeight="false" outlineLevel="0" collapsed="false">
      <c r="E41" s="11" t="str">
        <f aca="false">Service_List!$A$13</f>
        <v>CloudWatch($)</v>
      </c>
      <c r="F41" s="13" t="n">
        <f aca="false">IFERROR(INDEX(Service_List!$13:13,1,$B$28),0)</f>
        <v>6209.596</v>
      </c>
      <c r="G41" s="13" t="n">
        <f aca="false">IFERROR(INDEX(Service_List!$13:13,1,$B$29),0)</f>
        <v>6953.816</v>
      </c>
      <c r="H41" s="13" t="n">
        <f aca="false">F41-G41</f>
        <v>-744.22</v>
      </c>
      <c r="I41" s="14" t="n">
        <f aca="false">IFERROR(H41/G41,0)</f>
        <v>-0.107023251693746</v>
      </c>
      <c r="J41" s="11" t="n">
        <f aca="false">RANK(F41,$F$30:$F$95,0)</f>
        <v>36</v>
      </c>
      <c r="K41" s="13" t="n">
        <f aca="false">ABS(H41)</f>
        <v>744.22</v>
      </c>
      <c r="L41" s="11" t="n">
        <f aca="false">RANK(K41,$K$30:$K$95,0)</f>
        <v>18</v>
      </c>
      <c r="N41" s="11" t="n">
        <v>12</v>
      </c>
      <c r="O41" s="11" t="str">
        <f aca="false">IFERROR(INDEX($E$30:$E$95,MATCH(12,$J$30:$J$95,0)),"")</f>
        <v>Firehose($)</v>
      </c>
      <c r="P41" s="13" t="n">
        <f aca="false">IFERROR(INDEX($F$30:$F$95,MATCH(12,$J$30:$J$95,0)),0)</f>
        <v>11568.293</v>
      </c>
      <c r="Q41" s="13" t="n">
        <f aca="false">IFERROR(INDEX($G$30:$G$95,MATCH(12,$J$30:$J$95,0)),0)</f>
        <v>11179.972</v>
      </c>
      <c r="R41" s="13" t="n">
        <f aca="false">IFERROR(INDEX($H$30:$H$95,MATCH(12,$J$30:$J$95,0)),0)</f>
        <v>388.321</v>
      </c>
      <c r="S41" s="14" t="n">
        <f aca="false">IFERROR(INDEX($I$30:$I$95,MATCH(12,$J$30:$J$95,0)),0)</f>
        <v>0.0347336290287668</v>
      </c>
      <c r="U41" s="11" t="n">
        <v>12</v>
      </c>
      <c r="V41" s="11" t="str">
        <f aca="false">IFERROR(INDEX($E$30:$E$95,MATCH(12,$L$30:$L$95,0)),"")</f>
        <v>Connect($)</v>
      </c>
      <c r="W41" s="13" t="n">
        <f aca="false">IFERROR(INDEX($F$30:$F$95,MATCH(12,$L$30:$L$95,0)),0)</f>
        <v>7692.095</v>
      </c>
      <c r="X41" s="13" t="n">
        <f aca="false">IFERROR(INDEX($G$30:$G$95,MATCH(12,$L$30:$L$95,0)),0)</f>
        <v>8698.874</v>
      </c>
      <c r="Y41" s="13" t="n">
        <f aca="false">IFERROR(INDEX($H$30:$H$95,MATCH(12,$L$30:$L$95,0)),0)</f>
        <v>-1006.779</v>
      </c>
      <c r="Z41" s="14" t="n">
        <f aca="false">IFERROR(INDEX($I$30:$I$95,MATCH(12,$L$30:$L$95,0)),0)</f>
        <v>-0.115736703394025</v>
      </c>
      <c r="AJ41" s="11" t="str">
        <f aca="false">IFERROR(INDEX($E$30:$E$95,MATCH(12,$J$30:$J$95,0)),"")</f>
        <v>Firehose($)</v>
      </c>
      <c r="AK41" s="13" t="n">
        <f aca="false">IFERROR(INDEX(Service_List!$2:67,IFERROR(MATCH(IFERROR(INDEX($E$30:$E$95,MATCH(12,$J$30:$J$95,0)),""),Service_List!$A$2:$A$67,0),0),IFERROR(INDEX($B$2:$B$7,IFERROR(MATCH(Dashboard!$K$5,$A$2:$A$7,0),1)),2)),0)</f>
        <v>11568.293</v>
      </c>
      <c r="AL41" s="13" t="n">
        <f aca="false">IFERROR(INDEX(Service_List!$2:67,IFERROR(MATCH(IFERROR(INDEX($E$30:$E$95,MATCH(12,$J$30:$J$95,0)),""),Service_List!$A$2:$A$67,0),0),IFERROR(INDEX($C$2:$C$7,IFERROR(MATCH(Dashboard!$K$5,$A$2:$A$7,0),1)),8)),0)</f>
        <v>13047.047</v>
      </c>
    </row>
    <row r="42" customFormat="false" ht="15" hidden="false" customHeight="false" outlineLevel="0" collapsed="false">
      <c r="E42" s="11" t="str">
        <f aca="false">Service_List!$A$14</f>
        <v>CodeBuild($)</v>
      </c>
      <c r="F42" s="13" t="n">
        <f aca="false">IFERROR(INDEX(Service_List!$14:14,1,$B$28),0)</f>
        <v>15455.827</v>
      </c>
      <c r="G42" s="13" t="n">
        <f aca="false">IFERROR(INDEX(Service_List!$14:14,1,$B$29),0)</f>
        <v>14258.022</v>
      </c>
      <c r="H42" s="13" t="n">
        <f aca="false">F42-G42</f>
        <v>1197.805</v>
      </c>
      <c r="I42" s="14" t="n">
        <f aca="false">IFERROR(H42/G42,0)</f>
        <v>0.0840091984708677</v>
      </c>
      <c r="J42" s="11" t="n">
        <f aca="false">RANK(F42,$F$30:$F$95,0)</f>
        <v>2</v>
      </c>
      <c r="K42" s="13" t="n">
        <f aca="false">ABS(H42)</f>
        <v>1197.805</v>
      </c>
      <c r="L42" s="11" t="n">
        <f aca="false">RANK(K42,$K$30:$K$95,0)</f>
        <v>9</v>
      </c>
      <c r="N42" s="11" t="n">
        <v>13</v>
      </c>
      <c r="O42" s="11" t="str">
        <f aca="false">IFERROR(INDEX($E$30:$E$95,MATCH(13,$J$30:$J$95,0)),"")</f>
        <v>Athena($)</v>
      </c>
      <c r="P42" s="13" t="n">
        <f aca="false">IFERROR(INDEX($F$30:$F$95,MATCH(13,$J$30:$J$95,0)),0)</f>
        <v>11300.897</v>
      </c>
      <c r="Q42" s="13" t="n">
        <f aca="false">IFERROR(INDEX($G$30:$G$95,MATCH(13,$J$30:$J$95,0)),0)</f>
        <v>10423.939</v>
      </c>
      <c r="R42" s="13" t="n">
        <f aca="false">IFERROR(INDEX($H$30:$H$95,MATCH(13,$J$30:$J$95,0)),0)</f>
        <v>876.958000000001</v>
      </c>
      <c r="S42" s="14" t="n">
        <f aca="false">IFERROR(INDEX($I$30:$I$95,MATCH(13,$J$30:$J$95,0)),0)</f>
        <v>0.0841292336802816</v>
      </c>
      <c r="U42" s="11" t="n">
        <v>13</v>
      </c>
      <c r="V42" s="11" t="str">
        <f aca="false">IFERROR(INDEX($E$30:$E$95,MATCH(13,$L$30:$L$95,0)),"")</f>
        <v>CloudFront($)</v>
      </c>
      <c r="W42" s="13" t="n">
        <f aca="false">IFERROR(INDEX($F$30:$F$95,MATCH(13,$L$30:$L$95,0)),0)</f>
        <v>14222.876</v>
      </c>
      <c r="X42" s="13" t="n">
        <f aca="false">IFERROR(INDEX($G$30:$G$95,MATCH(13,$L$30:$L$95,0)),0)</f>
        <v>13285.737</v>
      </c>
      <c r="Y42" s="13" t="n">
        <f aca="false">IFERROR(INDEX($H$30:$H$95,MATCH(13,$L$30:$L$95,0)),0)</f>
        <v>937.139000000001</v>
      </c>
      <c r="Z42" s="14" t="n">
        <f aca="false">IFERROR(INDEX($I$30:$I$95,MATCH(13,$L$30:$L$95,0)),0)</f>
        <v>0.0705372234901234</v>
      </c>
      <c r="AJ42" s="11" t="str">
        <f aca="false">IFERROR(INDEX($E$30:$E$95,MATCH(13,$J$30:$J$95,0)),"")</f>
        <v>Athena($)</v>
      </c>
      <c r="AK42" s="13" t="n">
        <f aca="false">IFERROR(INDEX(Service_List!$2:67,IFERROR(MATCH(IFERROR(INDEX($E$30:$E$95,MATCH(13,$J$30:$J$95,0)),""),Service_List!$A$2:$A$67,0),0),IFERROR(INDEX($B$2:$B$7,IFERROR(MATCH(Dashboard!$K$5,$A$2:$A$7,0),1)),2)),0)</f>
        <v>11300.897</v>
      </c>
      <c r="AL42" s="13" t="n">
        <f aca="false">IFERROR(INDEX(Service_List!$2:67,IFERROR(MATCH(IFERROR(INDEX($E$30:$E$95,MATCH(13,$J$30:$J$95,0)),""),Service_List!$A$2:$A$67,0),0),IFERROR(INDEX($C$2:$C$7,IFERROR(MATCH(Dashboard!$K$5,$A$2:$A$7,0),1)),8)),0)</f>
        <v>2112.433</v>
      </c>
    </row>
    <row r="43" customFormat="false" ht="15" hidden="false" customHeight="false" outlineLevel="0" collapsed="false">
      <c r="E43" s="11" t="str">
        <f aca="false">Service_List!$A$15</f>
        <v>CodeCommit($)</v>
      </c>
      <c r="F43" s="13" t="n">
        <f aca="false">IFERROR(INDEX(Service_List!$15:15,1,$B$28),0)</f>
        <v>8025.117</v>
      </c>
      <c r="G43" s="13" t="n">
        <f aca="false">IFERROR(INDEX(Service_List!$15:15,1,$B$29),0)</f>
        <v>9846.79</v>
      </c>
      <c r="H43" s="13" t="n">
        <f aca="false">F43-G43</f>
        <v>-1821.673</v>
      </c>
      <c r="I43" s="14" t="n">
        <f aca="false">IFERROR(H43/G43,0)</f>
        <v>-0.185001711217564</v>
      </c>
      <c r="J43" s="11" t="n">
        <f aca="false">RANK(F43,$F$30:$F$95,0)</f>
        <v>31</v>
      </c>
      <c r="K43" s="13" t="n">
        <f aca="false">ABS(H43)</f>
        <v>1821.673</v>
      </c>
      <c r="L43" s="11" t="n">
        <f aca="false">RANK(K43,$K$30:$K$95,0)</f>
        <v>5</v>
      </c>
      <c r="N43" s="11" t="n">
        <v>14</v>
      </c>
      <c r="O43" s="11" t="str">
        <f aca="false">IFERROR(INDEX($E$30:$E$95,MATCH(14,$J$30:$J$95,0)),"")</f>
        <v>AppSync($)</v>
      </c>
      <c r="P43" s="13" t="n">
        <f aca="false">IFERROR(INDEX($F$30:$F$95,MATCH(14,$J$30:$J$95,0)),0)</f>
        <v>11093.646</v>
      </c>
      <c r="Q43" s="13" t="n">
        <f aca="false">IFERROR(INDEX($G$30:$G$95,MATCH(14,$J$30:$J$95,0)),0)</f>
        <v>10171.923</v>
      </c>
      <c r="R43" s="13" t="n">
        <f aca="false">IFERROR(INDEX($H$30:$H$95,MATCH(14,$J$30:$J$95,0)),0)</f>
        <v>921.723</v>
      </c>
      <c r="S43" s="14" t="n">
        <f aca="false">IFERROR(INDEX($I$30:$I$95,MATCH(14,$J$30:$J$95,0)),0)</f>
        <v>0.0906144295429684</v>
      </c>
      <c r="U43" s="11" t="n">
        <v>14</v>
      </c>
      <c r="V43" s="11" t="str">
        <f aca="false">IFERROR(INDEX($E$30:$E$95,MATCH(14,$L$30:$L$95,0)),"")</f>
        <v>AppSync($)</v>
      </c>
      <c r="W43" s="13" t="n">
        <f aca="false">IFERROR(INDEX($F$30:$F$95,MATCH(14,$L$30:$L$95,0)),0)</f>
        <v>11093.646</v>
      </c>
      <c r="X43" s="13" t="n">
        <f aca="false">IFERROR(INDEX($G$30:$G$95,MATCH(14,$L$30:$L$95,0)),0)</f>
        <v>10171.923</v>
      </c>
      <c r="Y43" s="13" t="n">
        <f aca="false">IFERROR(INDEX($H$30:$H$95,MATCH(14,$L$30:$L$95,0)),0)</f>
        <v>921.723</v>
      </c>
      <c r="Z43" s="14" t="n">
        <f aca="false">IFERROR(INDEX($I$30:$I$95,MATCH(14,$L$30:$L$95,0)),0)</f>
        <v>0.0906144295429684</v>
      </c>
      <c r="AJ43" s="11" t="str">
        <f aca="false">IFERROR(INDEX($E$30:$E$95,MATCH(14,$J$30:$J$95,0)),"")</f>
        <v>AppSync($)</v>
      </c>
      <c r="AK43" s="13" t="n">
        <f aca="false">IFERROR(INDEX(Service_List!$2:67,IFERROR(MATCH(IFERROR(INDEX($E$30:$E$95,MATCH(14,$J$30:$J$95,0)),""),Service_List!$A$2:$A$67,0),0),IFERROR(INDEX($B$2:$B$7,IFERROR(MATCH(Dashboard!$K$5,$A$2:$A$7,0),1)),2)),0)</f>
        <v>11093.646</v>
      </c>
      <c r="AL43" s="13" t="n">
        <f aca="false">IFERROR(INDEX(Service_List!$2:67,IFERROR(MATCH(IFERROR(INDEX($E$30:$E$95,MATCH(14,$J$30:$J$95,0)),""),Service_List!$A$2:$A$67,0),0),IFERROR(INDEX($C$2:$C$7,IFERROR(MATCH(Dashboard!$K$5,$A$2:$A$7,0),1)),8)),0)</f>
        <v>15178.999</v>
      </c>
    </row>
    <row r="44" customFormat="false" ht="15" hidden="false" customHeight="false" outlineLevel="0" collapsed="false">
      <c r="E44" s="11" t="str">
        <f aca="false">Service_List!$A$16</f>
        <v>CodeDeploy($)</v>
      </c>
      <c r="F44" s="13" t="n">
        <f aca="false">IFERROR(INDEX(Service_List!$16:16,1,$B$28),0)</f>
        <v>9030.696</v>
      </c>
      <c r="G44" s="13" t="n">
        <f aca="false">IFERROR(INDEX(Service_List!$16:16,1,$B$29),0)</f>
        <v>10918.243</v>
      </c>
      <c r="H44" s="13" t="n">
        <f aca="false">F44-G44</f>
        <v>-1887.547</v>
      </c>
      <c r="I44" s="14" t="n">
        <f aca="false">IFERROR(H44/G44,0)</f>
        <v>-0.172880105342957</v>
      </c>
      <c r="J44" s="11" t="n">
        <f aca="false">RANK(F44,$F$30:$F$95,0)</f>
        <v>24</v>
      </c>
      <c r="K44" s="13" t="n">
        <f aca="false">ABS(H44)</f>
        <v>1887.547</v>
      </c>
      <c r="L44" s="11" t="n">
        <f aca="false">RANK(K44,$K$30:$K$95,0)</f>
        <v>4</v>
      </c>
      <c r="N44" s="11" t="n">
        <v>15</v>
      </c>
      <c r="O44" s="11" t="str">
        <f aca="false">IFERROR(INDEX($E$30:$E$95,MATCH(15,$J$30:$J$95,0)),"")</f>
        <v>Transfer Family($)</v>
      </c>
      <c r="P44" s="13" t="n">
        <f aca="false">IFERROR(INDEX($F$30:$F$95,MATCH(15,$J$30:$J$95,0)),0)</f>
        <v>11086.39</v>
      </c>
      <c r="Q44" s="13" t="n">
        <f aca="false">IFERROR(INDEX($G$30:$G$95,MATCH(15,$J$30:$J$95,0)),0)</f>
        <v>9604.208</v>
      </c>
      <c r="R44" s="13" t="n">
        <f aca="false">IFERROR(INDEX($H$30:$H$95,MATCH(15,$J$30:$J$95,0)),0)</f>
        <v>1482.182</v>
      </c>
      <c r="S44" s="14" t="n">
        <f aca="false">IFERROR(INDEX($I$30:$I$95,MATCH(15,$J$30:$J$95,0)),0)</f>
        <v>0.154326311966588</v>
      </c>
      <c r="U44" s="11" t="n">
        <v>15</v>
      </c>
      <c r="V44" s="11" t="str">
        <f aca="false">IFERROR(INDEX($E$30:$E$95,MATCH(15,$L$30:$L$95,0)),"")</f>
        <v>Athena($)</v>
      </c>
      <c r="W44" s="13" t="n">
        <f aca="false">IFERROR(INDEX($F$30:$F$95,MATCH(15,$L$30:$L$95,0)),0)</f>
        <v>11300.897</v>
      </c>
      <c r="X44" s="13" t="n">
        <f aca="false">IFERROR(INDEX($G$30:$G$95,MATCH(15,$L$30:$L$95,0)),0)</f>
        <v>10423.939</v>
      </c>
      <c r="Y44" s="13" t="n">
        <f aca="false">IFERROR(INDEX($H$30:$H$95,MATCH(15,$L$30:$L$95,0)),0)</f>
        <v>876.958000000001</v>
      </c>
      <c r="Z44" s="14" t="n">
        <f aca="false">IFERROR(INDEX($I$30:$I$95,MATCH(15,$L$30:$L$95,0)),0)</f>
        <v>0.0841292336802816</v>
      </c>
      <c r="AJ44" s="11" t="str">
        <f aca="false">IFERROR(INDEX($E$30:$E$95,MATCH(15,$J$30:$J$95,0)),"")</f>
        <v>Transfer Family($)</v>
      </c>
      <c r="AK44" s="13" t="n">
        <f aca="false">IFERROR(INDEX(Service_List!$2:67,IFERROR(MATCH(IFERROR(INDEX($E$30:$E$95,MATCH(15,$J$30:$J$95,0)),""),Service_List!$A$2:$A$67,0),0),IFERROR(INDEX($B$2:$B$7,IFERROR(MATCH(Dashboard!$K$5,$A$2:$A$7,0),1)),2)),0)</f>
        <v>11086.39</v>
      </c>
      <c r="AL44" s="13" t="n">
        <f aca="false">IFERROR(INDEX(Service_List!$2:67,IFERROR(MATCH(IFERROR(INDEX($E$30:$E$95,MATCH(15,$J$30:$J$95,0)),""),Service_List!$A$2:$A$67,0),0),IFERROR(INDEX($C$2:$C$7,IFERROR(MATCH(Dashboard!$K$5,$A$2:$A$7,0),1)),8)),0)</f>
        <v>13576.395</v>
      </c>
    </row>
    <row r="45" customFormat="false" ht="15" hidden="false" customHeight="false" outlineLevel="0" collapsed="false">
      <c r="E45" s="11" t="str">
        <f aca="false">Service_List!$A$17</f>
        <v>CodePipeline($)</v>
      </c>
      <c r="F45" s="13" t="n">
        <f aca="false">IFERROR(INDEX(Service_List!$17:17,1,$B$28),0)</f>
        <v>4386.276</v>
      </c>
      <c r="G45" s="13" t="n">
        <f aca="false">IFERROR(INDEX(Service_List!$17:17,1,$B$29),0)</f>
        <v>4482.385</v>
      </c>
      <c r="H45" s="13" t="n">
        <f aca="false">F45-G45</f>
        <v>-96.1090000000004</v>
      </c>
      <c r="I45" s="14" t="n">
        <f aca="false">IFERROR(H45/G45,0)</f>
        <v>-0.0214414870654797</v>
      </c>
      <c r="J45" s="11" t="n">
        <f aca="false">RANK(F45,$F$30:$F$95,0)</f>
        <v>44</v>
      </c>
      <c r="K45" s="13" t="n">
        <f aca="false">ABS(H45)</f>
        <v>96.1090000000004</v>
      </c>
      <c r="L45" s="11" t="n">
        <f aca="false">RANK(K45,$K$30:$K$95,0)</f>
        <v>53</v>
      </c>
    </row>
    <row r="46" customFormat="false" ht="15" hidden="false" customHeight="false" outlineLevel="0" collapsed="false">
      <c r="E46" s="11" t="str">
        <f aca="false">Service_List!$A$18</f>
        <v>Comprehend($)</v>
      </c>
      <c r="F46" s="13" t="n">
        <f aca="false">IFERROR(INDEX(Service_List!$18:18,1,$B$28),0)</f>
        <v>1588.81</v>
      </c>
      <c r="G46" s="13" t="n">
        <f aca="false">IFERROR(INDEX(Service_List!$18:18,1,$B$29),0)</f>
        <v>1631.853</v>
      </c>
      <c r="H46" s="13" t="n">
        <f aca="false">F46-G46</f>
        <v>-43.0430000000001</v>
      </c>
      <c r="I46" s="14" t="n">
        <f aca="false">IFERROR(H46/G46,0)</f>
        <v>-0.0263767631030492</v>
      </c>
      <c r="J46" s="11" t="n">
        <f aca="false">RANK(F46,$F$30:$F$95,0)</f>
        <v>57</v>
      </c>
      <c r="K46" s="13" t="n">
        <f aca="false">ABS(H46)</f>
        <v>43.0430000000001</v>
      </c>
      <c r="L46" s="11" t="n">
        <f aca="false">RANK(K46,$K$30:$K$95,0)</f>
        <v>61</v>
      </c>
    </row>
    <row r="47" customFormat="false" ht="15" hidden="false" customHeight="false" outlineLevel="0" collapsed="false">
      <c r="E47" s="11" t="str">
        <f aca="false">Service_List!$A$19</f>
        <v>Config($)</v>
      </c>
      <c r="F47" s="13" t="n">
        <f aca="false">IFERROR(INDEX(Service_List!$19:19,1,$B$28),0)</f>
        <v>2999.754</v>
      </c>
      <c r="G47" s="13" t="n">
        <f aca="false">IFERROR(INDEX(Service_List!$19:19,1,$B$29),0)</f>
        <v>3450.026</v>
      </c>
      <c r="H47" s="13" t="n">
        <f aca="false">F47-G47</f>
        <v>-450.272</v>
      </c>
      <c r="I47" s="14" t="n">
        <f aca="false">IFERROR(H47/G47,0)</f>
        <v>-0.13051263961489</v>
      </c>
      <c r="J47" s="11" t="n">
        <f aca="false">RANK(F47,$F$30:$F$95,0)</f>
        <v>53</v>
      </c>
      <c r="K47" s="13" t="n">
        <f aca="false">ABS(H47)</f>
        <v>450.272</v>
      </c>
      <c r="L47" s="11" t="n">
        <f aca="false">RANK(K47,$K$30:$K$95,0)</f>
        <v>35</v>
      </c>
    </row>
    <row r="48" customFormat="false" ht="15" hidden="false" customHeight="false" outlineLevel="0" collapsed="false">
      <c r="E48" s="11" t="str">
        <f aca="false">Service_List!$A$20</f>
        <v>Connect($)</v>
      </c>
      <c r="F48" s="13" t="n">
        <f aca="false">IFERROR(INDEX(Service_List!$20:20,1,$B$28),0)</f>
        <v>7692.095</v>
      </c>
      <c r="G48" s="13" t="n">
        <f aca="false">IFERROR(INDEX(Service_List!$20:20,1,$B$29),0)</f>
        <v>8698.874</v>
      </c>
      <c r="H48" s="13" t="n">
        <f aca="false">F48-G48</f>
        <v>-1006.779</v>
      </c>
      <c r="I48" s="14" t="n">
        <f aca="false">IFERROR(H48/G48,0)</f>
        <v>-0.115736703394025</v>
      </c>
      <c r="J48" s="11" t="n">
        <f aca="false">RANK(F48,$F$30:$F$95,0)</f>
        <v>32</v>
      </c>
      <c r="K48" s="13" t="n">
        <f aca="false">ABS(H48)</f>
        <v>1006.779</v>
      </c>
      <c r="L48" s="11" t="n">
        <f aca="false">RANK(K48,$K$30:$K$95,0)</f>
        <v>12</v>
      </c>
    </row>
    <row r="49" customFormat="false" ht="15" hidden="false" customHeight="false" outlineLevel="0" collapsed="false">
      <c r="E49" s="11" t="str">
        <f aca="false">Service_List!$A$21</f>
        <v>Control Tower($)</v>
      </c>
      <c r="F49" s="13" t="n">
        <f aca="false">IFERROR(INDEX(Service_List!$21:21,1,$B$28),0)</f>
        <v>6055.792</v>
      </c>
      <c r="G49" s="13" t="n">
        <f aca="false">IFERROR(INDEX(Service_List!$21:21,1,$B$29),0)</f>
        <v>5985.109</v>
      </c>
      <c r="H49" s="13" t="n">
        <f aca="false">F49-G49</f>
        <v>70.683</v>
      </c>
      <c r="I49" s="14" t="n">
        <f aca="false">IFERROR(H49/G49,0)</f>
        <v>0.0118098099800689</v>
      </c>
      <c r="J49" s="11" t="n">
        <f aca="false">RANK(F49,$F$30:$F$95,0)</f>
        <v>37</v>
      </c>
      <c r="K49" s="13" t="n">
        <f aca="false">ABS(H49)</f>
        <v>70.683</v>
      </c>
      <c r="L49" s="11" t="n">
        <f aca="false">RANK(K49,$K$30:$K$95,0)</f>
        <v>55</v>
      </c>
    </row>
    <row r="50" customFormat="false" ht="15" hidden="false" customHeight="false" outlineLevel="0" collapsed="false">
      <c r="E50" s="11" t="str">
        <f aca="false">Service_List!$A$22</f>
        <v>DMS($)</v>
      </c>
      <c r="F50" s="13" t="n">
        <f aca="false">IFERROR(INDEX(Service_List!$22:22,1,$B$28),0)</f>
        <v>4248.504</v>
      </c>
      <c r="G50" s="13" t="n">
        <f aca="false">IFERROR(INDEX(Service_List!$22:22,1,$B$29),0)</f>
        <v>4392.77</v>
      </c>
      <c r="H50" s="13" t="n">
        <f aca="false">F50-G50</f>
        <v>-144.266000000001</v>
      </c>
      <c r="I50" s="14" t="n">
        <f aca="false">IFERROR(H50/G50,0)</f>
        <v>-0.032841692144137</v>
      </c>
      <c r="J50" s="11" t="n">
        <f aca="false">RANK(F50,$F$30:$F$95,0)</f>
        <v>45</v>
      </c>
      <c r="K50" s="13" t="n">
        <f aca="false">ABS(H50)</f>
        <v>144.266000000001</v>
      </c>
      <c r="L50" s="11" t="n">
        <f aca="false">RANK(K50,$K$30:$K$95,0)</f>
        <v>50</v>
      </c>
    </row>
    <row r="51" customFormat="false" ht="15" hidden="false" customHeight="false" outlineLevel="0" collapsed="false">
      <c r="E51" s="11" t="str">
        <f aca="false">Service_List!$A$23</f>
        <v>DataSync($)</v>
      </c>
      <c r="F51" s="13" t="n">
        <f aca="false">IFERROR(INDEX(Service_List!$23:23,1,$B$28),0)</f>
        <v>14365.916</v>
      </c>
      <c r="G51" s="13" t="n">
        <f aca="false">IFERROR(INDEX(Service_List!$23:23,1,$B$29),0)</f>
        <v>11053.966</v>
      </c>
      <c r="H51" s="13" t="n">
        <f aca="false">F51-G51</f>
        <v>3311.95</v>
      </c>
      <c r="I51" s="14" t="n">
        <f aca="false">IFERROR(H51/G51,0)</f>
        <v>0.29961644535545</v>
      </c>
      <c r="J51" s="11" t="n">
        <f aca="false">RANK(F51,$F$30:$F$95,0)</f>
        <v>4</v>
      </c>
      <c r="K51" s="13" t="n">
        <f aca="false">ABS(H51)</f>
        <v>3311.95</v>
      </c>
      <c r="L51" s="11" t="n">
        <f aca="false">RANK(K51,$K$30:$K$95,0)</f>
        <v>1</v>
      </c>
    </row>
    <row r="52" customFormat="false" ht="15" hidden="false" customHeight="false" outlineLevel="0" collapsed="false">
      <c r="E52" s="11" t="str">
        <f aca="false">Service_List!$A$24</f>
        <v>Direct Connect($)</v>
      </c>
      <c r="F52" s="13" t="n">
        <f aca="false">IFERROR(INDEX(Service_List!$24:24,1,$B$28),0)</f>
        <v>9587.607</v>
      </c>
      <c r="G52" s="13" t="n">
        <f aca="false">IFERROR(INDEX(Service_List!$24:24,1,$B$29),0)</f>
        <v>8146.497</v>
      </c>
      <c r="H52" s="13" t="n">
        <f aca="false">F52-G52</f>
        <v>1441.11</v>
      </c>
      <c r="I52" s="14" t="n">
        <f aca="false">IFERROR(H52/G52,0)</f>
        <v>0.176899347044503</v>
      </c>
      <c r="J52" s="11" t="n">
        <f aca="false">RANK(F52,$F$30:$F$95,0)</f>
        <v>22</v>
      </c>
      <c r="K52" s="13" t="n">
        <f aca="false">ABS(H52)</f>
        <v>1441.11</v>
      </c>
      <c r="L52" s="11" t="n">
        <f aca="false">RANK(K52,$K$30:$K$95,0)</f>
        <v>8</v>
      </c>
    </row>
    <row r="53" customFormat="false" ht="15" hidden="false" customHeight="false" outlineLevel="0" collapsed="false">
      <c r="E53" s="11" t="str">
        <f aca="false">Service_List!$A$25</f>
        <v>DynamoDB($)</v>
      </c>
      <c r="F53" s="13" t="n">
        <f aca="false">IFERROR(INDEX(Service_List!$25:25,1,$B$28),0)</f>
        <v>6958.756</v>
      </c>
      <c r="G53" s="13" t="n">
        <f aca="false">IFERROR(INDEX(Service_List!$25:25,1,$B$29),0)</f>
        <v>7665.162</v>
      </c>
      <c r="H53" s="13" t="n">
        <f aca="false">F53-G53</f>
        <v>-706.406</v>
      </c>
      <c r="I53" s="14" t="n">
        <f aca="false">IFERROR(H53/G53,0)</f>
        <v>-0.092158000052706</v>
      </c>
      <c r="J53" s="11" t="n">
        <f aca="false">RANK(F53,$F$30:$F$95,0)</f>
        <v>35</v>
      </c>
      <c r="K53" s="13" t="n">
        <f aca="false">ABS(H53)</f>
        <v>706.406</v>
      </c>
      <c r="L53" s="11" t="n">
        <f aca="false">RANK(K53,$K$30:$K$95,0)</f>
        <v>20</v>
      </c>
    </row>
    <row r="54" customFormat="false" ht="15" hidden="false" customHeight="false" outlineLevel="0" collapsed="false">
      <c r="E54" s="11" t="str">
        <f aca="false">Service_List!$A$26</f>
        <v>EC2-Instances($)</v>
      </c>
      <c r="F54" s="13" t="n">
        <f aca="false">IFERROR(INDEX(Service_List!$26:26,1,$B$28),0)</f>
        <v>10180.665</v>
      </c>
      <c r="G54" s="13" t="n">
        <f aca="false">IFERROR(INDEX(Service_List!$26:26,1,$B$29),0)</f>
        <v>10881.274</v>
      </c>
      <c r="H54" s="13" t="n">
        <f aca="false">F54-G54</f>
        <v>-700.608999999999</v>
      </c>
      <c r="I54" s="14" t="n">
        <f aca="false">IFERROR(H54/G54,0)</f>
        <v>-0.0643866701638061</v>
      </c>
      <c r="J54" s="11" t="n">
        <f aca="false">RANK(F54,$F$30:$F$95,0)</f>
        <v>20</v>
      </c>
      <c r="K54" s="13" t="n">
        <f aca="false">ABS(H54)</f>
        <v>700.608999999999</v>
      </c>
      <c r="L54" s="11" t="n">
        <f aca="false">RANK(K54,$K$30:$K$95,0)</f>
        <v>21</v>
      </c>
    </row>
    <row r="55" customFormat="false" ht="15" hidden="false" customHeight="false" outlineLevel="0" collapsed="false">
      <c r="E55" s="11" t="str">
        <f aca="false">Service_List!$A$27</f>
        <v>ECR($)</v>
      </c>
      <c r="F55" s="13" t="n">
        <f aca="false">IFERROR(INDEX(Service_List!$27:27,1,$B$28),0)</f>
        <v>8701.766</v>
      </c>
      <c r="G55" s="13" t="n">
        <f aca="false">IFERROR(INDEX(Service_List!$27:27,1,$B$29),0)</f>
        <v>8838.907</v>
      </c>
      <c r="H55" s="13" t="n">
        <f aca="false">F55-G55</f>
        <v>-137.141</v>
      </c>
      <c r="I55" s="14" t="n">
        <f aca="false">IFERROR(H55/G55,0)</f>
        <v>-0.015515606171668</v>
      </c>
      <c r="J55" s="11" t="n">
        <f aca="false">RANK(F55,$F$30:$F$95,0)</f>
        <v>28</v>
      </c>
      <c r="K55" s="13" t="n">
        <f aca="false">ABS(H55)</f>
        <v>137.141</v>
      </c>
      <c r="L55" s="11" t="n">
        <f aca="false">RANK(K55,$K$30:$K$95,0)</f>
        <v>51</v>
      </c>
    </row>
    <row r="56" customFormat="false" ht="15" hidden="false" customHeight="false" outlineLevel="0" collapsed="false">
      <c r="E56" s="11" t="str">
        <f aca="false">Service_List!$A$28</f>
        <v>ECS($)</v>
      </c>
      <c r="F56" s="13" t="n">
        <f aca="false">IFERROR(INDEX(Service_List!$28:28,1,$B$28),0)</f>
        <v>3434.648</v>
      </c>
      <c r="G56" s="13" t="n">
        <f aca="false">IFERROR(INDEX(Service_List!$28:28,1,$B$29),0)</f>
        <v>2911.251</v>
      </c>
      <c r="H56" s="13" t="n">
        <f aca="false">F56-G56</f>
        <v>523.397</v>
      </c>
      <c r="I56" s="14" t="n">
        <f aca="false">IFERROR(H56/G56,0)</f>
        <v>0.179784223345909</v>
      </c>
      <c r="J56" s="11" t="n">
        <f aca="false">RANK(F56,$F$30:$F$95,0)</f>
        <v>49</v>
      </c>
      <c r="K56" s="13" t="n">
        <f aca="false">ABS(H56)</f>
        <v>523.397</v>
      </c>
      <c r="L56" s="11" t="n">
        <f aca="false">RANK(K56,$K$30:$K$95,0)</f>
        <v>28</v>
      </c>
    </row>
    <row r="57" customFormat="false" ht="15" hidden="false" customHeight="false" outlineLevel="0" collapsed="false">
      <c r="E57" s="11" t="str">
        <f aca="false">Service_List!$A$29</f>
        <v>EKS($)</v>
      </c>
      <c r="F57" s="13" t="n">
        <f aca="false">IFERROR(INDEX(Service_List!$29:29,1,$B$28),0)</f>
        <v>10030.05</v>
      </c>
      <c r="G57" s="13" t="n">
        <f aca="false">IFERROR(INDEX(Service_List!$29:29,1,$B$29),0)</f>
        <v>10717.846</v>
      </c>
      <c r="H57" s="13" t="n">
        <f aca="false">F57-G57</f>
        <v>-687.796</v>
      </c>
      <c r="I57" s="14" t="n">
        <f aca="false">IFERROR(H57/G57,0)</f>
        <v>-0.0641729690835267</v>
      </c>
      <c r="J57" s="11" t="n">
        <f aca="false">RANK(F57,$F$30:$F$95,0)</f>
        <v>21</v>
      </c>
      <c r="K57" s="13" t="n">
        <f aca="false">ABS(H57)</f>
        <v>687.796</v>
      </c>
      <c r="L57" s="11" t="n">
        <f aca="false">RANK(K57,$K$30:$K$95,0)</f>
        <v>22</v>
      </c>
    </row>
    <row r="58" customFormat="false" ht="15" hidden="false" customHeight="false" outlineLevel="0" collapsed="false">
      <c r="E58" s="11" t="str">
        <f aca="false">Service_List!$A$30</f>
        <v>EMR($)</v>
      </c>
      <c r="F58" s="13" t="n">
        <f aca="false">IFERROR(INDEX(Service_List!$30:30,1,$B$28),0)</f>
        <v>2745.379</v>
      </c>
      <c r="G58" s="13" t="n">
        <f aca="false">IFERROR(INDEX(Service_List!$30:30,1,$B$29),0)</f>
        <v>2106.948</v>
      </c>
      <c r="H58" s="13" t="n">
        <f aca="false">F58-G58</f>
        <v>638.431</v>
      </c>
      <c r="I58" s="14" t="n">
        <f aca="false">IFERROR(H58/G58,0)</f>
        <v>0.303012224316879</v>
      </c>
      <c r="J58" s="11" t="n">
        <f aca="false">RANK(F58,$F$30:$F$95,0)</f>
        <v>55</v>
      </c>
      <c r="K58" s="13" t="n">
        <f aca="false">ABS(H58)</f>
        <v>638.431</v>
      </c>
      <c r="L58" s="11" t="n">
        <f aca="false">RANK(K58,$K$30:$K$95,0)</f>
        <v>25</v>
      </c>
    </row>
    <row r="59" customFormat="false" ht="15" hidden="false" customHeight="false" outlineLevel="0" collapsed="false">
      <c r="E59" s="11" t="str">
        <f aca="false">Service_List!$A$31</f>
        <v>ElastiCache($)</v>
      </c>
      <c r="F59" s="13" t="n">
        <f aca="false">IFERROR(INDEX(Service_List!$31:31,1,$B$28),0)</f>
        <v>483.518</v>
      </c>
      <c r="G59" s="13" t="n">
        <f aca="false">IFERROR(INDEX(Service_List!$31:31,1,$B$29),0)</f>
        <v>515.143</v>
      </c>
      <c r="H59" s="13" t="n">
        <f aca="false">F59-G59</f>
        <v>-31.6250000000001</v>
      </c>
      <c r="I59" s="14" t="n">
        <f aca="false">IFERROR(H59/G59,0)</f>
        <v>-0.061390720634853</v>
      </c>
      <c r="J59" s="11" t="n">
        <f aca="false">RANK(F59,$F$30:$F$95,0)</f>
        <v>64</v>
      </c>
      <c r="K59" s="13" t="n">
        <f aca="false">ABS(H59)</f>
        <v>31.6250000000001</v>
      </c>
      <c r="L59" s="11" t="n">
        <f aca="false">RANK(K59,$K$30:$K$95,0)</f>
        <v>63</v>
      </c>
    </row>
    <row r="60" customFormat="false" ht="15" hidden="false" customHeight="false" outlineLevel="0" collapsed="false">
      <c r="E60" s="11" t="str">
        <f aca="false">Service_List!$A$32</f>
        <v>EventBridge($)</v>
      </c>
      <c r="F60" s="13" t="n">
        <f aca="false">IFERROR(INDEX(Service_List!$32:32,1,$B$28),0)</f>
        <v>2914.832</v>
      </c>
      <c r="G60" s="13" t="n">
        <f aca="false">IFERROR(INDEX(Service_List!$32:32,1,$B$29),0)</f>
        <v>2342.496</v>
      </c>
      <c r="H60" s="13" t="n">
        <f aca="false">F60-G60</f>
        <v>572.336</v>
      </c>
      <c r="I60" s="14" t="n">
        <f aca="false">IFERROR(H60/G60,0)</f>
        <v>0.244327418275207</v>
      </c>
      <c r="J60" s="11" t="n">
        <f aca="false">RANK(F60,$F$30:$F$95,0)</f>
        <v>54</v>
      </c>
      <c r="K60" s="13" t="n">
        <f aca="false">ABS(H60)</f>
        <v>572.336</v>
      </c>
      <c r="L60" s="11" t="n">
        <f aca="false">RANK(K60,$K$30:$K$95,0)</f>
        <v>26</v>
      </c>
    </row>
    <row r="61" customFormat="false" ht="15" hidden="false" customHeight="false" outlineLevel="0" collapsed="false">
      <c r="E61" s="11" t="str">
        <f aca="false">Service_List!$A$33</f>
        <v>Fargate($)</v>
      </c>
      <c r="F61" s="13" t="n">
        <f aca="false">IFERROR(INDEX(Service_List!$33:33,1,$B$28),0)</f>
        <v>10448.985</v>
      </c>
      <c r="G61" s="13" t="n">
        <f aca="false">IFERROR(INDEX(Service_List!$33:33,1,$B$29),0)</f>
        <v>9697.57</v>
      </c>
      <c r="H61" s="13" t="n">
        <f aca="false">F61-G61</f>
        <v>751.415000000001</v>
      </c>
      <c r="I61" s="14" t="n">
        <f aca="false">IFERROR(H61/G61,0)</f>
        <v>0.0774848750769524</v>
      </c>
      <c r="J61" s="11" t="n">
        <f aca="false">RANK(F61,$F$30:$F$95,0)</f>
        <v>18</v>
      </c>
      <c r="K61" s="13" t="n">
        <f aca="false">ABS(H61)</f>
        <v>751.415000000001</v>
      </c>
      <c r="L61" s="11" t="n">
        <f aca="false">RANK(K61,$K$30:$K$95,0)</f>
        <v>17</v>
      </c>
    </row>
    <row r="62" customFormat="false" ht="15" hidden="false" customHeight="false" outlineLevel="0" collapsed="false">
      <c r="E62" s="11" t="str">
        <f aca="false">Service_List!$A$34</f>
        <v>Firehose($)</v>
      </c>
      <c r="F62" s="13" t="n">
        <f aca="false">IFERROR(INDEX(Service_List!$34:34,1,$B$28),0)</f>
        <v>11568.293</v>
      </c>
      <c r="G62" s="13" t="n">
        <f aca="false">IFERROR(INDEX(Service_List!$34:34,1,$B$29),0)</f>
        <v>11179.972</v>
      </c>
      <c r="H62" s="13" t="n">
        <f aca="false">F62-G62</f>
        <v>388.321</v>
      </c>
      <c r="I62" s="14" t="n">
        <f aca="false">IFERROR(H62/G62,0)</f>
        <v>0.0347336290287668</v>
      </c>
      <c r="J62" s="11" t="n">
        <f aca="false">RANK(F62,$F$30:$F$95,0)</f>
        <v>12</v>
      </c>
      <c r="K62" s="13" t="n">
        <f aca="false">ABS(H62)</f>
        <v>388.321</v>
      </c>
      <c r="L62" s="11" t="n">
        <f aca="false">RANK(K62,$K$30:$K$95,0)</f>
        <v>38</v>
      </c>
    </row>
    <row r="63" customFormat="false" ht="15" hidden="false" customHeight="false" outlineLevel="0" collapsed="false">
      <c r="E63" s="11" t="str">
        <f aca="false">Service_List!$A$35</f>
        <v>Glue($)</v>
      </c>
      <c r="F63" s="13" t="n">
        <f aca="false">IFERROR(INDEX(Service_List!$35:35,1,$B$28),0)</f>
        <v>3054.178</v>
      </c>
      <c r="G63" s="13" t="n">
        <f aca="false">IFERROR(INDEX(Service_List!$35:35,1,$B$29),0)</f>
        <v>3389.857</v>
      </c>
      <c r="H63" s="13" t="n">
        <f aca="false">F63-G63</f>
        <v>-335.679</v>
      </c>
      <c r="I63" s="14" t="n">
        <f aca="false">IFERROR(H63/G63,0)</f>
        <v>-0.0990245311232893</v>
      </c>
      <c r="J63" s="11" t="n">
        <f aca="false">RANK(F63,$F$30:$F$95,0)</f>
        <v>52</v>
      </c>
      <c r="K63" s="13" t="n">
        <f aca="false">ABS(H63)</f>
        <v>335.679</v>
      </c>
      <c r="L63" s="11" t="n">
        <f aca="false">RANK(K63,$K$30:$K$95,0)</f>
        <v>41</v>
      </c>
    </row>
    <row r="64" customFormat="false" ht="15" hidden="false" customHeight="false" outlineLevel="0" collapsed="false">
      <c r="E64" s="11" t="str">
        <f aca="false">Service_List!$A$36</f>
        <v>GuardDuty($)</v>
      </c>
      <c r="F64" s="13" t="n">
        <f aca="false">IFERROR(INDEX(Service_List!$36:36,1,$B$28),0)</f>
        <v>13414.014</v>
      </c>
      <c r="G64" s="13" t="n">
        <f aca="false">IFERROR(INDEX(Service_List!$36:36,1,$B$29),0)</f>
        <v>13009.142</v>
      </c>
      <c r="H64" s="13" t="n">
        <f aca="false">F64-G64</f>
        <v>404.871999999999</v>
      </c>
      <c r="I64" s="14" t="n">
        <f aca="false">IFERROR(H64/G64,0)</f>
        <v>0.0311221139718514</v>
      </c>
      <c r="J64" s="11" t="n">
        <f aca="false">RANK(F64,$F$30:$F$95,0)</f>
        <v>7</v>
      </c>
      <c r="K64" s="13" t="n">
        <f aca="false">ABS(H64)</f>
        <v>404.871999999999</v>
      </c>
      <c r="L64" s="11" t="n">
        <f aca="false">RANK(K64,$K$30:$K$95,0)</f>
        <v>36</v>
      </c>
    </row>
    <row r="65" customFormat="false" ht="15" hidden="false" customHeight="false" outlineLevel="0" collapsed="false">
      <c r="E65" s="11" t="str">
        <f aca="false">Service_List!$A$37</f>
        <v>IAM($)</v>
      </c>
      <c r="F65" s="13" t="n">
        <f aca="false">IFERROR(INDEX(Service_List!$37:37,1,$B$28),0)</f>
        <v>8743.728</v>
      </c>
      <c r="G65" s="13" t="n">
        <f aca="false">IFERROR(INDEX(Service_List!$37:37,1,$B$29),0)</f>
        <v>10695.681</v>
      </c>
      <c r="H65" s="13" t="n">
        <f aca="false">F65-G65</f>
        <v>-1951.953</v>
      </c>
      <c r="I65" s="14" t="n">
        <f aca="false">IFERROR(H65/G65,0)</f>
        <v>-0.182499178874164</v>
      </c>
      <c r="J65" s="11" t="n">
        <f aca="false">RANK(F65,$F$30:$F$95,0)</f>
        <v>27</v>
      </c>
      <c r="K65" s="13" t="n">
        <f aca="false">ABS(H65)</f>
        <v>1951.953</v>
      </c>
      <c r="L65" s="11" t="n">
        <f aca="false">RANK(K65,$K$30:$K$95,0)</f>
        <v>3</v>
      </c>
    </row>
    <row r="66" customFormat="false" ht="15" hidden="false" customHeight="false" outlineLevel="0" collapsed="false">
      <c r="E66" s="11" t="str">
        <f aca="false">Service_List!$A$38</f>
        <v>Inspector($)</v>
      </c>
      <c r="F66" s="13" t="n">
        <f aca="false">IFERROR(INDEX(Service_List!$38:38,1,$B$28),0)</f>
        <v>7467.568</v>
      </c>
      <c r="G66" s="13" t="n">
        <f aca="false">IFERROR(INDEX(Service_List!$38:38,1,$B$29),0)</f>
        <v>7528.273</v>
      </c>
      <c r="H66" s="13" t="n">
        <f aca="false">F66-G66</f>
        <v>-60.7049999999999</v>
      </c>
      <c r="I66" s="14" t="n">
        <f aca="false">IFERROR(H66/G66,0)</f>
        <v>-0.00806360236936146</v>
      </c>
      <c r="J66" s="11" t="n">
        <f aca="false">RANK(F66,$F$30:$F$95,0)</f>
        <v>34</v>
      </c>
      <c r="K66" s="13" t="n">
        <f aca="false">ABS(H66)</f>
        <v>60.7049999999999</v>
      </c>
      <c r="L66" s="11" t="n">
        <f aca="false">RANK(K66,$K$30:$K$95,0)</f>
        <v>60</v>
      </c>
    </row>
    <row r="67" customFormat="false" ht="15" hidden="false" customHeight="false" outlineLevel="0" collapsed="false">
      <c r="E67" s="11" t="str">
        <f aca="false">Service_List!$A$39</f>
        <v>KMS($)</v>
      </c>
      <c r="F67" s="13" t="n">
        <f aca="false">IFERROR(INDEX(Service_List!$39:39,1,$B$28),0)</f>
        <v>1388.394</v>
      </c>
      <c r="G67" s="13" t="n">
        <f aca="false">IFERROR(INDEX(Service_List!$39:39,1,$B$29),0)</f>
        <v>1650.879</v>
      </c>
      <c r="H67" s="13" t="n">
        <f aca="false">F67-G67</f>
        <v>-262.485</v>
      </c>
      <c r="I67" s="14" t="n">
        <f aca="false">IFERROR(H67/G67,0)</f>
        <v>-0.158997116081796</v>
      </c>
      <c r="J67" s="11" t="n">
        <f aca="false">RANK(F67,$F$30:$F$95,0)</f>
        <v>59</v>
      </c>
      <c r="K67" s="13" t="n">
        <f aca="false">ABS(H67)</f>
        <v>262.485</v>
      </c>
      <c r="L67" s="11" t="n">
        <f aca="false">RANK(K67,$K$30:$K$95,0)</f>
        <v>44</v>
      </c>
    </row>
    <row r="68" customFormat="false" ht="15" hidden="false" customHeight="false" outlineLevel="0" collapsed="false">
      <c r="E68" s="11" t="str">
        <f aca="false">Service_List!$A$40</f>
        <v>Kinesis($)</v>
      </c>
      <c r="F68" s="13" t="n">
        <f aca="false">IFERROR(INDEX(Service_List!$40:40,1,$B$28),0)</f>
        <v>167.655</v>
      </c>
      <c r="G68" s="13" t="n">
        <f aca="false">IFERROR(INDEX(Service_List!$40:40,1,$B$29),0)</f>
        <v>168.749</v>
      </c>
      <c r="H68" s="13" t="n">
        <f aca="false">F68-G68</f>
        <v>-1.09399999999999</v>
      </c>
      <c r="I68" s="14" t="n">
        <f aca="false">IFERROR(H68/G68,0)</f>
        <v>-0.00648300138074889</v>
      </c>
      <c r="J68" s="11" t="n">
        <f aca="false">RANK(F68,$F$30:$F$95,0)</f>
        <v>66</v>
      </c>
      <c r="K68" s="13" t="n">
        <f aca="false">ABS(H68)</f>
        <v>1.09399999999999</v>
      </c>
      <c r="L68" s="11" t="n">
        <f aca="false">RANK(K68,$K$30:$K$95,0)</f>
        <v>66</v>
      </c>
    </row>
    <row r="69" customFormat="false" ht="15" hidden="false" customHeight="false" outlineLevel="0" collapsed="false">
      <c r="E69" s="11" t="str">
        <f aca="false">Service_List!$A$41</f>
        <v>Lambda($)</v>
      </c>
      <c r="F69" s="13" t="n">
        <f aca="false">IFERROR(INDEX(Service_List!$41:41,1,$B$28),0)</f>
        <v>10775.309</v>
      </c>
      <c r="G69" s="13" t="n">
        <f aca="false">IFERROR(INDEX(Service_List!$41:41,1,$B$29),0)</f>
        <v>9308.224</v>
      </c>
      <c r="H69" s="13" t="n">
        <f aca="false">F69-G69</f>
        <v>1467.085</v>
      </c>
      <c r="I69" s="14" t="n">
        <f aca="false">IFERROR(H69/G69,0)</f>
        <v>0.157611699073851</v>
      </c>
      <c r="J69" s="11" t="n">
        <f aca="false">RANK(F69,$F$30:$F$95,0)</f>
        <v>16</v>
      </c>
      <c r="K69" s="13" t="n">
        <f aca="false">ABS(H69)</f>
        <v>1467.085</v>
      </c>
      <c r="L69" s="11" t="n">
        <f aca="false">RANK(K69,$K$30:$K$95,0)</f>
        <v>7</v>
      </c>
    </row>
    <row r="70" customFormat="false" ht="15" hidden="false" customHeight="false" outlineLevel="0" collapsed="false">
      <c r="E70" s="11" t="str">
        <f aca="false">Service_List!$A$42</f>
        <v>Lex($)</v>
      </c>
      <c r="F70" s="13" t="n">
        <f aca="false">IFERROR(INDEX(Service_List!$42:42,1,$B$28),0)</f>
        <v>9422.6</v>
      </c>
      <c r="G70" s="13" t="n">
        <f aca="false">IFERROR(INDEX(Service_List!$42:42,1,$B$29),0)</f>
        <v>9345.306</v>
      </c>
      <c r="H70" s="13" t="n">
        <f aca="false">F70-G70</f>
        <v>77.2939999999999</v>
      </c>
      <c r="I70" s="14" t="n">
        <f aca="false">IFERROR(H70/G70,0)</f>
        <v>0.00827089022018111</v>
      </c>
      <c r="J70" s="11" t="n">
        <f aca="false">RANK(F70,$F$30:$F$95,0)</f>
        <v>23</v>
      </c>
      <c r="K70" s="13" t="n">
        <f aca="false">ABS(H70)</f>
        <v>77.2939999999999</v>
      </c>
      <c r="L70" s="11" t="n">
        <f aca="false">RANK(K70,$K$30:$K$95,0)</f>
        <v>54</v>
      </c>
    </row>
    <row r="71" customFormat="false" ht="15" hidden="false" customHeight="false" outlineLevel="0" collapsed="false">
      <c r="E71" s="11" t="str">
        <f aca="false">Service_List!$A$43</f>
        <v>Lightsail($)</v>
      </c>
      <c r="F71" s="13" t="n">
        <f aca="false">IFERROR(INDEX(Service_List!$43:43,1,$B$28),0)</f>
        <v>8780.907</v>
      </c>
      <c r="G71" s="13" t="n">
        <f aca="false">IFERROR(INDEX(Service_List!$43:43,1,$B$29),0)</f>
        <v>8717.902</v>
      </c>
      <c r="H71" s="13" t="n">
        <f aca="false">F71-G71</f>
        <v>63.0049999999992</v>
      </c>
      <c r="I71" s="14" t="n">
        <f aca="false">IFERROR(H71/G71,0)</f>
        <v>0.00722708284630857</v>
      </c>
      <c r="J71" s="11" t="n">
        <f aca="false">RANK(F71,$F$30:$F$95,0)</f>
        <v>26</v>
      </c>
      <c r="K71" s="13" t="n">
        <f aca="false">ABS(H71)</f>
        <v>63.0049999999992</v>
      </c>
      <c r="L71" s="11" t="n">
        <f aca="false">RANK(K71,$K$30:$K$95,0)</f>
        <v>58</v>
      </c>
    </row>
    <row r="72" customFormat="false" ht="15" hidden="false" customHeight="false" outlineLevel="0" collapsed="false">
      <c r="E72" s="11" t="str">
        <f aca="false">Service_List!$A$44</f>
        <v>Macie($)</v>
      </c>
      <c r="F72" s="13" t="n">
        <f aca="false">IFERROR(INDEX(Service_List!$44:44,1,$B$28),0)</f>
        <v>10261.165</v>
      </c>
      <c r="G72" s="13" t="n">
        <f aca="false">IFERROR(INDEX(Service_List!$44:44,1,$B$29),0)</f>
        <v>9800.712</v>
      </c>
      <c r="H72" s="13" t="n">
        <f aca="false">F72-G72</f>
        <v>460.453000000001</v>
      </c>
      <c r="I72" s="14" t="n">
        <f aca="false">IFERROR(H72/G72,0)</f>
        <v>0.0469815866439093</v>
      </c>
      <c r="J72" s="11" t="n">
        <f aca="false">RANK(F72,$F$30:$F$95,0)</f>
        <v>19</v>
      </c>
      <c r="K72" s="13" t="n">
        <f aca="false">ABS(H72)</f>
        <v>460.453000000001</v>
      </c>
      <c r="L72" s="11" t="n">
        <f aca="false">RANK(K72,$K$30:$K$95,0)</f>
        <v>33</v>
      </c>
    </row>
    <row r="73" customFormat="false" ht="15" hidden="false" customHeight="false" outlineLevel="0" collapsed="false">
      <c r="E73" s="11" t="str">
        <f aca="false">Service_List!$A$45</f>
        <v>Organizations($)</v>
      </c>
      <c r="F73" s="13" t="n">
        <f aca="false">IFERROR(INDEX(Service_List!$45:45,1,$B$28),0)</f>
        <v>5248.425</v>
      </c>
      <c r="G73" s="13" t="n">
        <f aca="false">IFERROR(INDEX(Service_List!$45:45,1,$B$29),0)</f>
        <v>5723.092</v>
      </c>
      <c r="H73" s="13" t="n">
        <f aca="false">F73-G73</f>
        <v>-474.666999999999</v>
      </c>
      <c r="I73" s="14" t="n">
        <f aca="false">IFERROR(H73/G73,0)</f>
        <v>-0.0829389078491137</v>
      </c>
      <c r="J73" s="11" t="n">
        <f aca="false">RANK(F73,$F$30:$F$95,0)</f>
        <v>42</v>
      </c>
      <c r="K73" s="13" t="n">
        <f aca="false">ABS(H73)</f>
        <v>474.666999999999</v>
      </c>
      <c r="L73" s="11" t="n">
        <f aca="false">RANK(K73,$K$30:$K$95,0)</f>
        <v>32</v>
      </c>
    </row>
    <row r="74" customFormat="false" ht="15" hidden="false" customHeight="false" outlineLevel="0" collapsed="false">
      <c r="E74" s="11" t="str">
        <f aca="false">Service_List!$A$46</f>
        <v>Polly($)</v>
      </c>
      <c r="F74" s="13" t="n">
        <f aca="false">IFERROR(INDEX(Service_List!$46:46,1,$B$28),0)</f>
        <v>8329.916</v>
      </c>
      <c r="G74" s="13" t="n">
        <f aca="false">IFERROR(INDEX(Service_List!$46:46,1,$B$29),0)</f>
        <v>8396.94</v>
      </c>
      <c r="H74" s="13" t="n">
        <f aca="false">F74-G74</f>
        <v>-67.0240000000013</v>
      </c>
      <c r="I74" s="14" t="n">
        <f aca="false">IFERROR(H74/G74,0)</f>
        <v>-0.00798195533134704</v>
      </c>
      <c r="J74" s="11" t="n">
        <f aca="false">RANK(F74,$F$30:$F$95,0)</f>
        <v>29</v>
      </c>
      <c r="K74" s="13" t="n">
        <f aca="false">ABS(H74)</f>
        <v>67.0240000000013</v>
      </c>
      <c r="L74" s="11" t="n">
        <f aca="false">RANK(K74,$K$30:$K$95,0)</f>
        <v>56</v>
      </c>
    </row>
    <row r="75" customFormat="false" ht="15" hidden="false" customHeight="false" outlineLevel="0" collapsed="false">
      <c r="E75" s="11" t="str">
        <f aca="false">Service_List!$A$47</f>
        <v>Redshift($)</v>
      </c>
      <c r="F75" s="13" t="n">
        <f aca="false">IFERROR(INDEX(Service_List!$47:47,1,$B$28),0)</f>
        <v>5717.902</v>
      </c>
      <c r="G75" s="13" t="n">
        <f aca="false">IFERROR(INDEX(Service_List!$47:47,1,$B$29),0)</f>
        <v>5712.148</v>
      </c>
      <c r="H75" s="13" t="n">
        <f aca="false">F75-G75</f>
        <v>5.75399999999991</v>
      </c>
      <c r="I75" s="14" t="n">
        <f aca="false">IFERROR(H75/G75,0)</f>
        <v>0.00100732684097119</v>
      </c>
      <c r="J75" s="11" t="n">
        <f aca="false">RANK(F75,$F$30:$F$95,0)</f>
        <v>38</v>
      </c>
      <c r="K75" s="13" t="n">
        <f aca="false">ABS(H75)</f>
        <v>5.75399999999991</v>
      </c>
      <c r="L75" s="11" t="n">
        <f aca="false">RANK(K75,$K$30:$K$95,0)</f>
        <v>65</v>
      </c>
    </row>
    <row r="76" customFormat="false" ht="15" hidden="false" customHeight="false" outlineLevel="0" collapsed="false">
      <c r="E76" s="11" t="str">
        <f aca="false">Service_List!$A$48</f>
        <v>Rekognition($)</v>
      </c>
      <c r="F76" s="13" t="n">
        <f aca="false">IFERROR(INDEX(Service_List!$48:48,1,$B$28),0)</f>
        <v>5495.091</v>
      </c>
      <c r="G76" s="13" t="n">
        <f aca="false">IFERROR(INDEX(Service_List!$48:48,1,$B$29),0)</f>
        <v>5314.394</v>
      </c>
      <c r="H76" s="13" t="n">
        <f aca="false">F76-G76</f>
        <v>180.697</v>
      </c>
      <c r="I76" s="14" t="n">
        <f aca="false">IFERROR(H76/G76,0)</f>
        <v>0.03400143083106</v>
      </c>
      <c r="J76" s="11" t="n">
        <f aca="false">RANK(F76,$F$30:$F$95,0)</f>
        <v>40</v>
      </c>
      <c r="K76" s="13" t="n">
        <f aca="false">ABS(H76)</f>
        <v>180.697</v>
      </c>
      <c r="L76" s="11" t="n">
        <f aca="false">RANK(K76,$K$30:$K$95,0)</f>
        <v>48</v>
      </c>
    </row>
    <row r="77" customFormat="false" ht="15" hidden="false" customHeight="false" outlineLevel="0" collapsed="false">
      <c r="E77" s="11" t="str">
        <f aca="false">Service_List!$A$49</f>
        <v>Relational Database Service($)</v>
      </c>
      <c r="F77" s="13" t="n">
        <f aca="false">IFERROR(INDEX(Service_List!$49:49,1,$B$28),0)</f>
        <v>8968.118</v>
      </c>
      <c r="G77" s="13" t="n">
        <f aca="false">IFERROR(INDEX(Service_List!$49:49,1,$B$29),0)</f>
        <v>9424.96</v>
      </c>
      <c r="H77" s="13" t="n">
        <f aca="false">F77-G77</f>
        <v>-456.841999999999</v>
      </c>
      <c r="I77" s="14" t="n">
        <f aca="false">IFERROR(H77/G77,0)</f>
        <v>-0.0484715054493599</v>
      </c>
      <c r="J77" s="11" t="n">
        <f aca="false">RANK(F77,$F$30:$F$95,0)</f>
        <v>25</v>
      </c>
      <c r="K77" s="13" t="n">
        <f aca="false">ABS(H77)</f>
        <v>456.841999999999</v>
      </c>
      <c r="L77" s="11" t="n">
        <f aca="false">RANK(K77,$K$30:$K$95,0)</f>
        <v>34</v>
      </c>
    </row>
    <row r="78" customFormat="false" ht="15" hidden="false" customHeight="false" outlineLevel="0" collapsed="false">
      <c r="E78" s="11" t="str">
        <f aca="false">Service_List!$A$50</f>
        <v>Route53($)</v>
      </c>
      <c r="F78" s="13" t="n">
        <f aca="false">IFERROR(INDEX(Service_List!$50:50,1,$B$28),0)</f>
        <v>1212.968</v>
      </c>
      <c r="G78" s="13" t="n">
        <f aca="false">IFERROR(INDEX(Service_List!$50:50,1,$B$29),0)</f>
        <v>1563.33</v>
      </c>
      <c r="H78" s="13" t="n">
        <f aca="false">F78-G78</f>
        <v>-350.362</v>
      </c>
      <c r="I78" s="14" t="n">
        <f aca="false">IFERROR(H78/G78,0)</f>
        <v>-0.224112631370216</v>
      </c>
      <c r="J78" s="11" t="n">
        <f aca="false">RANK(F78,$F$30:$F$95,0)</f>
        <v>60</v>
      </c>
      <c r="K78" s="13" t="n">
        <f aca="false">ABS(H78)</f>
        <v>350.362</v>
      </c>
      <c r="L78" s="11" t="n">
        <f aca="false">RANK(K78,$K$30:$K$95,0)</f>
        <v>40</v>
      </c>
    </row>
    <row r="79" customFormat="false" ht="15" hidden="false" customHeight="false" outlineLevel="0" collapsed="false">
      <c r="E79" s="11" t="str">
        <f aca="false">Service_List!$A$51</f>
        <v>S3($)</v>
      </c>
      <c r="F79" s="13" t="n">
        <f aca="false">IFERROR(INDEX(Service_List!$51:51,1,$B$28),0)</f>
        <v>447.095</v>
      </c>
      <c r="G79" s="13" t="n">
        <f aca="false">IFERROR(INDEX(Service_List!$51:51,1,$B$29),0)</f>
        <v>484.002</v>
      </c>
      <c r="H79" s="13" t="n">
        <f aca="false">F79-G79</f>
        <v>-36.907</v>
      </c>
      <c r="I79" s="14" t="n">
        <f aca="false">IFERROR(H79/G79,0)</f>
        <v>-0.076253817132987</v>
      </c>
      <c r="J79" s="11" t="n">
        <f aca="false">RANK(F79,$F$30:$F$95,0)</f>
        <v>65</v>
      </c>
      <c r="K79" s="13" t="n">
        <f aca="false">ABS(H79)</f>
        <v>36.907</v>
      </c>
      <c r="L79" s="11" t="n">
        <f aca="false">RANK(K79,$K$30:$K$95,0)</f>
        <v>62</v>
      </c>
    </row>
    <row r="80" customFormat="false" ht="15" hidden="false" customHeight="false" outlineLevel="0" collapsed="false">
      <c r="E80" s="11" t="str">
        <f aca="false">Service_List!$A$52</f>
        <v>SNS($)</v>
      </c>
      <c r="F80" s="13" t="n">
        <f aca="false">IFERROR(INDEX(Service_List!$52:52,1,$B$28),0)</f>
        <v>550.932</v>
      </c>
      <c r="G80" s="13" t="n">
        <f aca="false">IFERROR(INDEX(Service_List!$52:52,1,$B$29),0)</f>
        <v>490.074</v>
      </c>
      <c r="H80" s="13" t="n">
        <f aca="false">F80-G80</f>
        <v>60.858</v>
      </c>
      <c r="I80" s="14" t="n">
        <f aca="false">IFERROR(H80/G80,0)</f>
        <v>0.124181246097528</v>
      </c>
      <c r="J80" s="11" t="n">
        <f aca="false">RANK(F80,$F$30:$F$95,0)</f>
        <v>63</v>
      </c>
      <c r="K80" s="13" t="n">
        <f aca="false">ABS(H80)</f>
        <v>60.858</v>
      </c>
      <c r="L80" s="11" t="n">
        <f aca="false">RANK(K80,$K$30:$K$95,0)</f>
        <v>59</v>
      </c>
    </row>
    <row r="81" customFormat="false" ht="15" hidden="false" customHeight="false" outlineLevel="0" collapsed="false">
      <c r="E81" s="11" t="str">
        <f aca="false">Service_List!$A$53</f>
        <v>SQS($)</v>
      </c>
      <c r="F81" s="13" t="n">
        <f aca="false">IFERROR(INDEX(Service_List!$53:53,1,$B$28),0)</f>
        <v>3272.864</v>
      </c>
      <c r="G81" s="13" t="n">
        <f aca="false">IFERROR(INDEX(Service_List!$53:53,1,$B$29),0)</f>
        <v>2939.465</v>
      </c>
      <c r="H81" s="13" t="n">
        <f aca="false">F81-G81</f>
        <v>333.399</v>
      </c>
      <c r="I81" s="14" t="n">
        <f aca="false">IFERROR(H81/G81,0)</f>
        <v>0.113421660063991</v>
      </c>
      <c r="J81" s="11" t="n">
        <f aca="false">RANK(F81,$F$30:$F$95,0)</f>
        <v>50</v>
      </c>
      <c r="K81" s="13" t="n">
        <f aca="false">ABS(H81)</f>
        <v>333.399</v>
      </c>
      <c r="L81" s="11" t="n">
        <f aca="false">RANK(K81,$K$30:$K$95,0)</f>
        <v>42</v>
      </c>
    </row>
    <row r="82" customFormat="false" ht="15" hidden="false" customHeight="false" outlineLevel="0" collapsed="false">
      <c r="E82" s="11" t="str">
        <f aca="false">Service_List!$A$54</f>
        <v>SageMaker($)</v>
      </c>
      <c r="F82" s="13" t="n">
        <f aca="false">IFERROR(INDEX(Service_List!$54:54,1,$B$28),0)</f>
        <v>14013.558</v>
      </c>
      <c r="G82" s="13" t="n">
        <f aca="false">IFERROR(INDEX(Service_List!$54:54,1,$B$29),0)</f>
        <v>13993.823</v>
      </c>
      <c r="H82" s="13" t="n">
        <f aca="false">F82-G82</f>
        <v>19.7350000000006</v>
      </c>
      <c r="I82" s="14" t="n">
        <f aca="false">IFERROR(H82/G82,0)</f>
        <v>0.00141026508624559</v>
      </c>
      <c r="J82" s="11" t="n">
        <f aca="false">RANK(F82,$F$30:$F$95,0)</f>
        <v>6</v>
      </c>
      <c r="K82" s="13" t="n">
        <f aca="false">ABS(H82)</f>
        <v>19.7350000000006</v>
      </c>
      <c r="L82" s="11" t="n">
        <f aca="false">RANK(K82,$K$30:$K$95,0)</f>
        <v>64</v>
      </c>
    </row>
    <row r="83" customFormat="false" ht="15" hidden="false" customHeight="false" outlineLevel="0" collapsed="false">
      <c r="E83" s="11" t="str">
        <f aca="false">Service_List!$A$55</f>
        <v>Secrets Manager($)</v>
      </c>
      <c r="F83" s="13" t="n">
        <f aca="false">IFERROR(INDEX(Service_List!$55:55,1,$B$28),0)</f>
        <v>3527.58</v>
      </c>
      <c r="G83" s="13" t="n">
        <f aca="false">IFERROR(INDEX(Service_List!$55:55,1,$B$29),0)</f>
        <v>4090.91</v>
      </c>
      <c r="H83" s="13" t="n">
        <f aca="false">F83-G83</f>
        <v>-563.33</v>
      </c>
      <c r="I83" s="14" t="n">
        <f aca="false">IFERROR(H83/G83,0)</f>
        <v>-0.137702858288254</v>
      </c>
      <c r="J83" s="11" t="n">
        <f aca="false">RANK(F83,$F$30:$F$95,0)</f>
        <v>48</v>
      </c>
      <c r="K83" s="13" t="n">
        <f aca="false">ABS(H83)</f>
        <v>563.33</v>
      </c>
      <c r="L83" s="11" t="n">
        <f aca="false">RANK(K83,$K$30:$K$95,0)</f>
        <v>27</v>
      </c>
    </row>
    <row r="84" customFormat="false" ht="15" hidden="false" customHeight="false" outlineLevel="0" collapsed="false">
      <c r="E84" s="11" t="str">
        <f aca="false">Service_List!$A$56</f>
        <v>Security Hub($)</v>
      </c>
      <c r="F84" s="13" t="n">
        <f aca="false">IFERROR(INDEX(Service_List!$56:56,1,$B$28),0)</f>
        <v>797.905</v>
      </c>
      <c r="G84" s="13" t="n">
        <f aca="false">IFERROR(INDEX(Service_List!$56:56,1,$B$29),0)</f>
        <v>864.585</v>
      </c>
      <c r="H84" s="13" t="n">
        <f aca="false">F84-G84</f>
        <v>-66.6800000000001</v>
      </c>
      <c r="I84" s="14" t="n">
        <f aca="false">IFERROR(H84/G84,0)</f>
        <v>-0.077123706749481</v>
      </c>
      <c r="J84" s="11" t="n">
        <f aca="false">RANK(F84,$F$30:$F$95,0)</f>
        <v>62</v>
      </c>
      <c r="K84" s="13" t="n">
        <f aca="false">ABS(H84)</f>
        <v>66.6800000000001</v>
      </c>
      <c r="L84" s="11" t="n">
        <f aca="false">RANK(K84,$K$30:$K$95,0)</f>
        <v>57</v>
      </c>
    </row>
    <row r="85" customFormat="false" ht="15" hidden="false" customHeight="false" outlineLevel="0" collapsed="false">
      <c r="E85" s="11" t="str">
        <f aca="false">Service_List!$A$57</f>
        <v>Service Catalog($)</v>
      </c>
      <c r="F85" s="13" t="n">
        <f aca="false">IFERROR(INDEX(Service_List!$57:57,1,$B$28),0)</f>
        <v>3104.831</v>
      </c>
      <c r="G85" s="13" t="n">
        <f aca="false">IFERROR(INDEX(Service_List!$57:57,1,$B$29),0)</f>
        <v>3226.273</v>
      </c>
      <c r="H85" s="13" t="n">
        <f aca="false">F85-G85</f>
        <v>-121.442</v>
      </c>
      <c r="I85" s="14" t="n">
        <f aca="false">IFERROR(H85/G85,0)</f>
        <v>-0.0376415758988778</v>
      </c>
      <c r="J85" s="11" t="n">
        <f aca="false">RANK(F85,$F$30:$F$95,0)</f>
        <v>51</v>
      </c>
      <c r="K85" s="13" t="n">
        <f aca="false">ABS(H85)</f>
        <v>121.442</v>
      </c>
      <c r="L85" s="11" t="n">
        <f aca="false">RANK(K85,$K$30:$K$95,0)</f>
        <v>52</v>
      </c>
    </row>
    <row r="86" customFormat="false" ht="15" hidden="false" customHeight="false" outlineLevel="0" collapsed="false">
      <c r="E86" s="11" t="str">
        <f aca="false">Service_List!$A$58</f>
        <v>Shield($)</v>
      </c>
      <c r="F86" s="13" t="n">
        <f aca="false">IFERROR(INDEX(Service_List!$58:58,1,$B$28),0)</f>
        <v>8275.245</v>
      </c>
      <c r="G86" s="13" t="n">
        <f aca="false">IFERROR(INDEX(Service_List!$58:58,1,$B$29),0)</f>
        <v>10595.86</v>
      </c>
      <c r="H86" s="13" t="n">
        <f aca="false">F86-G86</f>
        <v>-2320.615</v>
      </c>
      <c r="I86" s="14" t="n">
        <f aca="false">IFERROR(H86/G86,0)</f>
        <v>-0.219011481842908</v>
      </c>
      <c r="J86" s="11" t="n">
        <f aca="false">RANK(F86,$F$30:$F$95,0)</f>
        <v>30</v>
      </c>
      <c r="K86" s="13" t="n">
        <f aca="false">ABS(H86)</f>
        <v>2320.615</v>
      </c>
      <c r="L86" s="11" t="n">
        <f aca="false">RANK(K86,$K$30:$K$95,0)</f>
        <v>2</v>
      </c>
    </row>
    <row r="87" customFormat="false" ht="15" hidden="false" customHeight="false" outlineLevel="0" collapsed="false">
      <c r="E87" s="11" t="str">
        <f aca="false">Service_List!$A$59</f>
        <v>Step Functions($)</v>
      </c>
      <c r="F87" s="13" t="n">
        <f aca="false">IFERROR(INDEX(Service_List!$59:59,1,$B$28),0)</f>
        <v>5494.893</v>
      </c>
      <c r="G87" s="13" t="n">
        <f aca="false">IFERROR(INDEX(Service_List!$59:59,1,$B$29),0)</f>
        <v>5991.513</v>
      </c>
      <c r="H87" s="13" t="n">
        <f aca="false">F87-G87</f>
        <v>-496.62</v>
      </c>
      <c r="I87" s="14" t="n">
        <f aca="false">IFERROR(H87/G87,0)</f>
        <v>-0.0828872440066474</v>
      </c>
      <c r="J87" s="11" t="n">
        <f aca="false">RANK(F87,$F$30:$F$95,0)</f>
        <v>41</v>
      </c>
      <c r="K87" s="13" t="n">
        <f aca="false">ABS(H87)</f>
        <v>496.62</v>
      </c>
      <c r="L87" s="11" t="n">
        <f aca="false">RANK(K87,$K$30:$K$95,0)</f>
        <v>31</v>
      </c>
    </row>
    <row r="88" customFormat="false" ht="15" hidden="false" customHeight="false" outlineLevel="0" collapsed="false">
      <c r="E88" s="11" t="str">
        <f aca="false">Service_List!$A$60</f>
        <v>Systems Manager($)</v>
      </c>
      <c r="F88" s="13" t="n">
        <f aca="false">IFERROR(INDEX(Service_List!$60:60,1,$B$28),0)</f>
        <v>1148.036</v>
      </c>
      <c r="G88" s="13" t="n">
        <f aca="false">IFERROR(INDEX(Service_List!$60:60,1,$B$29),0)</f>
        <v>1353.698</v>
      </c>
      <c r="H88" s="13" t="n">
        <f aca="false">F88-G88</f>
        <v>-205.662</v>
      </c>
      <c r="I88" s="14" t="n">
        <f aca="false">IFERROR(H88/G88,0)</f>
        <v>-0.151926057362868</v>
      </c>
      <c r="J88" s="11" t="n">
        <f aca="false">RANK(F88,$F$30:$F$95,0)</f>
        <v>61</v>
      </c>
      <c r="K88" s="13" t="n">
        <f aca="false">ABS(H88)</f>
        <v>205.662</v>
      </c>
      <c r="L88" s="11" t="n">
        <f aca="false">RANK(K88,$K$30:$K$95,0)</f>
        <v>46</v>
      </c>
    </row>
    <row r="89" customFormat="false" ht="15" hidden="false" customHeight="false" outlineLevel="0" collapsed="false">
      <c r="E89" s="11" t="str">
        <f aca="false">Service_List!$A$61</f>
        <v>Textract($)</v>
      </c>
      <c r="F89" s="13" t="n">
        <f aca="false">IFERROR(INDEX(Service_List!$61:61,1,$B$28),0)</f>
        <v>1502.422</v>
      </c>
      <c r="G89" s="13" t="n">
        <f aca="false">IFERROR(INDEX(Service_List!$61:61,1,$B$29),0)</f>
        <v>1346.067</v>
      </c>
      <c r="H89" s="13" t="n">
        <f aca="false">F89-G89</f>
        <v>156.355</v>
      </c>
      <c r="I89" s="14" t="n">
        <f aca="false">IFERROR(H89/G89,0)</f>
        <v>0.116156922352305</v>
      </c>
      <c r="J89" s="11" t="n">
        <f aca="false">RANK(F89,$F$30:$F$95,0)</f>
        <v>58</v>
      </c>
      <c r="K89" s="13" t="n">
        <f aca="false">ABS(H89)</f>
        <v>156.355</v>
      </c>
      <c r="L89" s="11" t="n">
        <f aca="false">RANK(K89,$K$30:$K$95,0)</f>
        <v>49</v>
      </c>
    </row>
    <row r="90" customFormat="false" ht="15" hidden="false" customHeight="false" outlineLevel="0" collapsed="false">
      <c r="E90" s="11" t="str">
        <f aca="false">Service_List!$A$62</f>
        <v>Transcribe($)</v>
      </c>
      <c r="F90" s="13" t="n">
        <f aca="false">IFERROR(INDEX(Service_List!$62:62,1,$B$28),0)</f>
        <v>11892.791</v>
      </c>
      <c r="G90" s="13" t="n">
        <f aca="false">IFERROR(INDEX(Service_List!$62:62,1,$B$29),0)</f>
        <v>12693.929</v>
      </c>
      <c r="H90" s="13" t="n">
        <f aca="false">F90-G90</f>
        <v>-801.138000000001</v>
      </c>
      <c r="I90" s="14" t="n">
        <f aca="false">IFERROR(H90/G90,0)</f>
        <v>-0.0631119017602825</v>
      </c>
      <c r="J90" s="11" t="n">
        <f aca="false">RANK(F90,$F$30:$F$95,0)</f>
        <v>9</v>
      </c>
      <c r="K90" s="13" t="n">
        <f aca="false">ABS(H90)</f>
        <v>801.138000000001</v>
      </c>
      <c r="L90" s="11" t="n">
        <f aca="false">RANK(K90,$K$30:$K$95,0)</f>
        <v>16</v>
      </c>
    </row>
    <row r="91" customFormat="false" ht="15" hidden="false" customHeight="false" outlineLevel="0" collapsed="false">
      <c r="E91" s="11" t="str">
        <f aca="false">Service_List!$A$63</f>
        <v>Transfer Family($)</v>
      </c>
      <c r="F91" s="13" t="n">
        <f aca="false">IFERROR(INDEX(Service_List!$63:63,1,$B$28),0)</f>
        <v>11086.39</v>
      </c>
      <c r="G91" s="13" t="n">
        <f aca="false">IFERROR(INDEX(Service_List!$63:63,1,$B$29),0)</f>
        <v>9604.208</v>
      </c>
      <c r="H91" s="13" t="n">
        <f aca="false">F91-G91</f>
        <v>1482.182</v>
      </c>
      <c r="I91" s="14" t="n">
        <f aca="false">IFERROR(H91/G91,0)</f>
        <v>0.154326311966588</v>
      </c>
      <c r="J91" s="11" t="n">
        <f aca="false">RANK(F91,$F$30:$F$95,0)</f>
        <v>15</v>
      </c>
      <c r="K91" s="13" t="n">
        <f aca="false">ABS(H91)</f>
        <v>1482.182</v>
      </c>
      <c r="L91" s="11" t="n">
        <f aca="false">RANK(K91,$K$30:$K$95,0)</f>
        <v>6</v>
      </c>
    </row>
    <row r="92" customFormat="false" ht="15" hidden="false" customHeight="false" outlineLevel="0" collapsed="false">
      <c r="E92" s="11" t="str">
        <f aca="false">Service_List!$A$64</f>
        <v>Translate($)</v>
      </c>
      <c r="F92" s="13" t="n">
        <f aca="false">IFERROR(INDEX(Service_List!$64:64,1,$B$28),0)</f>
        <v>11660.599</v>
      </c>
      <c r="G92" s="13" t="n">
        <f aca="false">IFERROR(INDEX(Service_List!$64:64,1,$B$29),0)</f>
        <v>12706.196</v>
      </c>
      <c r="H92" s="13" t="n">
        <f aca="false">F92-G92</f>
        <v>-1045.597</v>
      </c>
      <c r="I92" s="14" t="n">
        <f aca="false">IFERROR(H92/G92,0)</f>
        <v>-0.0822903251295667</v>
      </c>
      <c r="J92" s="11" t="n">
        <f aca="false">RANK(F92,$F$30:$F$95,0)</f>
        <v>11</v>
      </c>
      <c r="K92" s="13" t="n">
        <f aca="false">ABS(H92)</f>
        <v>1045.597</v>
      </c>
      <c r="L92" s="11" t="n">
        <f aca="false">RANK(K92,$K$30:$K$95,0)</f>
        <v>11</v>
      </c>
    </row>
    <row r="93" customFormat="false" ht="15" hidden="false" customHeight="false" outlineLevel="0" collapsed="false">
      <c r="E93" s="11" t="str">
        <f aca="false">Service_List!$A$65</f>
        <v>VPC($)</v>
      </c>
      <c r="F93" s="13" t="n">
        <f aca="false">IFERROR(INDEX(Service_List!$65:65,1,$B$28),0)</f>
        <v>3746.78</v>
      </c>
      <c r="G93" s="13" t="n">
        <f aca="false">IFERROR(INDEX(Service_List!$65:65,1,$B$29),0)</f>
        <v>3560.017</v>
      </c>
      <c r="H93" s="13" t="n">
        <f aca="false">F93-G93</f>
        <v>186.763</v>
      </c>
      <c r="I93" s="14" t="n">
        <f aca="false">IFERROR(H93/G93,0)</f>
        <v>0.0524612663366496</v>
      </c>
      <c r="J93" s="11" t="n">
        <f aca="false">RANK(F93,$F$30:$F$95,0)</f>
        <v>47</v>
      </c>
      <c r="K93" s="13" t="n">
        <f aca="false">ABS(H93)</f>
        <v>186.763</v>
      </c>
      <c r="L93" s="11" t="n">
        <f aca="false">RANK(K93,$K$30:$K$95,0)</f>
        <v>47</v>
      </c>
    </row>
    <row r="94" customFormat="false" ht="15" hidden="false" customHeight="false" outlineLevel="0" collapsed="false">
      <c r="E94" s="11" t="str">
        <f aca="false">Service_List!$A$66</f>
        <v>WAF($)</v>
      </c>
      <c r="F94" s="13" t="n">
        <f aca="false">IFERROR(INDEX(Service_List!$66:66,1,$B$28),0)</f>
        <v>12336.252</v>
      </c>
      <c r="G94" s="13" t="n">
        <f aca="false">IFERROR(INDEX(Service_List!$66:66,1,$B$29),0)</f>
        <v>11246.776</v>
      </c>
      <c r="H94" s="13" t="n">
        <f aca="false">F94-G94</f>
        <v>1089.476</v>
      </c>
      <c r="I94" s="14" t="n">
        <f aca="false">IFERROR(H94/G94,0)</f>
        <v>0.0968700719210555</v>
      </c>
      <c r="J94" s="11" t="n">
        <f aca="false">RANK(F94,$F$30:$F$95,0)</f>
        <v>8</v>
      </c>
      <c r="K94" s="13" t="n">
        <f aca="false">ABS(H94)</f>
        <v>1089.476</v>
      </c>
      <c r="L94" s="11" t="n">
        <f aca="false">RANK(K94,$K$30:$K$95,0)</f>
        <v>10</v>
      </c>
    </row>
    <row r="95" customFormat="false" ht="15" hidden="false" customHeight="false" outlineLevel="0" collapsed="false">
      <c r="E95" s="11" t="str">
        <f aca="false">Service_List!$A$67</f>
        <v>WorkSpaces($)</v>
      </c>
      <c r="F95" s="13" t="n">
        <f aca="false">IFERROR(INDEX(Service_List!$67:67,1,$B$28),0)</f>
        <v>5575.391</v>
      </c>
      <c r="G95" s="13" t="n">
        <f aca="false">IFERROR(INDEX(Service_List!$67:67,1,$B$29),0)</f>
        <v>5062.686</v>
      </c>
      <c r="H95" s="13" t="n">
        <f aca="false">F95-G95</f>
        <v>512.705</v>
      </c>
      <c r="I95" s="14" t="n">
        <f aca="false">IFERROR(H95/G95,0)</f>
        <v>0.101271340944313</v>
      </c>
      <c r="J95" s="11" t="n">
        <f aca="false">RANK(F95,$F$30:$F$95,0)</f>
        <v>39</v>
      </c>
      <c r="K95" s="13" t="n">
        <f aca="false">ABS(H95)</f>
        <v>512.705</v>
      </c>
      <c r="L95" s="11" t="n">
        <f aca="false">RANK(K95,$K$30:$K$95,0)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P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16"/>
    <col collapsed="false" customWidth="true" hidden="false" outlineLevel="0" max="12" min="12" style="0" width="3"/>
    <col collapsed="false" customWidth="true" hidden="false" outlineLevel="0" max="13" min="13" style="0" width="16"/>
    <col collapsed="false" customWidth="true" hidden="false" outlineLevel="0" max="14" min="14" style="0" width="3"/>
    <col collapsed="false" customWidth="true" hidden="false" outlineLevel="0" max="15" min="15" style="0" width="16"/>
    <col collapsed="false" customWidth="true" hidden="false" outlineLevel="0" max="16" min="16" style="0" width="3"/>
    <col collapsed="false" customWidth="true" hidden="false" outlineLevel="0" max="17" min="17" style="0" width="16"/>
    <col collapsed="false" customWidth="true" hidden="false" outlineLevel="0" max="18" min="18" style="0" width="3"/>
    <col collapsed="false" customWidth="true" hidden="false" outlineLevel="0" max="19" min="19" style="0" width="16"/>
    <col collapsed="false" customWidth="true" hidden="false" outlineLevel="0" max="20" min="20" style="0" width="3"/>
    <col collapsed="false" customWidth="true" hidden="false" outlineLevel="0" max="21" min="21" style="0" width="16"/>
    <col collapsed="false" customWidth="true" hidden="false" outlineLevel="0" max="22" min="22" style="0" width="3"/>
    <col collapsed="false" customWidth="true" hidden="false" outlineLevel="0" max="23" min="23" style="0" width="16"/>
    <col collapsed="false" customWidth="true" hidden="false" outlineLevel="0" max="24" min="24" style="0" width="3"/>
    <col collapsed="false" customWidth="true" hidden="false" outlineLevel="0" max="25" min="25" style="0" width="16"/>
    <col collapsed="false" customWidth="true" hidden="false" outlineLevel="0" max="26" min="26" style="0" width="3"/>
    <col collapsed="false" customWidth="true" hidden="false" outlineLevel="0" max="28" min="28" style="0" width="30"/>
    <col collapsed="false" customWidth="true" hidden="false" outlineLevel="0" max="47" min="29" style="0" width="13"/>
  </cols>
  <sheetData>
    <row r="1" customFormat="false" ht="39.75" hidden="false" customHeight="true" outlineLevel="0" collapsed="false">
      <c r="A1" s="15" t="s">
        <v>231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</row>
    <row r="2" customFormat="false" ht="18" hidden="false" customHeight="true" outlineLevel="0" collapsed="false">
      <c r="A2" s="17" t="s">
        <v>232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6"/>
      <c r="AB2" s="16" t="s">
        <v>0</v>
      </c>
      <c r="AC2" s="16" t="s">
        <v>233</v>
      </c>
      <c r="AD2" s="16" t="s">
        <v>218</v>
      </c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customFormat="false" ht="7.5" hidden="false" customHeight="true" outlineLevel="0" collapsed="false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8" t="str">
        <f aca="false">Chart_Engine!O30</f>
        <v>Batch($)</v>
      </c>
      <c r="AC3" s="19" t="n">
        <f aca="false">Chart_Engine!P30</f>
        <v>15512.515</v>
      </c>
      <c r="AD3" s="19" t="n">
        <f aca="false">Chart_Engine!Q30</f>
        <v>16027.611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</row>
    <row r="4" customFormat="false" ht="21.75" hidden="false" customHeight="true" outlineLevel="0" collapsed="false">
      <c r="A4" s="16"/>
      <c r="B4" s="20" t="s">
        <v>234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16"/>
      <c r="AB4" s="18" t="str">
        <f aca="false">Chart_Engine!O31</f>
        <v>CodeBuild($)</v>
      </c>
      <c r="AC4" s="19" t="n">
        <f aca="false">Chart_Engine!P31</f>
        <v>15455.827</v>
      </c>
      <c r="AD4" s="19" t="n">
        <f aca="false">Chart_Engine!Q31</f>
        <v>14258.022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</row>
    <row r="5" customFormat="false" ht="25.5" hidden="false" customHeight="true" outlineLevel="0" collapsed="false">
      <c r="A5" s="16"/>
      <c r="B5" s="21" t="s">
        <v>235</v>
      </c>
      <c r="C5" s="21"/>
      <c r="D5" s="21"/>
      <c r="E5" s="22" t="s">
        <v>236</v>
      </c>
      <c r="F5" s="16"/>
      <c r="G5" s="21" t="s">
        <v>237</v>
      </c>
      <c r="H5" s="21"/>
      <c r="I5" s="21"/>
      <c r="J5" s="16"/>
      <c r="K5" s="22" t="s">
        <v>141</v>
      </c>
      <c r="L5" s="16"/>
      <c r="M5" s="21" t="s">
        <v>238</v>
      </c>
      <c r="N5" s="21"/>
      <c r="O5" s="21"/>
      <c r="P5" s="16"/>
      <c r="Q5" s="22" t="s">
        <v>140</v>
      </c>
      <c r="R5" s="16"/>
      <c r="S5" s="21" t="s">
        <v>239</v>
      </c>
      <c r="T5" s="21"/>
      <c r="U5" s="21"/>
      <c r="V5" s="16"/>
      <c r="W5" s="22" t="s">
        <v>240</v>
      </c>
      <c r="X5" s="16"/>
      <c r="Y5" s="16"/>
      <c r="Z5" s="16"/>
      <c r="AA5" s="16"/>
      <c r="AB5" s="18" t="str">
        <f aca="false">Chart_Engine!O32</f>
        <v>Chime($)</v>
      </c>
      <c r="AC5" s="19" t="n">
        <f aca="false">Chart_Engine!P32</f>
        <v>15384.035</v>
      </c>
      <c r="AD5" s="19" t="n">
        <f aca="false">Chart_Engine!Q32</f>
        <v>15782.181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</row>
    <row r="6" customFormat="false" ht="9.75" hidden="false" customHeight="true" outlineLevel="0" collapsed="false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8" t="str">
        <f aca="false">Chart_Engine!O33</f>
        <v>DataSync($)</v>
      </c>
      <c r="AC6" s="19" t="n">
        <f aca="false">Chart_Engine!P33</f>
        <v>14365.916</v>
      </c>
      <c r="AD6" s="19" t="n">
        <f aca="false">Chart_Engine!Q33</f>
        <v>11053.966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customFormat="false" ht="9.75" hidden="false" customHeight="true" outlineLevel="0" collapsed="false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 t="str">
        <f aca="false">Chart_Engine!O34</f>
        <v>CloudFront($)</v>
      </c>
      <c r="AC7" s="19" t="n">
        <f aca="false">Chart_Engine!P34</f>
        <v>14222.876</v>
      </c>
      <c r="AD7" s="19" t="n">
        <f aca="false">Chart_Engine!Q34</f>
        <v>13285.737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customFormat="false" ht="18" hidden="false" customHeight="true" outlineLevel="0" collapsed="false">
      <c r="A8" s="16"/>
      <c r="B8" s="23" t="s">
        <v>241</v>
      </c>
      <c r="C8" s="23"/>
      <c r="D8" s="23"/>
      <c r="E8" s="23"/>
      <c r="F8" s="16"/>
      <c r="G8" s="24" t="s">
        <v>242</v>
      </c>
      <c r="H8" s="24"/>
      <c r="I8" s="24"/>
      <c r="J8" s="24"/>
      <c r="K8" s="16"/>
      <c r="L8" s="25" t="s">
        <v>243</v>
      </c>
      <c r="M8" s="25"/>
      <c r="N8" s="25"/>
      <c r="O8" s="25"/>
      <c r="P8" s="16"/>
      <c r="Q8" s="26" t="s">
        <v>244</v>
      </c>
      <c r="R8" s="26"/>
      <c r="S8" s="26"/>
      <c r="T8" s="26"/>
      <c r="U8" s="16"/>
      <c r="V8" s="23" t="s">
        <v>245</v>
      </c>
      <c r="W8" s="23"/>
      <c r="X8" s="23"/>
      <c r="Y8" s="23"/>
      <c r="Z8" s="16"/>
      <c r="AA8" s="16"/>
      <c r="AB8" s="18" t="str">
        <f aca="false">Chart_Engine!O35</f>
        <v>SageMaker($)</v>
      </c>
      <c r="AC8" s="19" t="n">
        <f aca="false">Chart_Engine!P35</f>
        <v>14013.558</v>
      </c>
      <c r="AD8" s="19" t="n">
        <f aca="false">Chart_Engine!Q35</f>
        <v>13993.823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</row>
    <row r="9" customFormat="false" ht="36" hidden="false" customHeight="true" outlineLevel="0" collapsed="false">
      <c r="A9" s="16"/>
      <c r="B9" s="27" t="n">
        <f aca="false">IF($E$5="Acct1",SUMPRODUCT((Acct1_Raw!$A$3:$A$26=$K$5)*Acct1_Raw!$B$3:$BO$26),IF($E$5="Acct2",SUMPRODUCT((Acct2_Raw!$A$3:$A$26=$K$5)*Acct2_Raw!$B$3:$BO$26),SUMPRODUCT((Acct1_Raw!$A$3:$A$26=$K$5)*Acct1_Raw!$B$3:$BO$26)+SUMPRODUCT((Acct2_Raw!$A$3:$A$26=$K$5)*Acct2_Raw!$B$3:$BO$26)))</f>
        <v>472288.498</v>
      </c>
      <c r="C9" s="27"/>
      <c r="D9" s="27"/>
      <c r="E9" s="27"/>
      <c r="F9" s="16"/>
      <c r="G9" s="28" t="n">
        <f aca="false">IF($E$5="Acct1",SUMPRODUCT((Acct1_Raw!$A$3:$A$26=$Q$5)*Acct1_Raw!$B$3:$BO$26),IF($E$5="Acct2",SUMPRODUCT((Acct2_Raw!$A$3:$A$26=$Q$5)*Acct2_Raw!$B$3:$BO$26),SUMPRODUCT((Acct1_Raw!$A$3:$A$26=$Q$5)*Acct1_Raw!$B$3:$BO$26)+SUMPRODUCT((Acct2_Raw!$A$3:$A$26=$Q$5)*Acct2_Raw!$B$3:$BO$26)))</f>
        <v>474735.204</v>
      </c>
      <c r="H9" s="28"/>
      <c r="I9" s="28"/>
      <c r="J9" s="28"/>
      <c r="K9" s="16"/>
      <c r="L9" s="29" t="n">
        <f aca="false">B9-G9</f>
        <v>-2446.70600000001</v>
      </c>
      <c r="M9" s="29"/>
      <c r="N9" s="29"/>
      <c r="O9" s="29"/>
      <c r="P9" s="16"/>
      <c r="Q9" s="30" t="n">
        <f aca="false">IFERROR((B9-G9)/G9,0)</f>
        <v>-0.00515383308291585</v>
      </c>
      <c r="R9" s="30"/>
      <c r="S9" s="30"/>
      <c r="T9" s="30"/>
      <c r="U9" s="16"/>
      <c r="V9" s="31" t="n">
        <f aca="false">66</f>
        <v>66</v>
      </c>
      <c r="W9" s="31"/>
      <c r="X9" s="31"/>
      <c r="Y9" s="31"/>
      <c r="Z9" s="16"/>
      <c r="AA9" s="16"/>
      <c r="AB9" s="18" t="str">
        <f aca="false">Chart_Engine!O36</f>
        <v>GuardDuty($)</v>
      </c>
      <c r="AC9" s="19" t="n">
        <f aca="false">Chart_Engine!P36</f>
        <v>13414.014</v>
      </c>
      <c r="AD9" s="19" t="n">
        <f aca="false">Chart_Engine!Q36</f>
        <v>13009.142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</row>
    <row r="10" customFormat="false" ht="15.75" hidden="false" customHeight="true" outlineLevel="0" collapsed="false">
      <c r="A10" s="16"/>
      <c r="B10" s="32" t="str">
        <f aca="false">TEXT($K$5,"mmm-yy")&amp;"  |  "&amp;$E$5</f>
        <v>Jan-26  |  Acct1</v>
      </c>
      <c r="C10" s="32"/>
      <c r="D10" s="32"/>
      <c r="E10" s="32"/>
      <c r="F10" s="16"/>
      <c r="G10" s="33" t="str">
        <f aca="false">TEXT($Q$5,"mmm-yy")&amp;"  |  "&amp;$E$5</f>
        <v>Dec-25  |  Acct1</v>
      </c>
      <c r="H10" s="33"/>
      <c r="I10" s="33"/>
      <c r="J10" s="33"/>
      <c r="K10" s="16"/>
      <c r="L10" s="34" t="s">
        <v>246</v>
      </c>
      <c r="M10" s="34"/>
      <c r="N10" s="34"/>
      <c r="O10" s="34"/>
      <c r="P10" s="16"/>
      <c r="Q10" s="35" t="s">
        <v>246</v>
      </c>
      <c r="R10" s="35"/>
      <c r="S10" s="35"/>
      <c r="T10" s="35"/>
      <c r="U10" s="16"/>
      <c r="V10" s="32" t="s">
        <v>247</v>
      </c>
      <c r="W10" s="32"/>
      <c r="X10" s="32"/>
      <c r="Y10" s="32"/>
      <c r="Z10" s="16"/>
      <c r="AA10" s="16"/>
      <c r="AB10" s="18" t="str">
        <f aca="false">Chart_Engine!O37</f>
        <v>WAF($)</v>
      </c>
      <c r="AC10" s="19" t="n">
        <f aca="false">Chart_Engine!P37</f>
        <v>12336.252</v>
      </c>
      <c r="AD10" s="19" t="n">
        <f aca="false">Chart_Engine!Q37</f>
        <v>11246.776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customFormat="false" ht="9.75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8" t="str">
        <f aca="false">Chart_Engine!O38</f>
        <v>Transcribe($)</v>
      </c>
      <c r="AC11" s="19" t="n">
        <f aca="false">Chart_Engine!P38</f>
        <v>11892.791</v>
      </c>
      <c r="AD11" s="19" t="n">
        <f aca="false">Chart_Engine!Q38</f>
        <v>12693.929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</row>
    <row r="12" customFormat="false" ht="21.75" hidden="false" customHeight="true" outlineLevel="0" collapsed="false">
      <c r="A12" s="16"/>
      <c r="B12" s="36" t="s">
        <v>248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16"/>
      <c r="AA12" s="16"/>
      <c r="AB12" s="18" t="str">
        <f aca="false">Chart_Engine!O39</f>
        <v>API Gateway($)</v>
      </c>
      <c r="AC12" s="19" t="n">
        <f aca="false">Chart_Engine!P39</f>
        <v>11724.125</v>
      </c>
      <c r="AD12" s="19" t="n">
        <f aca="false">Chart_Engine!Q39</f>
        <v>11062.893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customFormat="false" ht="19.5" hidden="false" customHeight="true" outlineLevel="0" collapsed="false">
      <c r="A13" s="16"/>
      <c r="B13" s="37" t="s">
        <v>249</v>
      </c>
      <c r="C13" s="24" t="s">
        <v>0</v>
      </c>
      <c r="D13" s="24"/>
      <c r="E13" s="24"/>
      <c r="F13" s="24" t="s">
        <v>250</v>
      </c>
      <c r="G13" s="24"/>
      <c r="H13" s="24" t="s">
        <v>251</v>
      </c>
      <c r="I13" s="24"/>
      <c r="J13" s="24" t="s">
        <v>252</v>
      </c>
      <c r="K13" s="24"/>
      <c r="L13" s="24" t="s">
        <v>253</v>
      </c>
      <c r="M13" s="24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8" t="str">
        <f aca="false">Chart_Engine!O40</f>
        <v>Translate($)</v>
      </c>
      <c r="AC13" s="19" t="n">
        <f aca="false">Chart_Engine!P40</f>
        <v>11660.599</v>
      </c>
      <c r="AD13" s="19" t="n">
        <f aca="false">Chart_Engine!Q40</f>
        <v>12706.196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  <row r="14" customFormat="false" ht="15" hidden="false" customHeight="true" outlineLevel="0" collapsed="false">
      <c r="A14" s="16"/>
      <c r="B14" s="38" t="n">
        <v>1</v>
      </c>
      <c r="C14" s="39" t="str">
        <f aca="false">IF(1&lt;=Dashboard!$W$5,Chart_Engine!O30,"")</f>
        <v>Batch($)</v>
      </c>
      <c r="D14" s="39"/>
      <c r="E14" s="39"/>
      <c r="F14" s="40" t="n">
        <f aca="false">IF(1&lt;=Dashboard!$W$5,Chart_Engine!P30,0)</f>
        <v>15512.515</v>
      </c>
      <c r="G14" s="40"/>
      <c r="H14" s="40" t="n">
        <f aca="false">IF(1&lt;=Dashboard!$W$5,Chart_Engine!Q30,0)</f>
        <v>16027.611</v>
      </c>
      <c r="I14" s="40"/>
      <c r="J14" s="41" t="n">
        <f aca="false">IF(1&lt;=Dashboard!$W$5,Chart_Engine!R30,0)</f>
        <v>-515.096000000001</v>
      </c>
      <c r="K14" s="41"/>
      <c r="L14" s="42" t="n">
        <f aca="false">IF(1&lt;=Dashboard!$W$5,Chart_Engine!S30,0)</f>
        <v>-0.0321380397864661</v>
      </c>
      <c r="M14" s="42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 t="str">
        <f aca="false">Chart_Engine!O41</f>
        <v>Firehose($)</v>
      </c>
      <c r="AC14" s="19" t="n">
        <f aca="false">Chart_Engine!P41</f>
        <v>11568.293</v>
      </c>
      <c r="AD14" s="19" t="n">
        <f aca="false">Chart_Engine!Q41</f>
        <v>11179.972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customFormat="false" ht="15" hidden="false" customHeight="true" outlineLevel="0" collapsed="false">
      <c r="A15" s="16"/>
      <c r="B15" s="43" t="n">
        <v>2</v>
      </c>
      <c r="C15" s="44" t="str">
        <f aca="false">IF(2&lt;=Dashboard!$W$5,Chart_Engine!O31,"")</f>
        <v>CodeBuild($)</v>
      </c>
      <c r="D15" s="44"/>
      <c r="E15" s="44"/>
      <c r="F15" s="45" t="n">
        <f aca="false">IF(2&lt;=Dashboard!$W$5,Chart_Engine!P31,0)</f>
        <v>15455.827</v>
      </c>
      <c r="G15" s="45"/>
      <c r="H15" s="45" t="n">
        <f aca="false">IF(2&lt;=Dashboard!$W$5,Chart_Engine!Q31,0)</f>
        <v>14258.022</v>
      </c>
      <c r="I15" s="45"/>
      <c r="J15" s="46" t="n">
        <f aca="false">IF(2&lt;=Dashboard!$W$5,Chart_Engine!R31,0)</f>
        <v>1197.805</v>
      </c>
      <c r="K15" s="46"/>
      <c r="L15" s="47" t="n">
        <f aca="false">IF(2&lt;=Dashboard!$W$5,Chart_Engine!S31,0)</f>
        <v>0.0840091984708677</v>
      </c>
      <c r="M15" s="47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8" t="str">
        <f aca="false">Chart_Engine!O42</f>
        <v>Athena($)</v>
      </c>
      <c r="AC15" s="19" t="n">
        <f aca="false">Chart_Engine!P42</f>
        <v>11300.897</v>
      </c>
      <c r="AD15" s="19" t="n">
        <f aca="false">Chart_Engine!Q42</f>
        <v>10423.939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</row>
    <row r="16" customFormat="false" ht="15" hidden="false" customHeight="true" outlineLevel="0" collapsed="false">
      <c r="A16" s="16"/>
      <c r="B16" s="38" t="n">
        <v>3</v>
      </c>
      <c r="C16" s="39" t="str">
        <f aca="false">IF(3&lt;=Dashboard!$W$5,Chart_Engine!O32,"")</f>
        <v>Chime($)</v>
      </c>
      <c r="D16" s="39"/>
      <c r="E16" s="39"/>
      <c r="F16" s="40" t="n">
        <f aca="false">IF(3&lt;=Dashboard!$W$5,Chart_Engine!P32,0)</f>
        <v>15384.035</v>
      </c>
      <c r="G16" s="40"/>
      <c r="H16" s="40" t="n">
        <f aca="false">IF(3&lt;=Dashboard!$W$5,Chart_Engine!Q32,0)</f>
        <v>15782.181</v>
      </c>
      <c r="I16" s="40"/>
      <c r="J16" s="41" t="n">
        <f aca="false">IF(3&lt;=Dashboard!$W$5,Chart_Engine!R32,0)</f>
        <v>-398.146000000001</v>
      </c>
      <c r="K16" s="41"/>
      <c r="L16" s="42" t="n">
        <f aca="false">IF(3&lt;=Dashboard!$W$5,Chart_Engine!S32,0)</f>
        <v>-0.0252275651888672</v>
      </c>
      <c r="M16" s="42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8" t="str">
        <f aca="false">Chart_Engine!O43</f>
        <v>AppSync($)</v>
      </c>
      <c r="AC16" s="19" t="n">
        <f aca="false">Chart_Engine!P43</f>
        <v>11093.646</v>
      </c>
      <c r="AD16" s="19" t="n">
        <f aca="false">Chart_Engine!Q43</f>
        <v>10171.923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customFormat="false" ht="15" hidden="false" customHeight="true" outlineLevel="0" collapsed="false">
      <c r="A17" s="16"/>
      <c r="B17" s="43" t="n">
        <v>4</v>
      </c>
      <c r="C17" s="44" t="str">
        <f aca="false">IF(4&lt;=Dashboard!$W$5,Chart_Engine!O33,"")</f>
        <v>DataSync($)</v>
      </c>
      <c r="D17" s="44"/>
      <c r="E17" s="44"/>
      <c r="F17" s="45" t="n">
        <f aca="false">IF(4&lt;=Dashboard!$W$5,Chart_Engine!P33,0)</f>
        <v>14365.916</v>
      </c>
      <c r="G17" s="45"/>
      <c r="H17" s="45" t="n">
        <f aca="false">IF(4&lt;=Dashboard!$W$5,Chart_Engine!Q33,0)</f>
        <v>11053.966</v>
      </c>
      <c r="I17" s="45"/>
      <c r="J17" s="46" t="n">
        <f aca="false">IF(4&lt;=Dashboard!$W$5,Chart_Engine!R33,0)</f>
        <v>3311.95</v>
      </c>
      <c r="K17" s="46"/>
      <c r="L17" s="47" t="n">
        <f aca="false">IF(4&lt;=Dashboard!$W$5,Chart_Engine!S33,0)</f>
        <v>0.29961644535545</v>
      </c>
      <c r="M17" s="47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8" t="str">
        <f aca="false">Chart_Engine!O44</f>
        <v>Transfer Family($)</v>
      </c>
      <c r="AC17" s="19" t="n">
        <f aca="false">Chart_Engine!P44</f>
        <v>11086.39</v>
      </c>
      <c r="AD17" s="19" t="n">
        <f aca="false">Chart_Engine!Q44</f>
        <v>9604.208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customFormat="false" ht="15" hidden="false" customHeight="true" outlineLevel="0" collapsed="false">
      <c r="A18" s="16"/>
      <c r="B18" s="38" t="n">
        <v>5</v>
      </c>
      <c r="C18" s="39" t="str">
        <f aca="false">IF(5&lt;=Dashboard!$W$5,Chart_Engine!O34,"")</f>
        <v>CloudFront($)</v>
      </c>
      <c r="D18" s="39"/>
      <c r="E18" s="39"/>
      <c r="F18" s="40" t="n">
        <f aca="false">IF(5&lt;=Dashboard!$W$5,Chart_Engine!P34,0)</f>
        <v>14222.876</v>
      </c>
      <c r="G18" s="40"/>
      <c r="H18" s="40" t="n">
        <f aca="false">IF(5&lt;=Dashboard!$W$5,Chart_Engine!Q34,0)</f>
        <v>13285.737</v>
      </c>
      <c r="I18" s="40"/>
      <c r="J18" s="41" t="n">
        <f aca="false">IF(5&lt;=Dashboard!$W$5,Chart_Engine!R34,0)</f>
        <v>937.139000000001</v>
      </c>
      <c r="K18" s="41"/>
      <c r="L18" s="42" t="n">
        <f aca="false">IF(5&lt;=Dashboard!$W$5,Chart_Engine!S34,0)</f>
        <v>0.0705372234901234</v>
      </c>
      <c r="M18" s="42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customFormat="false" ht="15" hidden="false" customHeight="true" outlineLevel="0" collapsed="false">
      <c r="A19" s="16"/>
      <c r="B19" s="43" t="n">
        <v>6</v>
      </c>
      <c r="C19" s="44" t="str">
        <f aca="false">IF(6&lt;=Dashboard!$W$5,Chart_Engine!O35,"")</f>
        <v>SageMaker($)</v>
      </c>
      <c r="D19" s="44"/>
      <c r="E19" s="44"/>
      <c r="F19" s="45" t="n">
        <f aca="false">IF(6&lt;=Dashboard!$W$5,Chart_Engine!P35,0)</f>
        <v>14013.558</v>
      </c>
      <c r="G19" s="45"/>
      <c r="H19" s="45" t="n">
        <f aca="false">IF(6&lt;=Dashboard!$W$5,Chart_Engine!Q35,0)</f>
        <v>13993.823</v>
      </c>
      <c r="I19" s="45"/>
      <c r="J19" s="46" t="n">
        <f aca="false">IF(6&lt;=Dashboard!$W$5,Chart_Engine!R35,0)</f>
        <v>19.7350000000006</v>
      </c>
      <c r="K19" s="46"/>
      <c r="L19" s="47" t="n">
        <f aca="false">IF(6&lt;=Dashboard!$W$5,Chart_Engine!S35,0)</f>
        <v>0.00141026508624559</v>
      </c>
      <c r="M19" s="47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 t="s">
        <v>0</v>
      </c>
      <c r="AC19" s="16" t="s">
        <v>254</v>
      </c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</row>
    <row r="20" customFormat="false" ht="15" hidden="false" customHeight="true" outlineLevel="0" collapsed="false">
      <c r="A20" s="16"/>
      <c r="B20" s="38" t="n">
        <v>7</v>
      </c>
      <c r="C20" s="39" t="str">
        <f aca="false">IF(7&lt;=Dashboard!$W$5,Chart_Engine!O36,"")</f>
        <v>GuardDuty($)</v>
      </c>
      <c r="D20" s="39"/>
      <c r="E20" s="39"/>
      <c r="F20" s="40" t="n">
        <f aca="false">IF(7&lt;=Dashboard!$W$5,Chart_Engine!P36,0)</f>
        <v>13414.014</v>
      </c>
      <c r="G20" s="40"/>
      <c r="H20" s="40" t="n">
        <f aca="false">IF(7&lt;=Dashboard!$W$5,Chart_Engine!Q36,0)</f>
        <v>13009.142</v>
      </c>
      <c r="I20" s="40"/>
      <c r="J20" s="41" t="n">
        <f aca="false">IF(7&lt;=Dashboard!$W$5,Chart_Engine!R36,0)</f>
        <v>404.871999999999</v>
      </c>
      <c r="K20" s="41"/>
      <c r="L20" s="42" t="n">
        <f aca="false">IF(7&lt;=Dashboard!$W$5,Chart_Engine!S36,0)</f>
        <v>0.0311221139718514</v>
      </c>
      <c r="M20" s="42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 t="str">
        <f aca="false">Chart_Engine!V30</f>
        <v>DataSync($)</v>
      </c>
      <c r="AC20" s="19" t="n">
        <f aca="false">Chart_Engine!Y30</f>
        <v>3311.95</v>
      </c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  <row r="21" customFormat="false" ht="15" hidden="false" customHeight="true" outlineLevel="0" collapsed="false">
      <c r="A21" s="16"/>
      <c r="B21" s="43" t="n">
        <v>8</v>
      </c>
      <c r="C21" s="44" t="str">
        <f aca="false">IF(8&lt;=Dashboard!$W$5,Chart_Engine!O37,"")</f>
        <v>WAF($)</v>
      </c>
      <c r="D21" s="44"/>
      <c r="E21" s="44"/>
      <c r="F21" s="45" t="n">
        <f aca="false">IF(8&lt;=Dashboard!$W$5,Chart_Engine!P37,0)</f>
        <v>12336.252</v>
      </c>
      <c r="G21" s="45"/>
      <c r="H21" s="45" t="n">
        <f aca="false">IF(8&lt;=Dashboard!$W$5,Chart_Engine!Q37,0)</f>
        <v>11246.776</v>
      </c>
      <c r="I21" s="45"/>
      <c r="J21" s="46" t="n">
        <f aca="false">IF(8&lt;=Dashboard!$W$5,Chart_Engine!R37,0)</f>
        <v>1089.476</v>
      </c>
      <c r="K21" s="46"/>
      <c r="L21" s="47" t="n">
        <f aca="false">IF(8&lt;=Dashboard!$W$5,Chart_Engine!S37,0)</f>
        <v>0.0968700719210555</v>
      </c>
      <c r="M21" s="47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8" t="str">
        <f aca="false">Chart_Engine!V31</f>
        <v>Shield($)</v>
      </c>
      <c r="AC21" s="19" t="n">
        <f aca="false">Chart_Engine!Y31</f>
        <v>-2320.615</v>
      </c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</row>
    <row r="22" customFormat="false" ht="15" hidden="false" customHeight="true" outlineLevel="0" collapsed="false">
      <c r="A22" s="16"/>
      <c r="B22" s="38" t="n">
        <v>9</v>
      </c>
      <c r="C22" s="39" t="str">
        <f aca="false">IF(9&lt;=Dashboard!$W$5,Chart_Engine!O38,"")</f>
        <v>Transcribe($)</v>
      </c>
      <c r="D22" s="39"/>
      <c r="E22" s="39"/>
      <c r="F22" s="40" t="n">
        <f aca="false">IF(9&lt;=Dashboard!$W$5,Chart_Engine!P38,0)</f>
        <v>11892.791</v>
      </c>
      <c r="G22" s="40"/>
      <c r="H22" s="40" t="n">
        <f aca="false">IF(9&lt;=Dashboard!$W$5,Chart_Engine!Q38,0)</f>
        <v>12693.929</v>
      </c>
      <c r="I22" s="40"/>
      <c r="J22" s="41" t="n">
        <f aca="false">IF(9&lt;=Dashboard!$W$5,Chart_Engine!R38,0)</f>
        <v>-801.138000000001</v>
      </c>
      <c r="K22" s="41"/>
      <c r="L22" s="42" t="n">
        <f aca="false">IF(9&lt;=Dashboard!$W$5,Chart_Engine!S38,0)</f>
        <v>-0.0631119017602825</v>
      </c>
      <c r="M22" s="42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8" t="str">
        <f aca="false">Chart_Engine!V32</f>
        <v>IAM($)</v>
      </c>
      <c r="AC22" s="19" t="n">
        <f aca="false">Chart_Engine!Y32</f>
        <v>-1951.953</v>
      </c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customFormat="false" ht="15" hidden="false" customHeight="true" outlineLevel="0" collapsed="false">
      <c r="A23" s="16"/>
      <c r="B23" s="43" t="n">
        <v>10</v>
      </c>
      <c r="C23" s="44" t="str">
        <f aca="false">IF(10&lt;=Dashboard!$W$5,Chart_Engine!O39,"")</f>
        <v>API Gateway($)</v>
      </c>
      <c r="D23" s="44"/>
      <c r="E23" s="44"/>
      <c r="F23" s="45" t="n">
        <f aca="false">IF(10&lt;=Dashboard!$W$5,Chart_Engine!P39,0)</f>
        <v>11724.125</v>
      </c>
      <c r="G23" s="45"/>
      <c r="H23" s="45" t="n">
        <f aca="false">IF(10&lt;=Dashboard!$W$5,Chart_Engine!Q39,0)</f>
        <v>11062.893</v>
      </c>
      <c r="I23" s="45"/>
      <c r="J23" s="46" t="n">
        <f aca="false">IF(10&lt;=Dashboard!$W$5,Chart_Engine!R39,0)</f>
        <v>661.232</v>
      </c>
      <c r="K23" s="46"/>
      <c r="L23" s="47" t="n">
        <f aca="false">IF(10&lt;=Dashboard!$W$5,Chart_Engine!S39,0)</f>
        <v>0.0597702608169491</v>
      </c>
      <c r="M23" s="47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8" t="str">
        <f aca="false">Chart_Engine!V33</f>
        <v>CodeDeploy($)</v>
      </c>
      <c r="AC23" s="19" t="n">
        <f aca="false">Chart_Engine!Y33</f>
        <v>-1887.547</v>
      </c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</row>
    <row r="24" customFormat="false" ht="15" hidden="false" customHeight="true" outlineLevel="0" collapsed="false">
      <c r="A24" s="16"/>
      <c r="B24" s="38" t="n">
        <v>11</v>
      </c>
      <c r="C24" s="39" t="str">
        <f aca="false">IF(11&lt;=Dashboard!$W$5,Chart_Engine!O40,"")</f>
        <v>Translate($)</v>
      </c>
      <c r="D24" s="39"/>
      <c r="E24" s="39"/>
      <c r="F24" s="40" t="n">
        <f aca="false">IF(11&lt;=Dashboard!$W$5,Chart_Engine!P40,0)</f>
        <v>11660.599</v>
      </c>
      <c r="G24" s="40"/>
      <c r="H24" s="40" t="n">
        <f aca="false">IF(11&lt;=Dashboard!$W$5,Chart_Engine!Q40,0)</f>
        <v>12706.196</v>
      </c>
      <c r="I24" s="40"/>
      <c r="J24" s="41" t="n">
        <f aca="false">IF(11&lt;=Dashboard!$W$5,Chart_Engine!R40,0)</f>
        <v>-1045.597</v>
      </c>
      <c r="K24" s="41"/>
      <c r="L24" s="42" t="n">
        <f aca="false">IF(11&lt;=Dashboard!$W$5,Chart_Engine!S40,0)</f>
        <v>-0.0822903251295667</v>
      </c>
      <c r="M24" s="42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8" t="str">
        <f aca="false">Chart_Engine!V34</f>
        <v>CodeCommit($)</v>
      </c>
      <c r="AC24" s="19" t="n">
        <f aca="false">Chart_Engine!Y34</f>
        <v>-1821.673</v>
      </c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customFormat="false" ht="15" hidden="false" customHeight="true" outlineLevel="0" collapsed="false">
      <c r="A25" s="16"/>
      <c r="B25" s="43" t="n">
        <v>12</v>
      </c>
      <c r="C25" s="44" t="str">
        <f aca="false">IF(12&lt;=Dashboard!$W$5,Chart_Engine!O41,"")</f>
        <v>Firehose($)</v>
      </c>
      <c r="D25" s="44"/>
      <c r="E25" s="44"/>
      <c r="F25" s="45" t="n">
        <f aca="false">IF(12&lt;=Dashboard!$W$5,Chart_Engine!P41,0)</f>
        <v>11568.293</v>
      </c>
      <c r="G25" s="45"/>
      <c r="H25" s="45" t="n">
        <f aca="false">IF(12&lt;=Dashboard!$W$5,Chart_Engine!Q41,0)</f>
        <v>11179.972</v>
      </c>
      <c r="I25" s="45"/>
      <c r="J25" s="46" t="n">
        <f aca="false">IF(12&lt;=Dashboard!$W$5,Chart_Engine!R41,0)</f>
        <v>388.321</v>
      </c>
      <c r="K25" s="46"/>
      <c r="L25" s="47" t="n">
        <f aca="false">IF(12&lt;=Dashboard!$W$5,Chart_Engine!S41,0)</f>
        <v>0.0347336290287668</v>
      </c>
      <c r="M25" s="47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8" t="str">
        <f aca="false">Chart_Engine!V35</f>
        <v>Transfer Family($)</v>
      </c>
      <c r="AC25" s="19" t="n">
        <f aca="false">Chart_Engine!Y35</f>
        <v>1482.182</v>
      </c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</row>
    <row r="26" customFormat="false" ht="15" hidden="false" customHeight="true" outlineLevel="0" collapsed="false">
      <c r="A26" s="16"/>
      <c r="B26" s="38" t="n">
        <v>13</v>
      </c>
      <c r="C26" s="39" t="str">
        <f aca="false">IF(13&lt;=Dashboard!$W$5,Chart_Engine!O42,"")</f>
        <v>Athena($)</v>
      </c>
      <c r="D26" s="39"/>
      <c r="E26" s="39"/>
      <c r="F26" s="40" t="n">
        <f aca="false">IF(13&lt;=Dashboard!$W$5,Chart_Engine!P42,0)</f>
        <v>11300.897</v>
      </c>
      <c r="G26" s="40"/>
      <c r="H26" s="40" t="n">
        <f aca="false">IF(13&lt;=Dashboard!$W$5,Chart_Engine!Q42,0)</f>
        <v>10423.939</v>
      </c>
      <c r="I26" s="40"/>
      <c r="J26" s="41" t="n">
        <f aca="false">IF(13&lt;=Dashboard!$W$5,Chart_Engine!R42,0)</f>
        <v>876.958000000001</v>
      </c>
      <c r="K26" s="41"/>
      <c r="L26" s="42" t="n">
        <f aca="false">IF(13&lt;=Dashboard!$W$5,Chart_Engine!S42,0)</f>
        <v>0.0841292336802816</v>
      </c>
      <c r="M26" s="42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8" t="str">
        <f aca="false">Chart_Engine!V36</f>
        <v>Lambda($)</v>
      </c>
      <c r="AC26" s="19" t="n">
        <f aca="false">Chart_Engine!Y36</f>
        <v>1467.085</v>
      </c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customFormat="false" ht="15" hidden="false" customHeight="true" outlineLevel="0" collapsed="false">
      <c r="A27" s="16"/>
      <c r="B27" s="43" t="n">
        <v>14</v>
      </c>
      <c r="C27" s="44" t="str">
        <f aca="false">IF(14&lt;=Dashboard!$W$5,Chart_Engine!O43,"")</f>
        <v>AppSync($)</v>
      </c>
      <c r="D27" s="44"/>
      <c r="E27" s="44"/>
      <c r="F27" s="45" t="n">
        <f aca="false">IF(14&lt;=Dashboard!$W$5,Chart_Engine!P43,0)</f>
        <v>11093.646</v>
      </c>
      <c r="G27" s="45"/>
      <c r="H27" s="45" t="n">
        <f aca="false">IF(14&lt;=Dashboard!$W$5,Chart_Engine!Q43,0)</f>
        <v>10171.923</v>
      </c>
      <c r="I27" s="45"/>
      <c r="J27" s="46" t="n">
        <f aca="false">IF(14&lt;=Dashboard!$W$5,Chart_Engine!R43,0)</f>
        <v>921.723</v>
      </c>
      <c r="K27" s="46"/>
      <c r="L27" s="47" t="n">
        <f aca="false">IF(14&lt;=Dashboard!$W$5,Chart_Engine!S43,0)</f>
        <v>0.0906144295429684</v>
      </c>
      <c r="M27" s="47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8" t="str">
        <f aca="false">Chart_Engine!V37</f>
        <v>Direct Connect($)</v>
      </c>
      <c r="AC27" s="19" t="n">
        <f aca="false">Chart_Engine!Y37</f>
        <v>1441.11</v>
      </c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</row>
    <row r="28" customFormat="false" ht="15" hidden="false" customHeight="true" outlineLevel="0" collapsed="false">
      <c r="A28" s="16"/>
      <c r="B28" s="38" t="n">
        <v>15</v>
      </c>
      <c r="C28" s="39" t="str">
        <f aca="false">IF(15&lt;=Dashboard!$W$5,Chart_Engine!O44,"")</f>
        <v>Transfer Family($)</v>
      </c>
      <c r="D28" s="39"/>
      <c r="E28" s="39"/>
      <c r="F28" s="40" t="n">
        <f aca="false">IF(15&lt;=Dashboard!$W$5,Chart_Engine!P44,0)</f>
        <v>11086.39</v>
      </c>
      <c r="G28" s="40"/>
      <c r="H28" s="40" t="n">
        <f aca="false">IF(15&lt;=Dashboard!$W$5,Chart_Engine!Q44,0)</f>
        <v>9604.208</v>
      </c>
      <c r="I28" s="40"/>
      <c r="J28" s="41" t="n">
        <f aca="false">IF(15&lt;=Dashboard!$W$5,Chart_Engine!R44,0)</f>
        <v>1482.182</v>
      </c>
      <c r="K28" s="41"/>
      <c r="L28" s="42" t="n">
        <f aca="false">IF(15&lt;=Dashboard!$W$5,Chart_Engine!S44,0)</f>
        <v>0.154326311966588</v>
      </c>
      <c r="M28" s="42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8" t="str">
        <f aca="false">Chart_Engine!V38</f>
        <v>CodeBuild($)</v>
      </c>
      <c r="AC28" s="19" t="n">
        <f aca="false">Chart_Engine!Y38</f>
        <v>1197.805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customFormat="false" ht="21.75" hidden="false" customHeight="true" outlineLevel="0" collapsed="false">
      <c r="A29" s="16"/>
      <c r="B29" s="48" t="s">
        <v>255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16"/>
      <c r="AA29" s="16"/>
      <c r="AB29" s="18" t="str">
        <f aca="false">Chart_Engine!V39</f>
        <v>WAF($)</v>
      </c>
      <c r="AC29" s="19" t="n">
        <f aca="false">Chart_Engine!Y39</f>
        <v>1089.476</v>
      </c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</row>
    <row r="30" customFormat="false" ht="19.5" hidden="false" customHeight="true" outlineLevel="0" collapsed="false">
      <c r="A30" s="16"/>
      <c r="B30" s="37" t="s">
        <v>249</v>
      </c>
      <c r="C30" s="24" t="s">
        <v>0</v>
      </c>
      <c r="D30" s="24"/>
      <c r="E30" s="24"/>
      <c r="F30" s="24" t="s">
        <v>250</v>
      </c>
      <c r="G30" s="24"/>
      <c r="H30" s="24" t="s">
        <v>251</v>
      </c>
      <c r="I30" s="24"/>
      <c r="J30" s="24" t="s">
        <v>252</v>
      </c>
      <c r="K30" s="24"/>
      <c r="L30" s="24" t="s">
        <v>253</v>
      </c>
      <c r="M30" s="24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8" t="str">
        <f aca="false">Chart_Engine!V40</f>
        <v>Translate($)</v>
      </c>
      <c r="AC30" s="19" t="n">
        <f aca="false">Chart_Engine!Y40</f>
        <v>-1045.597</v>
      </c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customFormat="false" ht="15" hidden="false" customHeight="true" outlineLevel="0" collapsed="false">
      <c r="A31" s="16"/>
      <c r="B31" s="43" t="n">
        <v>1</v>
      </c>
      <c r="C31" s="44" t="str">
        <f aca="false">IF(1&lt;=Dashboard!$W$5,Chart_Engine!V30,"")</f>
        <v>DataSync($)</v>
      </c>
      <c r="D31" s="44"/>
      <c r="E31" s="44"/>
      <c r="F31" s="45" t="n">
        <f aca="false">IF(1&lt;=Dashboard!$W$5,Chart_Engine!W30,0)</f>
        <v>14365.916</v>
      </c>
      <c r="G31" s="45"/>
      <c r="H31" s="45" t="n">
        <f aca="false">IF(1&lt;=Dashboard!$W$5,Chart_Engine!X30,0)</f>
        <v>11053.966</v>
      </c>
      <c r="I31" s="45"/>
      <c r="J31" s="46" t="n">
        <f aca="false">IF(1&lt;=Dashboard!$W$5,Chart_Engine!Y30,0)</f>
        <v>3311.95</v>
      </c>
      <c r="K31" s="46"/>
      <c r="L31" s="47" t="n">
        <f aca="false">IF(1&lt;=Dashboard!$W$5,Chart_Engine!Z30,0)</f>
        <v>0.29961644535545</v>
      </c>
      <c r="M31" s="47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8" t="str">
        <f aca="false">Chart_Engine!V41</f>
        <v>Connect($)</v>
      </c>
      <c r="AC31" s="19" t="n">
        <f aca="false">Chart_Engine!Y41</f>
        <v>-1006.779</v>
      </c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  <row r="32" customFormat="false" ht="15" hidden="false" customHeight="true" outlineLevel="0" collapsed="false">
      <c r="A32" s="16"/>
      <c r="B32" s="38" t="n">
        <v>2</v>
      </c>
      <c r="C32" s="39" t="str">
        <f aca="false">IF(2&lt;=Dashboard!$W$5,Chart_Engine!V31,"")</f>
        <v>Shield($)</v>
      </c>
      <c r="D32" s="39"/>
      <c r="E32" s="39"/>
      <c r="F32" s="40" t="n">
        <f aca="false">IF(2&lt;=Dashboard!$W$5,Chart_Engine!W31,0)</f>
        <v>8275.245</v>
      </c>
      <c r="G32" s="40"/>
      <c r="H32" s="40" t="n">
        <f aca="false">IF(2&lt;=Dashboard!$W$5,Chart_Engine!X31,0)</f>
        <v>10595.86</v>
      </c>
      <c r="I32" s="40"/>
      <c r="J32" s="41" t="n">
        <f aca="false">IF(2&lt;=Dashboard!$W$5,Chart_Engine!Y31,0)</f>
        <v>-2320.615</v>
      </c>
      <c r="K32" s="41"/>
      <c r="L32" s="42" t="n">
        <f aca="false">IF(2&lt;=Dashboard!$W$5,Chart_Engine!Z31,0)</f>
        <v>-0.219011481842908</v>
      </c>
      <c r="M32" s="42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8" t="str">
        <f aca="false">Chart_Engine!V42</f>
        <v>CloudFront($)</v>
      </c>
      <c r="AC32" s="19" t="n">
        <f aca="false">Chart_Engine!Y42</f>
        <v>937.139000000001</v>
      </c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customFormat="false" ht="15" hidden="false" customHeight="true" outlineLevel="0" collapsed="false">
      <c r="A33" s="16"/>
      <c r="B33" s="43" t="n">
        <v>3</v>
      </c>
      <c r="C33" s="44" t="str">
        <f aca="false">IF(3&lt;=Dashboard!$W$5,Chart_Engine!V32,"")</f>
        <v>IAM($)</v>
      </c>
      <c r="D33" s="44"/>
      <c r="E33" s="44"/>
      <c r="F33" s="45" t="n">
        <f aca="false">IF(3&lt;=Dashboard!$W$5,Chart_Engine!W32,0)</f>
        <v>8743.728</v>
      </c>
      <c r="G33" s="45"/>
      <c r="H33" s="45" t="n">
        <f aca="false">IF(3&lt;=Dashboard!$W$5,Chart_Engine!X32,0)</f>
        <v>10695.681</v>
      </c>
      <c r="I33" s="45"/>
      <c r="J33" s="46" t="n">
        <f aca="false">IF(3&lt;=Dashboard!$W$5,Chart_Engine!Y32,0)</f>
        <v>-1951.953</v>
      </c>
      <c r="K33" s="46"/>
      <c r="L33" s="47" t="n">
        <f aca="false">IF(3&lt;=Dashboard!$W$5,Chart_Engine!Z32,0)</f>
        <v>-0.182499178874164</v>
      </c>
      <c r="M33" s="47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8" t="str">
        <f aca="false">Chart_Engine!V43</f>
        <v>AppSync($)</v>
      </c>
      <c r="AC33" s="19" t="n">
        <f aca="false">Chart_Engine!Y43</f>
        <v>921.723</v>
      </c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</row>
    <row r="34" customFormat="false" ht="15" hidden="false" customHeight="true" outlineLevel="0" collapsed="false">
      <c r="A34" s="16"/>
      <c r="B34" s="38" t="n">
        <v>4</v>
      </c>
      <c r="C34" s="39" t="str">
        <f aca="false">IF(4&lt;=Dashboard!$W$5,Chart_Engine!V33,"")</f>
        <v>CodeDeploy($)</v>
      </c>
      <c r="D34" s="39"/>
      <c r="E34" s="39"/>
      <c r="F34" s="40" t="n">
        <f aca="false">IF(4&lt;=Dashboard!$W$5,Chart_Engine!W33,0)</f>
        <v>9030.696</v>
      </c>
      <c r="G34" s="40"/>
      <c r="H34" s="40" t="n">
        <f aca="false">IF(4&lt;=Dashboard!$W$5,Chart_Engine!X33,0)</f>
        <v>10918.243</v>
      </c>
      <c r="I34" s="40"/>
      <c r="J34" s="41" t="n">
        <f aca="false">IF(4&lt;=Dashboard!$W$5,Chart_Engine!Y33,0)</f>
        <v>-1887.547</v>
      </c>
      <c r="K34" s="41"/>
      <c r="L34" s="42" t="n">
        <f aca="false">IF(4&lt;=Dashboard!$W$5,Chart_Engine!Z33,0)</f>
        <v>-0.172880105342957</v>
      </c>
      <c r="M34" s="42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8" t="str">
        <f aca="false">Chart_Engine!V44</f>
        <v>Athena($)</v>
      </c>
      <c r="AC34" s="19" t="n">
        <f aca="false">Chart_Engine!Y44</f>
        <v>876.958000000001</v>
      </c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 customFormat="false" ht="15" hidden="false" customHeight="true" outlineLevel="0" collapsed="false">
      <c r="A35" s="16"/>
      <c r="B35" s="43" t="n">
        <v>5</v>
      </c>
      <c r="C35" s="44" t="str">
        <f aca="false">IF(5&lt;=Dashboard!$W$5,Chart_Engine!V34,"")</f>
        <v>CodeCommit($)</v>
      </c>
      <c r="D35" s="44"/>
      <c r="E35" s="44"/>
      <c r="F35" s="45" t="n">
        <f aca="false">IF(5&lt;=Dashboard!$W$5,Chart_Engine!W34,0)</f>
        <v>8025.117</v>
      </c>
      <c r="G35" s="45"/>
      <c r="H35" s="45" t="n">
        <f aca="false">IF(5&lt;=Dashboard!$W$5,Chart_Engine!X34,0)</f>
        <v>9846.79</v>
      </c>
      <c r="I35" s="45"/>
      <c r="J35" s="46" t="n">
        <f aca="false">IF(5&lt;=Dashboard!$W$5,Chart_Engine!Y34,0)</f>
        <v>-1821.673</v>
      </c>
      <c r="K35" s="46"/>
      <c r="L35" s="47" t="n">
        <f aca="false">IF(5&lt;=Dashboard!$W$5,Chart_Engine!Z34,0)</f>
        <v>-0.185001711217564</v>
      </c>
      <c r="M35" s="47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</row>
    <row r="36" customFormat="false" ht="15" hidden="false" customHeight="true" outlineLevel="0" collapsed="false">
      <c r="A36" s="16"/>
      <c r="B36" s="38" t="n">
        <v>6</v>
      </c>
      <c r="C36" s="39" t="str">
        <f aca="false">IF(6&lt;=Dashboard!$W$5,Chart_Engine!V35,"")</f>
        <v>Transfer Family($)</v>
      </c>
      <c r="D36" s="39"/>
      <c r="E36" s="39"/>
      <c r="F36" s="40" t="n">
        <f aca="false">IF(6&lt;=Dashboard!$W$5,Chart_Engine!W35,0)</f>
        <v>11086.39</v>
      </c>
      <c r="G36" s="40"/>
      <c r="H36" s="40" t="n">
        <f aca="false">IF(6&lt;=Dashboard!$W$5,Chart_Engine!X35,0)</f>
        <v>9604.208</v>
      </c>
      <c r="I36" s="40"/>
      <c r="J36" s="41" t="n">
        <f aca="false">IF(6&lt;=Dashboard!$W$5,Chart_Engine!Y35,0)</f>
        <v>1482.182</v>
      </c>
      <c r="K36" s="41"/>
      <c r="L36" s="42" t="n">
        <f aca="false">IF(6&lt;=Dashboard!$W$5,Chart_Engine!Z35,0)</f>
        <v>0.154326311966588</v>
      </c>
      <c r="M36" s="42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 t="s">
        <v>211</v>
      </c>
      <c r="AC36" s="16" t="s">
        <v>236</v>
      </c>
      <c r="AD36" s="16" t="s">
        <v>256</v>
      </c>
      <c r="AE36" s="16" t="s">
        <v>257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customFormat="false" ht="15" hidden="false" customHeight="true" outlineLevel="0" collapsed="false">
      <c r="A37" s="16"/>
      <c r="B37" s="43" t="n">
        <v>7</v>
      </c>
      <c r="C37" s="44" t="str">
        <f aca="false">IF(7&lt;=Dashboard!$W$5,Chart_Engine!V36,"")</f>
        <v>Lambda($)</v>
      </c>
      <c r="D37" s="44"/>
      <c r="E37" s="44"/>
      <c r="F37" s="45" t="n">
        <f aca="false">IF(7&lt;=Dashboard!$W$5,Chart_Engine!W36,0)</f>
        <v>10775.309</v>
      </c>
      <c r="G37" s="45"/>
      <c r="H37" s="45" t="n">
        <f aca="false">IF(7&lt;=Dashboard!$W$5,Chart_Engine!X36,0)</f>
        <v>9308.224</v>
      </c>
      <c r="I37" s="45"/>
      <c r="J37" s="46" t="n">
        <f aca="false">IF(7&lt;=Dashboard!$W$5,Chart_Engine!Y36,0)</f>
        <v>1467.085</v>
      </c>
      <c r="K37" s="46"/>
      <c r="L37" s="47" t="n">
        <f aca="false">IF(7&lt;=Dashboard!$W$5,Chart_Engine!Z36,0)</f>
        <v>0.157611699073851</v>
      </c>
      <c r="M37" s="47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8" t="str">
        <f aca="false">Chart_Engine!AB30</f>
        <v>Aug-25</v>
      </c>
      <c r="AC37" s="19" t="n">
        <f aca="false">Chart_Engine!AC30</f>
        <v>474371.397</v>
      </c>
      <c r="AD37" s="19" t="n">
        <f aca="false">Chart_Engine!AD30</f>
        <v>447795.004</v>
      </c>
      <c r="AE37" s="19" t="n">
        <f aca="false">Chart_Engine!AE30</f>
        <v>922166.401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</row>
    <row r="38" customFormat="false" ht="15" hidden="false" customHeight="true" outlineLevel="0" collapsed="false">
      <c r="A38" s="16"/>
      <c r="B38" s="38" t="n">
        <v>8</v>
      </c>
      <c r="C38" s="39" t="str">
        <f aca="false">IF(8&lt;=Dashboard!$W$5,Chart_Engine!V37,"")</f>
        <v>Direct Connect($)</v>
      </c>
      <c r="D38" s="39"/>
      <c r="E38" s="39"/>
      <c r="F38" s="40" t="n">
        <f aca="false">IF(8&lt;=Dashboard!$W$5,Chart_Engine!W37,0)</f>
        <v>9587.607</v>
      </c>
      <c r="G38" s="40"/>
      <c r="H38" s="40" t="n">
        <f aca="false">IF(8&lt;=Dashboard!$W$5,Chart_Engine!X37,0)</f>
        <v>8146.497</v>
      </c>
      <c r="I38" s="40"/>
      <c r="J38" s="41" t="n">
        <f aca="false">IF(8&lt;=Dashboard!$W$5,Chart_Engine!Y37,0)</f>
        <v>1441.11</v>
      </c>
      <c r="K38" s="41"/>
      <c r="L38" s="42" t="n">
        <f aca="false">IF(8&lt;=Dashboard!$W$5,Chart_Engine!Z37,0)</f>
        <v>0.176899347044503</v>
      </c>
      <c r="M38" s="42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8" t="str">
        <f aca="false">Chart_Engine!AB31</f>
        <v>Sep-25</v>
      </c>
      <c r="AC38" s="19" t="n">
        <f aca="false">Chart_Engine!AC31</f>
        <v>480182.009</v>
      </c>
      <c r="AD38" s="19" t="n">
        <f aca="false">Chart_Engine!AD31</f>
        <v>433250.809</v>
      </c>
      <c r="AE38" s="19" t="n">
        <f aca="false">Chart_Engine!AE31</f>
        <v>913432.818</v>
      </c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 customFormat="false" ht="15" hidden="false" customHeight="true" outlineLevel="0" collapsed="false">
      <c r="A39" s="16"/>
      <c r="B39" s="43" t="n">
        <v>9</v>
      </c>
      <c r="C39" s="44" t="str">
        <f aca="false">IF(9&lt;=Dashboard!$W$5,Chart_Engine!V38,"")</f>
        <v>CodeBuild($)</v>
      </c>
      <c r="D39" s="44"/>
      <c r="E39" s="44"/>
      <c r="F39" s="45" t="n">
        <f aca="false">IF(9&lt;=Dashboard!$W$5,Chart_Engine!W38,0)</f>
        <v>15455.827</v>
      </c>
      <c r="G39" s="45"/>
      <c r="H39" s="45" t="n">
        <f aca="false">IF(9&lt;=Dashboard!$W$5,Chart_Engine!X38,0)</f>
        <v>14258.022</v>
      </c>
      <c r="I39" s="45"/>
      <c r="J39" s="46" t="n">
        <f aca="false">IF(9&lt;=Dashboard!$W$5,Chart_Engine!Y38,0)</f>
        <v>1197.805</v>
      </c>
      <c r="K39" s="46"/>
      <c r="L39" s="47" t="n">
        <f aca="false">IF(9&lt;=Dashboard!$W$5,Chart_Engine!Z38,0)</f>
        <v>0.0840091984708677</v>
      </c>
      <c r="M39" s="47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8" t="str">
        <f aca="false">Chart_Engine!AB32</f>
        <v>Oct-25</v>
      </c>
      <c r="AC39" s="19" t="n">
        <f aca="false">Chart_Engine!AC32</f>
        <v>483330.519</v>
      </c>
      <c r="AD39" s="19" t="n">
        <f aca="false">Chart_Engine!AD32</f>
        <v>441339.158</v>
      </c>
      <c r="AE39" s="19" t="n">
        <f aca="false">Chart_Engine!AE32</f>
        <v>924669.677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</row>
    <row r="40" customFormat="false" ht="15" hidden="false" customHeight="true" outlineLevel="0" collapsed="false">
      <c r="A40" s="16"/>
      <c r="B40" s="38" t="n">
        <v>10</v>
      </c>
      <c r="C40" s="39" t="str">
        <f aca="false">IF(10&lt;=Dashboard!$W$5,Chart_Engine!V39,"")</f>
        <v>WAF($)</v>
      </c>
      <c r="D40" s="39"/>
      <c r="E40" s="39"/>
      <c r="F40" s="40" t="n">
        <f aca="false">IF(10&lt;=Dashboard!$W$5,Chart_Engine!W39,0)</f>
        <v>12336.252</v>
      </c>
      <c r="G40" s="40"/>
      <c r="H40" s="40" t="n">
        <f aca="false">IF(10&lt;=Dashboard!$W$5,Chart_Engine!X39,0)</f>
        <v>11246.776</v>
      </c>
      <c r="I40" s="40"/>
      <c r="J40" s="41" t="n">
        <f aca="false">IF(10&lt;=Dashboard!$W$5,Chart_Engine!Y39,0)</f>
        <v>1089.476</v>
      </c>
      <c r="K40" s="41"/>
      <c r="L40" s="42" t="n">
        <f aca="false">IF(10&lt;=Dashboard!$W$5,Chart_Engine!Z39,0)</f>
        <v>0.0968700719210555</v>
      </c>
      <c r="M40" s="42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8" t="str">
        <f aca="false">Chart_Engine!AB33</f>
        <v>Nov-25</v>
      </c>
      <c r="AC40" s="19" t="n">
        <f aca="false">Chart_Engine!AC33</f>
        <v>477796.982</v>
      </c>
      <c r="AD40" s="19" t="n">
        <f aca="false">Chart_Engine!AD33</f>
        <v>454138.274</v>
      </c>
      <c r="AE40" s="19" t="n">
        <f aca="false">Chart_Engine!AE33</f>
        <v>931935.256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  <row r="41" customFormat="false" ht="15" hidden="false" customHeight="true" outlineLevel="0" collapsed="false">
      <c r="A41" s="16"/>
      <c r="B41" s="43" t="n">
        <v>11</v>
      </c>
      <c r="C41" s="44" t="str">
        <f aca="false">IF(11&lt;=Dashboard!$W$5,Chart_Engine!V40,"")</f>
        <v>Translate($)</v>
      </c>
      <c r="D41" s="44"/>
      <c r="E41" s="44"/>
      <c r="F41" s="45" t="n">
        <f aca="false">IF(11&lt;=Dashboard!$W$5,Chart_Engine!W40,0)</f>
        <v>11660.599</v>
      </c>
      <c r="G41" s="45"/>
      <c r="H41" s="45" t="n">
        <f aca="false">IF(11&lt;=Dashboard!$W$5,Chart_Engine!X40,0)</f>
        <v>12706.196</v>
      </c>
      <c r="I41" s="45"/>
      <c r="J41" s="46" t="n">
        <f aca="false">IF(11&lt;=Dashboard!$W$5,Chart_Engine!Y40,0)</f>
        <v>-1045.597</v>
      </c>
      <c r="K41" s="46"/>
      <c r="L41" s="47" t="n">
        <f aca="false">IF(11&lt;=Dashboard!$W$5,Chart_Engine!Z40,0)</f>
        <v>-0.0822903251295667</v>
      </c>
      <c r="M41" s="47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8" t="str">
        <f aca="false">Chart_Engine!AB34</f>
        <v>Dec-25</v>
      </c>
      <c r="AC41" s="19" t="n">
        <f aca="false">Chart_Engine!AC34</f>
        <v>474735.204</v>
      </c>
      <c r="AD41" s="19" t="n">
        <f aca="false">Chart_Engine!AD34</f>
        <v>449403.33</v>
      </c>
      <c r="AE41" s="19" t="n">
        <f aca="false">Chart_Engine!AE34</f>
        <v>924138.534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</row>
    <row r="42" customFormat="false" ht="15" hidden="false" customHeight="true" outlineLevel="0" collapsed="false">
      <c r="A42" s="16"/>
      <c r="B42" s="38" t="n">
        <v>12</v>
      </c>
      <c r="C42" s="39" t="str">
        <f aca="false">IF(12&lt;=Dashboard!$W$5,Chart_Engine!V41,"")</f>
        <v>Connect($)</v>
      </c>
      <c r="D42" s="39"/>
      <c r="E42" s="39"/>
      <c r="F42" s="40" t="n">
        <f aca="false">IF(12&lt;=Dashboard!$W$5,Chart_Engine!W41,0)</f>
        <v>7692.095</v>
      </c>
      <c r="G42" s="40"/>
      <c r="H42" s="40" t="n">
        <f aca="false">IF(12&lt;=Dashboard!$W$5,Chart_Engine!X41,0)</f>
        <v>8698.874</v>
      </c>
      <c r="I42" s="40"/>
      <c r="J42" s="41" t="n">
        <f aca="false">IF(12&lt;=Dashboard!$W$5,Chart_Engine!Y41,0)</f>
        <v>-1006.779</v>
      </c>
      <c r="K42" s="41"/>
      <c r="L42" s="42" t="n">
        <f aca="false">IF(12&lt;=Dashboard!$W$5,Chart_Engine!Z41,0)</f>
        <v>-0.115736703394025</v>
      </c>
      <c r="M42" s="42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8" t="str">
        <f aca="false">Chart_Engine!AB35</f>
        <v>Jan-26</v>
      </c>
      <c r="AC42" s="19" t="n">
        <f aca="false">Chart_Engine!AC35</f>
        <v>472288.498</v>
      </c>
      <c r="AD42" s="19" t="n">
        <f aca="false">Chart_Engine!AD35</f>
        <v>449777.497</v>
      </c>
      <c r="AE42" s="19" t="n">
        <f aca="false">Chart_Engine!AE35</f>
        <v>922065.995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customFormat="false" ht="15" hidden="false" customHeight="true" outlineLevel="0" collapsed="false">
      <c r="A43" s="16"/>
      <c r="B43" s="43" t="n">
        <v>13</v>
      </c>
      <c r="C43" s="44" t="str">
        <f aca="false">IF(13&lt;=Dashboard!$W$5,Chart_Engine!V42,"")</f>
        <v>CloudFront($)</v>
      </c>
      <c r="D43" s="44"/>
      <c r="E43" s="44"/>
      <c r="F43" s="45" t="n">
        <f aca="false">IF(13&lt;=Dashboard!$W$5,Chart_Engine!W42,0)</f>
        <v>14222.876</v>
      </c>
      <c r="G43" s="45"/>
      <c r="H43" s="45" t="n">
        <f aca="false">IF(13&lt;=Dashboard!$W$5,Chart_Engine!X42,0)</f>
        <v>13285.737</v>
      </c>
      <c r="I43" s="45"/>
      <c r="J43" s="46" t="n">
        <f aca="false">IF(13&lt;=Dashboard!$W$5,Chart_Engine!Y42,0)</f>
        <v>937.139000000001</v>
      </c>
      <c r="K43" s="46"/>
      <c r="L43" s="47" t="n">
        <f aca="false">IF(13&lt;=Dashboard!$W$5,Chart_Engine!Z42,0)</f>
        <v>0.0705372234901234</v>
      </c>
      <c r="M43" s="47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</row>
    <row r="44" customFormat="false" ht="15" hidden="false" customHeight="true" outlineLevel="0" collapsed="false">
      <c r="A44" s="16"/>
      <c r="B44" s="38" t="n">
        <v>14</v>
      </c>
      <c r="C44" s="39" t="str">
        <f aca="false">IF(14&lt;=Dashboard!$W$5,Chart_Engine!V43,"")</f>
        <v>AppSync($)</v>
      </c>
      <c r="D44" s="39"/>
      <c r="E44" s="39"/>
      <c r="F44" s="40" t="n">
        <f aca="false">IF(14&lt;=Dashboard!$W$5,Chart_Engine!W43,0)</f>
        <v>11093.646</v>
      </c>
      <c r="G44" s="40"/>
      <c r="H44" s="40" t="n">
        <f aca="false">IF(14&lt;=Dashboard!$W$5,Chart_Engine!X43,0)</f>
        <v>10171.923</v>
      </c>
      <c r="I44" s="40"/>
      <c r="J44" s="41" t="n">
        <f aca="false">IF(14&lt;=Dashboard!$W$5,Chart_Engine!Y43,0)</f>
        <v>921.723</v>
      </c>
      <c r="K44" s="41"/>
      <c r="L44" s="42" t="n">
        <f aca="false">IF(14&lt;=Dashboard!$W$5,Chart_Engine!Z43,0)</f>
        <v>0.0906144295429684</v>
      </c>
      <c r="M44" s="42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 t="s">
        <v>0</v>
      </c>
      <c r="AC44" s="16" t="s">
        <v>228</v>
      </c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</row>
    <row r="45" customFormat="false" ht="15" hidden="false" customHeight="true" outlineLevel="0" collapsed="false">
      <c r="A45" s="16"/>
      <c r="B45" s="43" t="n">
        <v>15</v>
      </c>
      <c r="C45" s="44" t="str">
        <f aca="false">IF(15&lt;=Dashboard!$W$5,Chart_Engine!V44,"")</f>
        <v>Athena($)</v>
      </c>
      <c r="D45" s="44"/>
      <c r="E45" s="44"/>
      <c r="F45" s="45" t="n">
        <f aca="false">IF(15&lt;=Dashboard!$W$5,Chart_Engine!W44,0)</f>
        <v>11300.897</v>
      </c>
      <c r="G45" s="45"/>
      <c r="H45" s="45" t="n">
        <f aca="false">IF(15&lt;=Dashboard!$W$5,Chart_Engine!X44,0)</f>
        <v>10423.939</v>
      </c>
      <c r="I45" s="45"/>
      <c r="J45" s="46" t="n">
        <f aca="false">IF(15&lt;=Dashboard!$W$5,Chart_Engine!Y44,0)</f>
        <v>876.958000000001</v>
      </c>
      <c r="K45" s="46"/>
      <c r="L45" s="47" t="n">
        <f aca="false">IF(15&lt;=Dashboard!$W$5,Chart_Engine!Z44,0)</f>
        <v>0.0841292336802816</v>
      </c>
      <c r="M45" s="47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8" t="str">
        <f aca="false">Chart_Engine!AG30</f>
        <v>Batch($)</v>
      </c>
      <c r="AC45" s="19" t="n">
        <f aca="false">Chart_Engine!AH30</f>
        <v>15512.515</v>
      </c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</row>
    <row r="46" customFormat="false" ht="21.75" hidden="false" customHeight="true" outlineLevel="0" collapsed="false">
      <c r="A46" s="16"/>
      <c r="B46" s="49" t="s">
        <v>258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16"/>
      <c r="AA46" s="16"/>
      <c r="AB46" s="18" t="str">
        <f aca="false">Chart_Engine!AG31</f>
        <v>CodeBuild($)</v>
      </c>
      <c r="AC46" s="19" t="n">
        <f aca="false">Chart_Engine!AH31</f>
        <v>15455.827</v>
      </c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</row>
    <row r="47" customFormat="false" ht="19.5" hidden="false" customHeight="true" outlineLevel="0" collapsed="false">
      <c r="A47" s="16"/>
      <c r="B47" s="24" t="s">
        <v>211</v>
      </c>
      <c r="C47" s="24"/>
      <c r="D47" s="24" t="s">
        <v>259</v>
      </c>
      <c r="E47" s="24"/>
      <c r="F47" s="24" t="s">
        <v>260</v>
      </c>
      <c r="G47" s="24"/>
      <c r="H47" s="24" t="s">
        <v>261</v>
      </c>
      <c r="I47" s="24"/>
      <c r="J47" s="24" t="s">
        <v>262</v>
      </c>
      <c r="K47" s="24"/>
      <c r="L47" s="24" t="s">
        <v>263</v>
      </c>
      <c r="M47" s="24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8" t="str">
        <f aca="false">Chart_Engine!AG32</f>
        <v>Chime($)</v>
      </c>
      <c r="AC47" s="19" t="n">
        <f aca="false">Chart_Engine!AH32</f>
        <v>15384.035</v>
      </c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</row>
    <row r="48" customFormat="false" ht="15.75" hidden="false" customHeight="true" outlineLevel="0" collapsed="false">
      <c r="A48" s="16"/>
      <c r="B48" s="50" t="str">
        <f aca="false">Chart_Engine!AB30</f>
        <v>Aug-25</v>
      </c>
      <c r="C48" s="50"/>
      <c r="D48" s="40" t="n">
        <f aca="false">Chart_Engine!AC30</f>
        <v>474371.397</v>
      </c>
      <c r="E48" s="40"/>
      <c r="F48" s="40" t="n">
        <f aca="false">Chart_Engine!AD30</f>
        <v>447795.004</v>
      </c>
      <c r="G48" s="40"/>
      <c r="H48" s="40" t="n">
        <f aca="false">Chart_Engine!AE30</f>
        <v>922166.401</v>
      </c>
      <c r="I48" s="40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8" t="str">
        <f aca="false">Chart_Engine!AG33</f>
        <v>DataSync($)</v>
      </c>
      <c r="AC48" s="19" t="n">
        <f aca="false">Chart_Engine!AH33</f>
        <v>14365.916</v>
      </c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</row>
    <row r="49" customFormat="false" ht="15.75" hidden="false" customHeight="true" outlineLevel="0" collapsed="false">
      <c r="A49" s="16"/>
      <c r="B49" s="51" t="str">
        <f aca="false">Chart_Engine!AB31</f>
        <v>Sep-25</v>
      </c>
      <c r="C49" s="51"/>
      <c r="D49" s="45" t="n">
        <f aca="false">Chart_Engine!AC31</f>
        <v>480182.009</v>
      </c>
      <c r="E49" s="45"/>
      <c r="F49" s="45" t="n">
        <f aca="false">Chart_Engine!AD31</f>
        <v>433250.809</v>
      </c>
      <c r="G49" s="45"/>
      <c r="H49" s="45" t="n">
        <f aca="false">Chart_Engine!AE31</f>
        <v>913432.818</v>
      </c>
      <c r="I49" s="45"/>
      <c r="J49" s="47" t="n">
        <f aca="false">IFERROR((Chart_Engine!AC31-Chart_Engine!AC30)/Chart_Engine!AC30,0)</f>
        <v>0.0122490774881185</v>
      </c>
      <c r="K49" s="47"/>
      <c r="L49" s="47" t="n">
        <f aca="false">IFERROR((Chart_Engine!AD31-Chart_Engine!AD30)/Chart_Engine!AD30,0)</f>
        <v>-0.0324795830013325</v>
      </c>
      <c r="M49" s="47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8" t="str">
        <f aca="false">Chart_Engine!AG34</f>
        <v>CloudFront($)</v>
      </c>
      <c r="AC49" s="19" t="n">
        <f aca="false">Chart_Engine!AH34</f>
        <v>14222.876</v>
      </c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</row>
    <row r="50" customFormat="false" ht="15.75" hidden="false" customHeight="true" outlineLevel="0" collapsed="false">
      <c r="A50" s="16"/>
      <c r="B50" s="50" t="str">
        <f aca="false">Chart_Engine!AB32</f>
        <v>Oct-25</v>
      </c>
      <c r="C50" s="50"/>
      <c r="D50" s="40" t="n">
        <f aca="false">Chart_Engine!AC32</f>
        <v>483330.519</v>
      </c>
      <c r="E50" s="40"/>
      <c r="F50" s="40" t="n">
        <f aca="false">Chart_Engine!AD32</f>
        <v>441339.158</v>
      </c>
      <c r="G50" s="40"/>
      <c r="H50" s="40" t="n">
        <f aca="false">Chart_Engine!AE32</f>
        <v>924669.677</v>
      </c>
      <c r="I50" s="40"/>
      <c r="J50" s="42" t="n">
        <f aca="false">IFERROR((Chart_Engine!AC32-Chart_Engine!AC31)/Chart_Engine!AC31,0)</f>
        <v>0.0065569095488539</v>
      </c>
      <c r="K50" s="42"/>
      <c r="L50" s="42" t="n">
        <f aca="false">IFERROR((Chart_Engine!AD32-Chart_Engine!AD31)/Chart_Engine!AD31,0)</f>
        <v>0.0186689761034006</v>
      </c>
      <c r="M50" s="42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8" t="str">
        <f aca="false">Chart_Engine!AG35</f>
        <v>SageMaker($)</v>
      </c>
      <c r="AC50" s="19" t="n">
        <f aca="false">Chart_Engine!AH35</f>
        <v>14013.558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</row>
    <row r="51" customFormat="false" ht="15.75" hidden="false" customHeight="true" outlineLevel="0" collapsed="false">
      <c r="A51" s="16"/>
      <c r="B51" s="51" t="str">
        <f aca="false">Chart_Engine!AB33</f>
        <v>Nov-25</v>
      </c>
      <c r="C51" s="51"/>
      <c r="D51" s="45" t="n">
        <f aca="false">Chart_Engine!AC33</f>
        <v>477796.982</v>
      </c>
      <c r="E51" s="45"/>
      <c r="F51" s="45" t="n">
        <f aca="false">Chart_Engine!AD33</f>
        <v>454138.274</v>
      </c>
      <c r="G51" s="45"/>
      <c r="H51" s="45" t="n">
        <f aca="false">Chart_Engine!AE33</f>
        <v>931935.256</v>
      </c>
      <c r="I51" s="45"/>
      <c r="J51" s="47" t="n">
        <f aca="false">IFERROR((Chart_Engine!AC33-Chart_Engine!AC32)/Chart_Engine!AC32,0)</f>
        <v>-0.0114487639047679</v>
      </c>
      <c r="K51" s="47"/>
      <c r="L51" s="47" t="n">
        <f aca="false">IFERROR((Chart_Engine!AD33-Chart_Engine!AD32)/Chart_Engine!AD32,0)</f>
        <v>0.0290006353798318</v>
      </c>
      <c r="M51" s="47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8" t="str">
        <f aca="false">Chart_Engine!AG36</f>
        <v>GuardDuty($)</v>
      </c>
      <c r="AC51" s="19" t="n">
        <f aca="false">Chart_Engine!AH36</f>
        <v>13414.014</v>
      </c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</row>
    <row r="52" customFormat="false" ht="15.75" hidden="false" customHeight="true" outlineLevel="0" collapsed="false">
      <c r="A52" s="16"/>
      <c r="B52" s="50" t="str">
        <f aca="false">Chart_Engine!AB34</f>
        <v>Dec-25</v>
      </c>
      <c r="C52" s="50"/>
      <c r="D52" s="40" t="n">
        <f aca="false">Chart_Engine!AC34</f>
        <v>474735.204</v>
      </c>
      <c r="E52" s="40"/>
      <c r="F52" s="40" t="n">
        <f aca="false">Chart_Engine!AD34</f>
        <v>449403.33</v>
      </c>
      <c r="G52" s="40"/>
      <c r="H52" s="40" t="n">
        <f aca="false">Chart_Engine!AE34</f>
        <v>924138.534</v>
      </c>
      <c r="I52" s="40"/>
      <c r="J52" s="42" t="n">
        <f aca="false">IFERROR((Chart_Engine!AC34-Chart_Engine!AC33)/Chart_Engine!AC33,0)</f>
        <v>-0.00640811498470284</v>
      </c>
      <c r="K52" s="42"/>
      <c r="L52" s="42" t="n">
        <f aca="false">IFERROR((Chart_Engine!AD34-Chart_Engine!AD33)/Chart_Engine!AD33,0)</f>
        <v>-0.0104262165756149</v>
      </c>
      <c r="M52" s="42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8" t="str">
        <f aca="false">Chart_Engine!AG37</f>
        <v>WAF($)</v>
      </c>
      <c r="AC52" s="19" t="n">
        <f aca="false">Chart_Engine!AH37</f>
        <v>12336.252</v>
      </c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</row>
    <row r="53" customFormat="false" ht="15.75" hidden="false" customHeight="true" outlineLevel="0" collapsed="false">
      <c r="A53" s="16"/>
      <c r="B53" s="51" t="str">
        <f aca="false">Chart_Engine!AB35</f>
        <v>Jan-26</v>
      </c>
      <c r="C53" s="51"/>
      <c r="D53" s="45" t="n">
        <f aca="false">Chart_Engine!AC35</f>
        <v>472288.498</v>
      </c>
      <c r="E53" s="45"/>
      <c r="F53" s="45" t="n">
        <f aca="false">Chart_Engine!AD35</f>
        <v>449777.497</v>
      </c>
      <c r="G53" s="45"/>
      <c r="H53" s="45" t="n">
        <f aca="false">Chart_Engine!AE35</f>
        <v>922065.995</v>
      </c>
      <c r="I53" s="45"/>
      <c r="J53" s="47" t="n">
        <f aca="false">IFERROR((Chart_Engine!AC35-Chart_Engine!AC34)/Chart_Engine!AC34,0)</f>
        <v>-0.00515383308291585</v>
      </c>
      <c r="K53" s="47"/>
      <c r="L53" s="47" t="n">
        <f aca="false">IFERROR((Chart_Engine!AD35-Chart_Engine!AD34)/Chart_Engine!AD34,0)</f>
        <v>0.00083258617598574</v>
      </c>
      <c r="M53" s="47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8" t="str">
        <f aca="false">Chart_Engine!AG38</f>
        <v>Transcribe($)</v>
      </c>
      <c r="AC53" s="19" t="n">
        <f aca="false">Chart_Engine!AH38</f>
        <v>11892.791</v>
      </c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</row>
    <row r="54" customFormat="false" ht="21.75" hidden="false" customHeight="true" outlineLevel="0" collapsed="false">
      <c r="A54" s="16"/>
      <c r="B54" s="52" t="s">
        <v>264</v>
      </c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16"/>
      <c r="AA54" s="16"/>
      <c r="AB54" s="18" t="str">
        <f aca="false">Chart_Engine!AG39</f>
        <v>Other</v>
      </c>
      <c r="AC54" s="19" t="n">
        <f aca="false">Chart_Engine!AH39</f>
        <v>345690.714</v>
      </c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</row>
    <row r="55" customFormat="false" ht="19.5" hidden="false" customHeight="true" outlineLevel="0" collapsed="false">
      <c r="A55" s="16"/>
      <c r="B55" s="37" t="s">
        <v>249</v>
      </c>
      <c r="C55" s="24" t="s">
        <v>0</v>
      </c>
      <c r="D55" s="24"/>
      <c r="E55" s="24"/>
      <c r="F55" s="24"/>
      <c r="G55" s="24" t="s">
        <v>250</v>
      </c>
      <c r="H55" s="24"/>
      <c r="I55" s="24"/>
      <c r="J55" s="24" t="s">
        <v>265</v>
      </c>
      <c r="K55" s="24"/>
      <c r="L55" s="24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</row>
    <row r="56" customFormat="false" ht="15" hidden="false" customHeight="true" outlineLevel="0" collapsed="false">
      <c r="A56" s="16"/>
      <c r="B56" s="38" t="n">
        <v>1</v>
      </c>
      <c r="C56" s="39" t="str">
        <f aca="false">Chart_Engine!AG30</f>
        <v>Batch($)</v>
      </c>
      <c r="D56" s="39"/>
      <c r="E56" s="39"/>
      <c r="F56" s="39"/>
      <c r="G56" s="40" t="n">
        <f aca="false">Chart_Engine!AH30</f>
        <v>15512.515</v>
      </c>
      <c r="H56" s="40"/>
      <c r="I56" s="40"/>
      <c r="J56" s="53" t="n">
        <f aca="false">IFERROR(Chart_Engine!AH30/(SUM(Chart_Engine!AH30:AH39)),0)</f>
        <v>0.0328454219522407</v>
      </c>
      <c r="K56" s="53"/>
      <c r="L56" s="53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 t="s">
        <v>0</v>
      </c>
      <c r="AC56" s="16" t="s">
        <v>236</v>
      </c>
      <c r="AD56" s="16" t="s">
        <v>256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</row>
    <row r="57" customFormat="false" ht="15" hidden="false" customHeight="true" outlineLevel="0" collapsed="false">
      <c r="A57" s="16"/>
      <c r="B57" s="43" t="n">
        <v>2</v>
      </c>
      <c r="C57" s="44" t="str">
        <f aca="false">Chart_Engine!AG31</f>
        <v>CodeBuild($)</v>
      </c>
      <c r="D57" s="44"/>
      <c r="E57" s="44"/>
      <c r="F57" s="44"/>
      <c r="G57" s="45" t="n">
        <f aca="false">Chart_Engine!AH31</f>
        <v>15455.827</v>
      </c>
      <c r="H57" s="45"/>
      <c r="I57" s="45"/>
      <c r="J57" s="54" t="n">
        <f aca="false">IFERROR(Chart_Engine!AH31/(SUM(Chart_Engine!AH30:AH39)),0)</f>
        <v>0.032725393621591</v>
      </c>
      <c r="K57" s="54"/>
      <c r="L57" s="54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8" t="str">
        <f aca="false">Chart_Engine!AJ30</f>
        <v>Batch($)</v>
      </c>
      <c r="AC57" s="19" t="n">
        <f aca="false">Chart_Engine!AK30</f>
        <v>15512.515</v>
      </c>
      <c r="AD57" s="19" t="n">
        <f aca="false">Chart_Engine!AL30</f>
        <v>10580.265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</row>
    <row r="58" customFormat="false" ht="15" hidden="false" customHeight="true" outlineLevel="0" collapsed="false">
      <c r="A58" s="16"/>
      <c r="B58" s="38" t="n">
        <v>3</v>
      </c>
      <c r="C58" s="39" t="str">
        <f aca="false">Chart_Engine!AG32</f>
        <v>Chime($)</v>
      </c>
      <c r="D58" s="39"/>
      <c r="E58" s="39"/>
      <c r="F58" s="39"/>
      <c r="G58" s="40" t="n">
        <f aca="false">Chart_Engine!AH32</f>
        <v>15384.035</v>
      </c>
      <c r="H58" s="40"/>
      <c r="I58" s="40"/>
      <c r="J58" s="53" t="n">
        <f aca="false">IFERROR(Chart_Engine!AH32/(SUM(Chart_Engine!AH30:AH39)),0)</f>
        <v>0.03257338483818</v>
      </c>
      <c r="K58" s="53"/>
      <c r="L58" s="53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8" t="str">
        <f aca="false">Chart_Engine!AJ31</f>
        <v>CodeBuild($)</v>
      </c>
      <c r="AC58" s="19" t="n">
        <f aca="false">Chart_Engine!AK31</f>
        <v>15455.827</v>
      </c>
      <c r="AD58" s="19" t="n">
        <f aca="false">Chart_Engine!AL31</f>
        <v>8166.235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</row>
    <row r="59" customFormat="false" ht="15" hidden="false" customHeight="true" outlineLevel="0" collapsed="false">
      <c r="A59" s="16"/>
      <c r="B59" s="43" t="n">
        <v>4</v>
      </c>
      <c r="C59" s="44" t="str">
        <f aca="false">Chart_Engine!AG33</f>
        <v>DataSync($)</v>
      </c>
      <c r="D59" s="44"/>
      <c r="E59" s="44"/>
      <c r="F59" s="44"/>
      <c r="G59" s="45" t="n">
        <f aca="false">Chart_Engine!AH33</f>
        <v>14365.916</v>
      </c>
      <c r="H59" s="45"/>
      <c r="I59" s="45"/>
      <c r="J59" s="54" t="n">
        <f aca="false">IFERROR(Chart_Engine!AH33/(SUM(Chart_Engine!AH30:AH39)),0)</f>
        <v>0.0304176706839894</v>
      </c>
      <c r="K59" s="54"/>
      <c r="L59" s="54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8" t="str">
        <f aca="false">Chart_Engine!AJ32</f>
        <v>Chime($)</v>
      </c>
      <c r="AC59" s="19" t="n">
        <f aca="false">Chart_Engine!AK32</f>
        <v>15384.035</v>
      </c>
      <c r="AD59" s="19" t="n">
        <f aca="false">Chart_Engine!AL32</f>
        <v>4827.409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</row>
    <row r="60" customFormat="false" ht="15" hidden="false" customHeight="true" outlineLevel="0" collapsed="false">
      <c r="A60" s="16"/>
      <c r="B60" s="38" t="n">
        <v>5</v>
      </c>
      <c r="C60" s="39" t="str">
        <f aca="false">Chart_Engine!AG34</f>
        <v>CloudFront($)</v>
      </c>
      <c r="D60" s="39"/>
      <c r="E60" s="39"/>
      <c r="F60" s="39"/>
      <c r="G60" s="40" t="n">
        <f aca="false">Chart_Engine!AH34</f>
        <v>14222.876</v>
      </c>
      <c r="H60" s="40"/>
      <c r="I60" s="40"/>
      <c r="J60" s="53" t="n">
        <f aca="false">IFERROR(Chart_Engine!AH34/(SUM(Chart_Engine!AH30:AH39)),0)</f>
        <v>0.0301148049555084</v>
      </c>
      <c r="K60" s="53"/>
      <c r="L60" s="53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8" t="str">
        <f aca="false">Chart_Engine!AJ33</f>
        <v>DataSync($)</v>
      </c>
      <c r="AC60" s="19" t="n">
        <f aca="false">Chart_Engine!AK33</f>
        <v>14365.916</v>
      </c>
      <c r="AD60" s="19" t="n">
        <f aca="false">Chart_Engine!AL33</f>
        <v>13517.198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</row>
    <row r="61" customFormat="false" ht="15" hidden="false" customHeight="true" outlineLevel="0" collapsed="false">
      <c r="A61" s="16"/>
      <c r="B61" s="43" t="n">
        <v>6</v>
      </c>
      <c r="C61" s="44" t="str">
        <f aca="false">Chart_Engine!AG35</f>
        <v>SageMaker($)</v>
      </c>
      <c r="D61" s="44"/>
      <c r="E61" s="44"/>
      <c r="F61" s="44"/>
      <c r="G61" s="45" t="n">
        <f aca="false">Chart_Engine!AH35</f>
        <v>14013.558</v>
      </c>
      <c r="H61" s="45"/>
      <c r="I61" s="45"/>
      <c r="J61" s="54" t="n">
        <f aca="false">IFERROR(Chart_Engine!AH35/(SUM(Chart_Engine!AH30:AH39)),0)</f>
        <v>0.029671605510918</v>
      </c>
      <c r="K61" s="54"/>
      <c r="L61" s="54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8" t="str">
        <f aca="false">Chart_Engine!AJ34</f>
        <v>CloudFront($)</v>
      </c>
      <c r="AC61" s="19" t="n">
        <f aca="false">Chart_Engine!AK34</f>
        <v>14222.876</v>
      </c>
      <c r="AD61" s="19" t="n">
        <f aca="false">Chart_Engine!AL34</f>
        <v>3871.446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</row>
    <row r="62" customFormat="false" ht="15" hidden="false" customHeight="true" outlineLevel="0" collapsed="false">
      <c r="A62" s="16"/>
      <c r="B62" s="38" t="n">
        <v>7</v>
      </c>
      <c r="C62" s="39" t="str">
        <f aca="false">Chart_Engine!AG36</f>
        <v>GuardDuty($)</v>
      </c>
      <c r="D62" s="39"/>
      <c r="E62" s="39"/>
      <c r="F62" s="39"/>
      <c r="G62" s="40" t="n">
        <f aca="false">Chart_Engine!AH36</f>
        <v>13414.014</v>
      </c>
      <c r="H62" s="40"/>
      <c r="I62" s="40"/>
      <c r="J62" s="53" t="n">
        <f aca="false">IFERROR(Chart_Engine!AH36/(SUM(Chart_Engine!AH30:AH39)),0)</f>
        <v>0.0284021610875647</v>
      </c>
      <c r="K62" s="53"/>
      <c r="L62" s="53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8" t="str">
        <f aca="false">Chart_Engine!AJ35</f>
        <v>SageMaker($)</v>
      </c>
      <c r="AC62" s="19" t="n">
        <f aca="false">Chart_Engine!AK35</f>
        <v>14013.558</v>
      </c>
      <c r="AD62" s="19" t="n">
        <f aca="false">Chart_Engine!AL35</f>
        <v>169.57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</row>
    <row r="63" customFormat="false" ht="15" hidden="false" customHeight="true" outlineLevel="0" collapsed="false">
      <c r="A63" s="16"/>
      <c r="B63" s="43" t="n">
        <v>8</v>
      </c>
      <c r="C63" s="44" t="str">
        <f aca="false">Chart_Engine!AG37</f>
        <v>WAF($)</v>
      </c>
      <c r="D63" s="44"/>
      <c r="E63" s="44"/>
      <c r="F63" s="44"/>
      <c r="G63" s="45" t="n">
        <f aca="false">Chart_Engine!AH37</f>
        <v>12336.252</v>
      </c>
      <c r="H63" s="45"/>
      <c r="I63" s="45"/>
      <c r="J63" s="54" t="n">
        <f aca="false">IFERROR(Chart_Engine!AH37/(SUM(Chart_Engine!AH30:AH39)),0)</f>
        <v>0.0261201618337951</v>
      </c>
      <c r="K63" s="54"/>
      <c r="L63" s="54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8" t="str">
        <f aca="false">Chart_Engine!AJ36</f>
        <v>GuardDuty($)</v>
      </c>
      <c r="AC63" s="19" t="n">
        <f aca="false">Chart_Engine!AK36</f>
        <v>13414.014</v>
      </c>
      <c r="AD63" s="19" t="n">
        <f aca="false">Chart_Engine!AL36</f>
        <v>11676.934</v>
      </c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</row>
    <row r="64" customFormat="false" ht="15" hidden="false" customHeight="true" outlineLevel="0" collapsed="false">
      <c r="A64" s="16"/>
      <c r="B64" s="38" t="n">
        <v>9</v>
      </c>
      <c r="C64" s="39" t="str">
        <f aca="false">Chart_Engine!AG38</f>
        <v>Transcribe($)</v>
      </c>
      <c r="D64" s="39"/>
      <c r="E64" s="39"/>
      <c r="F64" s="39"/>
      <c r="G64" s="40" t="n">
        <f aca="false">Chart_Engine!AH38</f>
        <v>11892.791</v>
      </c>
      <c r="H64" s="40"/>
      <c r="I64" s="40"/>
      <c r="J64" s="53" t="n">
        <f aca="false">IFERROR(Chart_Engine!AH38/(SUM(Chart_Engine!AH30:AH39)),0)</f>
        <v>0.0251811997335578</v>
      </c>
      <c r="K64" s="53"/>
      <c r="L64" s="53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8" t="str">
        <f aca="false">Chart_Engine!AJ37</f>
        <v>WAF($)</v>
      </c>
      <c r="AC64" s="19" t="n">
        <f aca="false">Chart_Engine!AK37</f>
        <v>12336.252</v>
      </c>
      <c r="AD64" s="19" t="n">
        <f aca="false">Chart_Engine!AL37</f>
        <v>3327.782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</row>
    <row r="65" customFormat="false" ht="15" hidden="false" customHeight="true" outlineLevel="0" collapsed="false">
      <c r="A65" s="16"/>
      <c r="B65" s="43" t="n">
        <v>10</v>
      </c>
      <c r="C65" s="44" t="str">
        <f aca="false">Chart_Engine!AG39</f>
        <v>Other</v>
      </c>
      <c r="D65" s="44"/>
      <c r="E65" s="44"/>
      <c r="F65" s="44"/>
      <c r="G65" s="45" t="n">
        <f aca="false">Chart_Engine!AH39</f>
        <v>345690.714</v>
      </c>
      <c r="H65" s="45"/>
      <c r="I65" s="45"/>
      <c r="J65" s="54" t="n">
        <f aca="false">IFERROR(Chart_Engine!AH39/(SUM(Chart_Engine!AH30:AH39)),0)</f>
        <v>0.731948195782655</v>
      </c>
      <c r="K65" s="54"/>
      <c r="L65" s="54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8" t="str">
        <f aca="false">Chart_Engine!AJ38</f>
        <v>Transcribe($)</v>
      </c>
      <c r="AC65" s="19" t="n">
        <f aca="false">Chart_Engine!AK38</f>
        <v>11892.791</v>
      </c>
      <c r="AD65" s="19" t="n">
        <f aca="false">Chart_Engine!AL38</f>
        <v>13663.332</v>
      </c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</row>
    <row r="66" customFormat="false" ht="21.75" hidden="false" customHeight="true" outlineLevel="0" collapsed="false">
      <c r="A66" s="16"/>
      <c r="B66" s="36" t="s">
        <v>266</v>
      </c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16"/>
      <c r="AA66" s="16"/>
      <c r="AB66" s="18" t="str">
        <f aca="false">Chart_Engine!AJ39</f>
        <v>API Gateway($)</v>
      </c>
      <c r="AC66" s="19" t="n">
        <f aca="false">Chart_Engine!AK39</f>
        <v>11724.125</v>
      </c>
      <c r="AD66" s="19" t="n">
        <f aca="false">Chart_Engine!AL39</f>
        <v>8243.276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</row>
    <row r="67" customFormat="false" ht="19.5" hidden="false" customHeight="true" outlineLevel="0" collapsed="false">
      <c r="A67" s="16"/>
      <c r="B67" s="37" t="s">
        <v>249</v>
      </c>
      <c r="C67" s="24" t="s">
        <v>0</v>
      </c>
      <c r="D67" s="24"/>
      <c r="E67" s="24"/>
      <c r="F67" s="24" t="s">
        <v>259</v>
      </c>
      <c r="G67" s="24"/>
      <c r="H67" s="24" t="s">
        <v>260</v>
      </c>
      <c r="I67" s="24"/>
      <c r="J67" s="24" t="s">
        <v>267</v>
      </c>
      <c r="K67" s="24"/>
      <c r="L67" s="24" t="s">
        <v>268</v>
      </c>
      <c r="M67" s="24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8" t="str">
        <f aca="false">Chart_Engine!AJ40</f>
        <v>Translate($)</v>
      </c>
      <c r="AC67" s="19" t="n">
        <f aca="false">Chart_Engine!AK40</f>
        <v>11660.599</v>
      </c>
      <c r="AD67" s="19" t="n">
        <f aca="false">Chart_Engine!AL40</f>
        <v>9714.62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</row>
    <row r="68" customFormat="false" ht="15" hidden="false" customHeight="true" outlineLevel="0" collapsed="false">
      <c r="A68" s="16"/>
      <c r="B68" s="38" t="n">
        <v>1</v>
      </c>
      <c r="C68" s="39" t="str">
        <f aca="false">IF(1&lt;=Dashboard!$W$5,Chart_Engine!AJ30,"")</f>
        <v>Batch($)</v>
      </c>
      <c r="D68" s="39"/>
      <c r="E68" s="39"/>
      <c r="F68" s="40" t="n">
        <f aca="false">IF(1&lt;=Dashboard!$W$5,Chart_Engine!AK30,0)</f>
        <v>15512.515</v>
      </c>
      <c r="G68" s="40"/>
      <c r="H68" s="40" t="n">
        <f aca="false">IF(1&lt;=Dashboard!$W$5,Chart_Engine!AL30,0)</f>
        <v>10580.265</v>
      </c>
      <c r="I68" s="40"/>
      <c r="J68" s="41" t="n">
        <f aca="false">IF(1&lt;=Dashboard!$W$5,Chart_Engine!AK30-Chart_Engine!AL30,0)</f>
        <v>4932.25</v>
      </c>
      <c r="K68" s="41"/>
      <c r="L68" s="53" t="n">
        <f aca="false">IF(1&lt;=Dashboard!$W$5,IFERROR(Chart_Engine!AK30/(Chart_Engine!AK30+Chart_Engine!AL30),0),0)</f>
        <v>0.594513693059919</v>
      </c>
      <c r="M68" s="53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8" t="str">
        <f aca="false">Chart_Engine!AJ41</f>
        <v>Firehose($)</v>
      </c>
      <c r="AC68" s="19" t="n">
        <f aca="false">Chart_Engine!AK41</f>
        <v>11568.293</v>
      </c>
      <c r="AD68" s="19" t="n">
        <f aca="false">Chart_Engine!AL41</f>
        <v>13047.047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</row>
    <row r="69" customFormat="false" ht="15" hidden="false" customHeight="true" outlineLevel="0" collapsed="false">
      <c r="A69" s="16"/>
      <c r="B69" s="43" t="n">
        <v>2</v>
      </c>
      <c r="C69" s="44" t="str">
        <f aca="false">IF(2&lt;=Dashboard!$W$5,Chart_Engine!AJ31,"")</f>
        <v>CodeBuild($)</v>
      </c>
      <c r="D69" s="44"/>
      <c r="E69" s="44"/>
      <c r="F69" s="45" t="n">
        <f aca="false">IF(2&lt;=Dashboard!$W$5,Chart_Engine!AK31,0)</f>
        <v>15455.827</v>
      </c>
      <c r="G69" s="45"/>
      <c r="H69" s="45" t="n">
        <f aca="false">IF(2&lt;=Dashboard!$W$5,Chart_Engine!AL31,0)</f>
        <v>8166.235</v>
      </c>
      <c r="I69" s="45"/>
      <c r="J69" s="46" t="n">
        <f aca="false">IF(2&lt;=Dashboard!$W$5,Chart_Engine!AK31-Chart_Engine!AL31,0)</f>
        <v>7289.592</v>
      </c>
      <c r="K69" s="46"/>
      <c r="L69" s="54" t="n">
        <f aca="false">IF(2&lt;=Dashboard!$W$5,IFERROR(Chart_Engine!AK31/(Chart_Engine!AK31+Chart_Engine!AL31),0),0)</f>
        <v>0.654296267616265</v>
      </c>
      <c r="M69" s="54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8" t="str">
        <f aca="false">Chart_Engine!AJ42</f>
        <v>Athena($)</v>
      </c>
      <c r="AC69" s="19" t="n">
        <f aca="false">Chart_Engine!AK42</f>
        <v>11300.897</v>
      </c>
      <c r="AD69" s="19" t="n">
        <f aca="false">Chart_Engine!AL42</f>
        <v>2112.433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</row>
    <row r="70" customFormat="false" ht="15" hidden="false" customHeight="true" outlineLevel="0" collapsed="false">
      <c r="A70" s="16"/>
      <c r="B70" s="38" t="n">
        <v>3</v>
      </c>
      <c r="C70" s="39" t="str">
        <f aca="false">IF(3&lt;=Dashboard!$W$5,Chart_Engine!AJ32,"")</f>
        <v>Chime($)</v>
      </c>
      <c r="D70" s="39"/>
      <c r="E70" s="39"/>
      <c r="F70" s="40" t="n">
        <f aca="false">IF(3&lt;=Dashboard!$W$5,Chart_Engine!AK32,0)</f>
        <v>15384.035</v>
      </c>
      <c r="G70" s="40"/>
      <c r="H70" s="40" t="n">
        <f aca="false">IF(3&lt;=Dashboard!$W$5,Chart_Engine!AL32,0)</f>
        <v>4827.409</v>
      </c>
      <c r="I70" s="40"/>
      <c r="J70" s="41" t="n">
        <f aca="false">IF(3&lt;=Dashboard!$W$5,Chart_Engine!AK32-Chart_Engine!AL32,0)</f>
        <v>10556.626</v>
      </c>
      <c r="K70" s="41"/>
      <c r="L70" s="53" t="n">
        <f aca="false">IF(3&lt;=Dashboard!$W$5,IFERROR(Chart_Engine!AK32/(Chart_Engine!AK32+Chart_Engine!AL32),0),0)</f>
        <v>0.761154670591572</v>
      </c>
      <c r="M70" s="53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8" t="str">
        <f aca="false">Chart_Engine!AJ43</f>
        <v>AppSync($)</v>
      </c>
      <c r="AC70" s="19" t="n">
        <f aca="false">Chart_Engine!AK43</f>
        <v>11093.646</v>
      </c>
      <c r="AD70" s="19" t="n">
        <f aca="false">Chart_Engine!AL43</f>
        <v>15178.999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</row>
    <row r="71" customFormat="false" ht="15" hidden="false" customHeight="true" outlineLevel="0" collapsed="false">
      <c r="A71" s="16"/>
      <c r="B71" s="43" t="n">
        <v>4</v>
      </c>
      <c r="C71" s="44" t="str">
        <f aca="false">IF(4&lt;=Dashboard!$W$5,Chart_Engine!AJ33,"")</f>
        <v>DataSync($)</v>
      </c>
      <c r="D71" s="44"/>
      <c r="E71" s="44"/>
      <c r="F71" s="45" t="n">
        <f aca="false">IF(4&lt;=Dashboard!$W$5,Chart_Engine!AK33,0)</f>
        <v>14365.916</v>
      </c>
      <c r="G71" s="45"/>
      <c r="H71" s="45" t="n">
        <f aca="false">IF(4&lt;=Dashboard!$W$5,Chart_Engine!AL33,0)</f>
        <v>13517.198</v>
      </c>
      <c r="I71" s="45"/>
      <c r="J71" s="46" t="n">
        <f aca="false">IF(4&lt;=Dashboard!$W$5,Chart_Engine!AK33-Chart_Engine!AL33,0)</f>
        <v>848.717999999999</v>
      </c>
      <c r="K71" s="46"/>
      <c r="L71" s="54" t="n">
        <f aca="false">IF(4&lt;=Dashboard!$W$5,IFERROR(Chart_Engine!AK33/(Chart_Engine!AK33+Chart_Engine!AL33),0),0)</f>
        <v>0.515219211168451</v>
      </c>
      <c r="M71" s="54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8" t="str">
        <f aca="false">Chart_Engine!AJ44</f>
        <v>Transfer Family($)</v>
      </c>
      <c r="AC71" s="19" t="n">
        <f aca="false">Chart_Engine!AK44</f>
        <v>11086.39</v>
      </c>
      <c r="AD71" s="19" t="n">
        <f aca="false">Chart_Engine!AL44</f>
        <v>13576.395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</row>
    <row r="72" customFormat="false" ht="15" hidden="false" customHeight="true" outlineLevel="0" collapsed="false">
      <c r="A72" s="16"/>
      <c r="B72" s="38" t="n">
        <v>5</v>
      </c>
      <c r="C72" s="39" t="str">
        <f aca="false">IF(5&lt;=Dashboard!$W$5,Chart_Engine!AJ34,"")</f>
        <v>CloudFront($)</v>
      </c>
      <c r="D72" s="39"/>
      <c r="E72" s="39"/>
      <c r="F72" s="40" t="n">
        <f aca="false">IF(5&lt;=Dashboard!$W$5,Chart_Engine!AK34,0)</f>
        <v>14222.876</v>
      </c>
      <c r="G72" s="40"/>
      <c r="H72" s="40" t="n">
        <f aca="false">IF(5&lt;=Dashboard!$W$5,Chart_Engine!AL34,0)</f>
        <v>3871.446</v>
      </c>
      <c r="I72" s="40"/>
      <c r="J72" s="41" t="n">
        <f aca="false">IF(5&lt;=Dashboard!$W$5,Chart_Engine!AK34-Chart_Engine!AL34,0)</f>
        <v>10351.43</v>
      </c>
      <c r="K72" s="41"/>
      <c r="L72" s="53" t="n">
        <f aca="false">IF(5&lt;=Dashboard!$W$5,IFERROR(Chart_Engine!AK34/(Chart_Engine!AK34+Chart_Engine!AL34),0),0)</f>
        <v>0.786040836456873</v>
      </c>
      <c r="M72" s="53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</row>
    <row r="73" customFormat="false" ht="15" hidden="false" customHeight="true" outlineLevel="0" collapsed="false">
      <c r="A73" s="16"/>
      <c r="B73" s="43" t="n">
        <v>6</v>
      </c>
      <c r="C73" s="44" t="str">
        <f aca="false">IF(6&lt;=Dashboard!$W$5,Chart_Engine!AJ35,"")</f>
        <v>SageMaker($)</v>
      </c>
      <c r="D73" s="44"/>
      <c r="E73" s="44"/>
      <c r="F73" s="45" t="n">
        <f aca="false">IF(6&lt;=Dashboard!$W$5,Chart_Engine!AK35,0)</f>
        <v>14013.558</v>
      </c>
      <c r="G73" s="45"/>
      <c r="H73" s="45" t="n">
        <f aca="false">IF(6&lt;=Dashboard!$W$5,Chart_Engine!AL35,0)</f>
        <v>169.57</v>
      </c>
      <c r="I73" s="45"/>
      <c r="J73" s="46" t="n">
        <f aca="false">IF(6&lt;=Dashboard!$W$5,Chart_Engine!AK35-Chart_Engine!AL35,0)</f>
        <v>13843.988</v>
      </c>
      <c r="K73" s="46"/>
      <c r="L73" s="54" t="n">
        <f aca="false">IF(6&lt;=Dashboard!$W$5,IFERROR(Chart_Engine!AK35/(Chart_Engine!AK35+Chart_Engine!AL35),0),0)</f>
        <v>0.988044245246888</v>
      </c>
      <c r="M73" s="54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</row>
    <row r="74" customFormat="false" ht="15" hidden="false" customHeight="true" outlineLevel="0" collapsed="false">
      <c r="A74" s="16"/>
      <c r="B74" s="38" t="n">
        <v>7</v>
      </c>
      <c r="C74" s="39" t="str">
        <f aca="false">IF(7&lt;=Dashboard!$W$5,Chart_Engine!AJ36,"")</f>
        <v>GuardDuty($)</v>
      </c>
      <c r="D74" s="39"/>
      <c r="E74" s="39"/>
      <c r="F74" s="40" t="n">
        <f aca="false">IF(7&lt;=Dashboard!$W$5,Chart_Engine!AK36,0)</f>
        <v>13414.014</v>
      </c>
      <c r="G74" s="40"/>
      <c r="H74" s="40" t="n">
        <f aca="false">IF(7&lt;=Dashboard!$W$5,Chart_Engine!AL36,0)</f>
        <v>11676.934</v>
      </c>
      <c r="I74" s="40"/>
      <c r="J74" s="41" t="n">
        <f aca="false">IF(7&lt;=Dashboard!$W$5,Chart_Engine!AK36-Chart_Engine!AL36,0)</f>
        <v>1737.08</v>
      </c>
      <c r="K74" s="41"/>
      <c r="L74" s="53" t="n">
        <f aca="false">IF(7&lt;=Dashboard!$W$5,IFERROR(Chart_Engine!AK36/(Chart_Engine!AK36+Chart_Engine!AL36),0),0)</f>
        <v>0.534615670958307</v>
      </c>
      <c r="M74" s="53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</row>
    <row r="75" customFormat="false" ht="15" hidden="false" customHeight="true" outlineLevel="0" collapsed="false">
      <c r="A75" s="16"/>
      <c r="B75" s="43" t="n">
        <v>8</v>
      </c>
      <c r="C75" s="44" t="str">
        <f aca="false">IF(8&lt;=Dashboard!$W$5,Chart_Engine!AJ37,"")</f>
        <v>WAF($)</v>
      </c>
      <c r="D75" s="44"/>
      <c r="E75" s="44"/>
      <c r="F75" s="45" t="n">
        <f aca="false">IF(8&lt;=Dashboard!$W$5,Chart_Engine!AK37,0)</f>
        <v>12336.252</v>
      </c>
      <c r="G75" s="45"/>
      <c r="H75" s="45" t="n">
        <f aca="false">IF(8&lt;=Dashboard!$W$5,Chart_Engine!AL37,0)</f>
        <v>3327.782</v>
      </c>
      <c r="I75" s="45"/>
      <c r="J75" s="46" t="n">
        <f aca="false">IF(8&lt;=Dashboard!$W$5,Chart_Engine!AK37-Chart_Engine!AL37,0)</f>
        <v>9008.47</v>
      </c>
      <c r="K75" s="46"/>
      <c r="L75" s="54" t="n">
        <f aca="false">IF(8&lt;=Dashboard!$W$5,IFERROR(Chart_Engine!AK37/(Chart_Engine!AK37+Chart_Engine!AL37),0),0)</f>
        <v>0.787552682789121</v>
      </c>
      <c r="M75" s="54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</row>
    <row r="76" customFormat="false" ht="15" hidden="false" customHeight="true" outlineLevel="0" collapsed="false">
      <c r="A76" s="16"/>
      <c r="B76" s="38" t="n">
        <v>9</v>
      </c>
      <c r="C76" s="39" t="str">
        <f aca="false">IF(9&lt;=Dashboard!$W$5,Chart_Engine!AJ38,"")</f>
        <v>Transcribe($)</v>
      </c>
      <c r="D76" s="39"/>
      <c r="E76" s="39"/>
      <c r="F76" s="40" t="n">
        <f aca="false">IF(9&lt;=Dashboard!$W$5,Chart_Engine!AK38,0)</f>
        <v>11892.791</v>
      </c>
      <c r="G76" s="40"/>
      <c r="H76" s="40" t="n">
        <f aca="false">IF(9&lt;=Dashboard!$W$5,Chart_Engine!AL38,0)</f>
        <v>13663.332</v>
      </c>
      <c r="I76" s="40"/>
      <c r="J76" s="41" t="n">
        <f aca="false">IF(9&lt;=Dashboard!$W$5,Chart_Engine!AK38-Chart_Engine!AL38,0)</f>
        <v>-1770.541</v>
      </c>
      <c r="K76" s="41"/>
      <c r="L76" s="53" t="n">
        <f aca="false">IF(9&lt;=Dashboard!$W$5,IFERROR(Chart_Engine!AK38/(Chart_Engine!AK38+Chart_Engine!AL38),0),0)</f>
        <v>0.465359749598951</v>
      </c>
      <c r="M76" s="53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</row>
    <row r="77" customFormat="false" ht="15" hidden="false" customHeight="true" outlineLevel="0" collapsed="false">
      <c r="A77" s="16"/>
      <c r="B77" s="43" t="n">
        <v>10</v>
      </c>
      <c r="C77" s="44" t="str">
        <f aca="false">IF(10&lt;=Dashboard!$W$5,Chart_Engine!AJ39,"")</f>
        <v>API Gateway($)</v>
      </c>
      <c r="D77" s="44"/>
      <c r="E77" s="44"/>
      <c r="F77" s="45" t="n">
        <f aca="false">IF(10&lt;=Dashboard!$W$5,Chart_Engine!AK39,0)</f>
        <v>11724.125</v>
      </c>
      <c r="G77" s="45"/>
      <c r="H77" s="45" t="n">
        <f aca="false">IF(10&lt;=Dashboard!$W$5,Chart_Engine!AL39,0)</f>
        <v>8243.276</v>
      </c>
      <c r="I77" s="45"/>
      <c r="J77" s="46" t="n">
        <f aca="false">IF(10&lt;=Dashboard!$W$5,Chart_Engine!AK39-Chart_Engine!AL39,0)</f>
        <v>3480.849</v>
      </c>
      <c r="K77" s="46"/>
      <c r="L77" s="54" t="n">
        <f aca="false">IF(10&lt;=Dashboard!$W$5,IFERROR(Chart_Engine!AK39/(Chart_Engine!AK39+Chart_Engine!AL39),0),0)</f>
        <v>0.587163296815645</v>
      </c>
      <c r="M77" s="54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</row>
    <row r="78" customFormat="false" ht="15" hidden="false" customHeight="true" outlineLevel="0" collapsed="false">
      <c r="A78" s="16"/>
      <c r="B78" s="38" t="n">
        <v>11</v>
      </c>
      <c r="C78" s="39" t="str">
        <f aca="false">IF(11&lt;=Dashboard!$W$5,Chart_Engine!AJ40,"")</f>
        <v>Translate($)</v>
      </c>
      <c r="D78" s="39"/>
      <c r="E78" s="39"/>
      <c r="F78" s="40" t="n">
        <f aca="false">IF(11&lt;=Dashboard!$W$5,Chart_Engine!AK40,0)</f>
        <v>11660.599</v>
      </c>
      <c r="G78" s="40"/>
      <c r="H78" s="40" t="n">
        <f aca="false">IF(11&lt;=Dashboard!$W$5,Chart_Engine!AL40,0)</f>
        <v>9714.62</v>
      </c>
      <c r="I78" s="40"/>
      <c r="J78" s="41" t="n">
        <f aca="false">IF(11&lt;=Dashboard!$W$5,Chart_Engine!AK40-Chart_Engine!AL40,0)</f>
        <v>1945.979</v>
      </c>
      <c r="K78" s="41"/>
      <c r="L78" s="53" t="n">
        <f aca="false">IF(11&lt;=Dashboard!$W$5,IFERROR(Chart_Engine!AK40/(Chart_Engine!AK40+Chart_Engine!AL40),0),0)</f>
        <v>0.545519510232854</v>
      </c>
      <c r="M78" s="53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</row>
    <row r="79" customFormat="false" ht="15" hidden="false" customHeight="true" outlineLevel="0" collapsed="false">
      <c r="A79" s="16"/>
      <c r="B79" s="43" t="n">
        <v>12</v>
      </c>
      <c r="C79" s="44" t="str">
        <f aca="false">IF(12&lt;=Dashboard!$W$5,Chart_Engine!AJ41,"")</f>
        <v>Firehose($)</v>
      </c>
      <c r="D79" s="44"/>
      <c r="E79" s="44"/>
      <c r="F79" s="45" t="n">
        <f aca="false">IF(12&lt;=Dashboard!$W$5,Chart_Engine!AK41,0)</f>
        <v>11568.293</v>
      </c>
      <c r="G79" s="45"/>
      <c r="H79" s="45" t="n">
        <f aca="false">IF(12&lt;=Dashboard!$W$5,Chart_Engine!AL41,0)</f>
        <v>13047.047</v>
      </c>
      <c r="I79" s="45"/>
      <c r="J79" s="46" t="n">
        <f aca="false">IF(12&lt;=Dashboard!$W$5,Chart_Engine!AK41-Chart_Engine!AL41,0)</f>
        <v>-1478.754</v>
      </c>
      <c r="K79" s="46"/>
      <c r="L79" s="54" t="n">
        <f aca="false">IF(12&lt;=Dashboard!$W$5,IFERROR(Chart_Engine!AK41/(Chart_Engine!AK41+Chart_Engine!AL41),0),0)</f>
        <v>0.469962754932493</v>
      </c>
      <c r="M79" s="54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</row>
    <row r="80" customFormat="false" ht="15" hidden="false" customHeight="true" outlineLevel="0" collapsed="false">
      <c r="A80" s="16"/>
      <c r="B80" s="38" t="n">
        <v>13</v>
      </c>
      <c r="C80" s="39" t="str">
        <f aca="false">IF(13&lt;=Dashboard!$W$5,Chart_Engine!AJ42,"")</f>
        <v>Athena($)</v>
      </c>
      <c r="D80" s="39"/>
      <c r="E80" s="39"/>
      <c r="F80" s="40" t="n">
        <f aca="false">IF(13&lt;=Dashboard!$W$5,Chart_Engine!AK42,0)</f>
        <v>11300.897</v>
      </c>
      <c r="G80" s="40"/>
      <c r="H80" s="40" t="n">
        <f aca="false">IF(13&lt;=Dashboard!$W$5,Chart_Engine!AL42,0)</f>
        <v>2112.433</v>
      </c>
      <c r="I80" s="40"/>
      <c r="J80" s="41" t="n">
        <f aca="false">IF(13&lt;=Dashboard!$W$5,Chart_Engine!AK42-Chart_Engine!AL42,0)</f>
        <v>9188.464</v>
      </c>
      <c r="K80" s="41"/>
      <c r="L80" s="53" t="n">
        <f aca="false">IF(13&lt;=Dashboard!$W$5,IFERROR(Chart_Engine!AK42/(Chart_Engine!AK42+Chart_Engine!AL42),0),0)</f>
        <v>0.842512411161136</v>
      </c>
      <c r="M80" s="53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</row>
    <row r="81" customFormat="false" ht="15" hidden="false" customHeight="true" outlineLevel="0" collapsed="false">
      <c r="A81" s="16"/>
      <c r="B81" s="43" t="n">
        <v>14</v>
      </c>
      <c r="C81" s="44" t="str">
        <f aca="false">IF(14&lt;=Dashboard!$W$5,Chart_Engine!AJ43,"")</f>
        <v>AppSync($)</v>
      </c>
      <c r="D81" s="44"/>
      <c r="E81" s="44"/>
      <c r="F81" s="45" t="n">
        <f aca="false">IF(14&lt;=Dashboard!$W$5,Chart_Engine!AK43,0)</f>
        <v>11093.646</v>
      </c>
      <c r="G81" s="45"/>
      <c r="H81" s="45" t="n">
        <f aca="false">IF(14&lt;=Dashboard!$W$5,Chart_Engine!AL43,0)</f>
        <v>15178.999</v>
      </c>
      <c r="I81" s="45"/>
      <c r="J81" s="46" t="n">
        <f aca="false">IF(14&lt;=Dashboard!$W$5,Chart_Engine!AK43-Chart_Engine!AL43,0)</f>
        <v>-4085.353</v>
      </c>
      <c r="K81" s="46"/>
      <c r="L81" s="54" t="n">
        <f aca="false">IF(14&lt;=Dashboard!$W$5,IFERROR(Chart_Engine!AK43/(Chart_Engine!AK43+Chart_Engine!AL43),0),0)</f>
        <v>0.422250824003445</v>
      </c>
      <c r="M81" s="54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</row>
    <row r="82" customFormat="false" ht="15" hidden="false" customHeight="true" outlineLevel="0" collapsed="false">
      <c r="A82" s="16"/>
      <c r="B82" s="38" t="n">
        <v>15</v>
      </c>
      <c r="C82" s="39" t="str">
        <f aca="false">IF(15&lt;=Dashboard!$W$5,Chart_Engine!AJ44,"")</f>
        <v>Transfer Family($)</v>
      </c>
      <c r="D82" s="39"/>
      <c r="E82" s="39"/>
      <c r="F82" s="40" t="n">
        <f aca="false">IF(15&lt;=Dashboard!$W$5,Chart_Engine!AK44,0)</f>
        <v>11086.39</v>
      </c>
      <c r="G82" s="40"/>
      <c r="H82" s="40" t="n">
        <f aca="false">IF(15&lt;=Dashboard!$W$5,Chart_Engine!AL44,0)</f>
        <v>13576.395</v>
      </c>
      <c r="I82" s="40"/>
      <c r="J82" s="41" t="n">
        <f aca="false">IF(15&lt;=Dashboard!$W$5,Chart_Engine!AK44-Chart_Engine!AL44,0)</f>
        <v>-2490.005</v>
      </c>
      <c r="K82" s="41"/>
      <c r="L82" s="53" t="n">
        <f aca="false">IF(15&lt;=Dashboard!$W$5,IFERROR(Chart_Engine!AK44/(Chart_Engine!AK44+Chart_Engine!AL44),0),0)</f>
        <v>0.449518981737058</v>
      </c>
      <c r="M82" s="53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</row>
    <row r="83" customFormat="false" ht="21.75" hidden="false" customHeight="true" outlineLevel="0" collapsed="false">
      <c r="A83" s="16"/>
      <c r="B83" s="36" t="s">
        <v>269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</row>
    <row r="84" customFormat="false" ht="16.5" hidden="false" customHeight="true" outlineLevel="0" collapsed="false">
      <c r="A84" s="16"/>
      <c r="B84" s="55" t="s">
        <v>270</v>
      </c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</row>
    <row r="85" customFormat="false" ht="16.5" hidden="false" customHeight="true" outlineLevel="0" collapsed="false">
      <c r="A85" s="16"/>
      <c r="B85" s="56" t="s">
        <v>271</v>
      </c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</row>
    <row r="86" customFormat="false" ht="16.5" hidden="false" customHeight="true" outlineLevel="0" collapsed="false">
      <c r="A86" s="16"/>
      <c r="B86" s="55" t="s">
        <v>272</v>
      </c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</row>
    <row r="87" customFormat="false" ht="16.5" hidden="false" customHeight="true" outlineLevel="0" collapsed="false">
      <c r="A87" s="16"/>
      <c r="B87" s="56" t="s">
        <v>273</v>
      </c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</row>
    <row r="88" customFormat="false" ht="16.5" hidden="false" customHeight="true" outlineLevel="0" collapsed="false">
      <c r="A88" s="16"/>
      <c r="B88" s="55" t="s">
        <v>274</v>
      </c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</row>
    <row r="89" customFormat="false" ht="16.5" hidden="false" customHeight="true" outlineLevel="0" collapsed="false">
      <c r="A89" s="16"/>
      <c r="B89" s="56" t="s">
        <v>275</v>
      </c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</row>
    <row r="90" customFormat="false" ht="16.5" hidden="false" customHeight="true" outlineLevel="0" collapsed="false">
      <c r="A90" s="16"/>
      <c r="B90" s="55" t="s">
        <v>276</v>
      </c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</row>
    <row r="103" customFormat="false" ht="1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</row>
    <row r="104" customFormat="false" ht="1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</row>
    <row r="105" customFormat="false" ht="1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</row>
    <row r="125" customFormat="false" ht="1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</row>
    <row r="126" customFormat="false" ht="1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</row>
    <row r="127" customFormat="false" ht="1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</row>
    <row r="129" customFormat="false" ht="1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</row>
    <row r="130" customFormat="false" ht="1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</row>
    <row r="131" customFormat="false" ht="1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</row>
    <row r="132" customFormat="false" ht="1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</row>
    <row r="133" customFormat="false" ht="1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</row>
    <row r="134" customFormat="false" ht="1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</row>
    <row r="135" customFormat="false" ht="1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</row>
    <row r="136" customFormat="false" ht="1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</row>
    <row r="137" customFormat="false" ht="1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</row>
    <row r="139" customFormat="false" ht="1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</row>
    <row r="140" customFormat="false" ht="1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</row>
    <row r="141" customFormat="false" ht="1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</row>
    <row r="155" customFormat="false" ht="1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</row>
    <row r="156" customFormat="false" ht="1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</row>
    <row r="157" customFormat="false" ht="1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</row>
    <row r="158" customFormat="false" ht="1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</row>
    <row r="159" customFormat="false" ht="1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</row>
    <row r="160" customFormat="false" ht="1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</row>
    <row r="161" customFormat="false" ht="1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</row>
    <row r="162" customFormat="false" ht="1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</row>
    <row r="204" customFormat="false" ht="1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</row>
    <row r="205" customFormat="false" ht="1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</row>
    <row r="206" customFormat="false" ht="1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</row>
    <row r="207" customFormat="false" ht="1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</row>
    <row r="208" customFormat="false" ht="1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</row>
    <row r="209" customFormat="false" ht="15" hidden="false" customHeight="fals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</row>
    <row r="210" customFormat="false" ht="15" hidden="false" customHeight="fals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</row>
    <row r="211" customFormat="false" ht="15" hidden="false" customHeight="fals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</row>
    <row r="212" customFormat="false" ht="15" hidden="false" customHeight="fals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</row>
    <row r="213" customFormat="false" ht="15" hidden="false" customHeight="fals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</row>
    <row r="214" customFormat="false" ht="15" hidden="false" customHeight="fals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</row>
    <row r="215" customFormat="false" ht="15" hidden="false" customHeight="fals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</row>
    <row r="216" customFormat="false" ht="15" hidden="false" customHeight="fals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</row>
    <row r="217" customFormat="false" ht="15" hidden="false" customHeight="fals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</row>
    <row r="218" customFormat="false" ht="15" hidden="false" customHeight="fals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</row>
    <row r="219" customFormat="false" ht="15" hidden="false" customHeight="fals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</row>
    <row r="220" customFormat="false" ht="15" hidden="false" customHeight="fals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</row>
    <row r="221" customFormat="false" ht="15" hidden="false" customHeight="fals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</row>
    <row r="222" customFormat="false" ht="15" hidden="false" customHeight="fals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</row>
    <row r="223" customFormat="false" ht="15" hidden="false" customHeight="fals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</row>
    <row r="224" customFormat="false" ht="15" hidden="false" customHeight="fals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</row>
    <row r="225" customFormat="false" ht="15" hidden="false" customHeight="fals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</row>
    <row r="226" customFormat="false" ht="15" hidden="false" customHeight="fals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</row>
    <row r="227" customFormat="false" ht="15" hidden="false" customHeight="fals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</row>
    <row r="228" customFormat="false" ht="15" hidden="false" customHeight="fals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</row>
    <row r="229" customFormat="false" ht="15" hidden="false" customHeight="fals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</row>
    <row r="230" customFormat="false" ht="15" hidden="false" customHeight="fals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</row>
    <row r="231" customFormat="false" ht="15" hidden="false" customHeight="fals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</row>
    <row r="232" customFormat="false" ht="15" hidden="false" customHeight="fals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</row>
    <row r="233" customFormat="false" ht="15" hidden="false" customHeight="fals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</row>
    <row r="234" customFormat="false" ht="15" hidden="false" customHeight="fals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</row>
    <row r="235" customFormat="false" ht="15" hidden="false" customHeight="fals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</row>
    <row r="236" customFormat="false" ht="15" hidden="false" customHeight="fals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</row>
    <row r="237" customFormat="false" ht="15" hidden="false" customHeight="fals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</row>
    <row r="238" customFormat="false" ht="15" hidden="false" customHeight="fals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</row>
    <row r="239" customFormat="false" ht="15" hidden="false" customHeight="fals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</row>
    <row r="240" customFormat="false" ht="15" hidden="false" customHeight="fals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</row>
    <row r="241" customFormat="false" ht="15" hidden="false" customHeight="fals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</row>
    <row r="242" customFormat="false" ht="15" hidden="false" customHeight="fals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</row>
    <row r="243" customFormat="false" ht="15" hidden="false" customHeight="fals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</row>
    <row r="244" customFormat="false" ht="15" hidden="false" customHeight="fals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</row>
    <row r="245" customFormat="false" ht="15" hidden="false" customHeight="fals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</row>
    <row r="246" customFormat="false" ht="15" hidden="false" customHeight="fals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</row>
    <row r="247" customFormat="false" ht="15" hidden="false" customHeight="fals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</row>
    <row r="248" customFormat="false" ht="15" hidden="false" customHeight="fals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</row>
    <row r="249" customFormat="false" ht="15" hidden="false" customHeight="fals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</row>
    <row r="250" customFormat="false" ht="15" hidden="false" customHeight="fals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</row>
    <row r="251" customFormat="false" ht="15" hidden="false" customHeight="fals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</row>
    <row r="252" customFormat="false" ht="15" hidden="false" customHeight="fals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</row>
    <row r="253" customFormat="false" ht="15" hidden="false" customHeight="fals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</row>
    <row r="254" customFormat="false" ht="15" hidden="false" customHeight="fals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</row>
    <row r="255" customFormat="false" ht="15" hidden="false" customHeight="fals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</row>
    <row r="256" customFormat="false" ht="15" hidden="false" customHeight="fals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</row>
    <row r="257" customFormat="false" ht="15" hidden="false" customHeight="fals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</row>
    <row r="258" customFormat="false" ht="15" hidden="false" customHeight="fals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</row>
    <row r="259" customFormat="false" ht="15" hidden="false" customHeight="fals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</row>
    <row r="260" customFormat="false" ht="15" hidden="false" customHeight="fals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</row>
    <row r="261" customFormat="false" ht="15" hidden="false" customHeight="fals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</row>
    <row r="262" customFormat="false" ht="15" hidden="false" customHeight="fals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</row>
    <row r="263" customFormat="false" ht="15" hidden="false" customHeight="fals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</row>
    <row r="264" customFormat="false" ht="15" hidden="false" customHeight="fals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</row>
    <row r="265" customFormat="false" ht="15" hidden="false" customHeight="fals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</row>
    <row r="266" customFormat="false" ht="15" hidden="false" customHeight="fals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</row>
    <row r="267" customFormat="false" ht="15" hidden="false" customHeight="fals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</row>
    <row r="268" customFormat="false" ht="15" hidden="false" customHeight="fals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</row>
    <row r="269" customFormat="false" ht="15" hidden="false" customHeight="fals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</row>
    <row r="270" customFormat="false" ht="15" hidden="false" customHeight="fals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</row>
    <row r="271" customFormat="false" ht="15" hidden="false" customHeight="fals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</row>
    <row r="272" customFormat="false" ht="15" hidden="false" customHeight="fals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</row>
    <row r="273" customFormat="false" ht="15" hidden="false" customHeight="fals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</row>
    <row r="274" customFormat="false" ht="15" hidden="false" customHeight="fals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</row>
    <row r="275" customFormat="false" ht="15" hidden="false" customHeight="fals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</row>
    <row r="276" customFormat="false" ht="15" hidden="false" customHeight="fals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</row>
    <row r="277" customFormat="false" ht="15" hidden="false" customHeight="fals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</row>
    <row r="278" customFormat="false" ht="15" hidden="false" customHeight="fals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</row>
    <row r="279" customFormat="false" ht="15" hidden="false" customHeight="fals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</row>
    <row r="280" customFormat="false" ht="15" hidden="false" customHeight="fals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</row>
    <row r="281" customFormat="false" ht="15" hidden="false" customHeight="fals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</row>
    <row r="282" customFormat="false" ht="15" hidden="false" customHeight="fals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</row>
    <row r="283" customFormat="false" ht="15" hidden="false" customHeight="fals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</row>
    <row r="284" customFormat="false" ht="15" hidden="false" customHeight="fals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</row>
    <row r="285" customFormat="false" ht="15" hidden="false" customHeight="fals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</row>
    <row r="286" customFormat="false" ht="15" hidden="false" customHeight="fals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</row>
    <row r="287" customFormat="false" ht="15" hidden="false" customHeight="fals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</row>
    <row r="288" customFormat="false" ht="15" hidden="false" customHeight="fals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</row>
    <row r="289" customFormat="false" ht="15" hidden="false" customHeight="fals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</row>
    <row r="290" customFormat="false" ht="15" hidden="false" customHeight="fals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</row>
    <row r="291" customFormat="false" ht="15" hidden="false" customHeight="fals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</row>
    <row r="292" customFormat="false" ht="15" hidden="false" customHeight="fals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</row>
    <row r="293" customFormat="false" ht="15" hidden="false" customHeight="fals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</row>
    <row r="294" customFormat="false" ht="15" hidden="false" customHeight="fals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</row>
    <row r="295" customFormat="false" ht="15" hidden="false" customHeight="fals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</row>
    <row r="296" customFormat="false" ht="15" hidden="false" customHeight="fals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</row>
    <row r="297" customFormat="false" ht="15" hidden="false" customHeight="fals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</row>
    <row r="298" customFormat="false" ht="15" hidden="false" customHeight="fals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</row>
    <row r="299" customFormat="false" ht="15" hidden="false" customHeight="fals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</row>
    <row r="300" customFormat="false" ht="15" hidden="false" customHeight="fals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</row>
  </sheetData>
  <mergeCells count="348">
    <mergeCell ref="A1:Z1"/>
    <mergeCell ref="A2:Z2"/>
    <mergeCell ref="B4:Z4"/>
    <mergeCell ref="B5:D5"/>
    <mergeCell ref="G5:I5"/>
    <mergeCell ref="M5:O5"/>
    <mergeCell ref="S5:U5"/>
    <mergeCell ref="B8:E8"/>
    <mergeCell ref="G8:J8"/>
    <mergeCell ref="L8:O8"/>
    <mergeCell ref="Q8:T8"/>
    <mergeCell ref="V8:Y8"/>
    <mergeCell ref="B9:E9"/>
    <mergeCell ref="G9:J9"/>
    <mergeCell ref="L9:O9"/>
    <mergeCell ref="Q9:T9"/>
    <mergeCell ref="V9:Y9"/>
    <mergeCell ref="B10:E10"/>
    <mergeCell ref="G10:J10"/>
    <mergeCell ref="L10:O10"/>
    <mergeCell ref="Q10:T10"/>
    <mergeCell ref="V10:Y10"/>
    <mergeCell ref="B12:Y12"/>
    <mergeCell ref="C13:E13"/>
    <mergeCell ref="F13:G13"/>
    <mergeCell ref="H13:I13"/>
    <mergeCell ref="J13:K13"/>
    <mergeCell ref="L13:M13"/>
    <mergeCell ref="C14:E14"/>
    <mergeCell ref="F14:G14"/>
    <mergeCell ref="H14:I14"/>
    <mergeCell ref="J14:K14"/>
    <mergeCell ref="L14:M14"/>
    <mergeCell ref="C15:E15"/>
    <mergeCell ref="F15:G15"/>
    <mergeCell ref="H15:I15"/>
    <mergeCell ref="J15:K15"/>
    <mergeCell ref="L15:M15"/>
    <mergeCell ref="C16:E16"/>
    <mergeCell ref="F16:G16"/>
    <mergeCell ref="H16:I16"/>
    <mergeCell ref="J16:K16"/>
    <mergeCell ref="L16:M16"/>
    <mergeCell ref="C17:E17"/>
    <mergeCell ref="F17:G17"/>
    <mergeCell ref="H17:I17"/>
    <mergeCell ref="J17:K17"/>
    <mergeCell ref="L17:M17"/>
    <mergeCell ref="C18:E18"/>
    <mergeCell ref="F18:G18"/>
    <mergeCell ref="H18:I18"/>
    <mergeCell ref="J18:K18"/>
    <mergeCell ref="L18:M18"/>
    <mergeCell ref="C19:E19"/>
    <mergeCell ref="F19:G19"/>
    <mergeCell ref="H19:I19"/>
    <mergeCell ref="J19:K19"/>
    <mergeCell ref="L19:M19"/>
    <mergeCell ref="C20:E20"/>
    <mergeCell ref="F20:G20"/>
    <mergeCell ref="H20:I20"/>
    <mergeCell ref="J20:K20"/>
    <mergeCell ref="L20:M20"/>
    <mergeCell ref="C21:E21"/>
    <mergeCell ref="F21:G21"/>
    <mergeCell ref="H21:I21"/>
    <mergeCell ref="J21:K21"/>
    <mergeCell ref="L21:M21"/>
    <mergeCell ref="C22:E22"/>
    <mergeCell ref="F22:G22"/>
    <mergeCell ref="H22:I22"/>
    <mergeCell ref="J22:K22"/>
    <mergeCell ref="L22:M22"/>
    <mergeCell ref="C23:E23"/>
    <mergeCell ref="F23:G23"/>
    <mergeCell ref="H23:I23"/>
    <mergeCell ref="J23:K23"/>
    <mergeCell ref="L23:M23"/>
    <mergeCell ref="C24:E24"/>
    <mergeCell ref="F24:G24"/>
    <mergeCell ref="H24:I24"/>
    <mergeCell ref="J24:K24"/>
    <mergeCell ref="L24:M24"/>
    <mergeCell ref="C25:E25"/>
    <mergeCell ref="F25:G25"/>
    <mergeCell ref="H25:I25"/>
    <mergeCell ref="J25:K25"/>
    <mergeCell ref="L25:M25"/>
    <mergeCell ref="C26:E26"/>
    <mergeCell ref="F26:G26"/>
    <mergeCell ref="H26:I26"/>
    <mergeCell ref="J26:K26"/>
    <mergeCell ref="L26:M26"/>
    <mergeCell ref="C27:E27"/>
    <mergeCell ref="F27:G27"/>
    <mergeCell ref="H27:I27"/>
    <mergeCell ref="J27:K27"/>
    <mergeCell ref="L27:M27"/>
    <mergeCell ref="C28:E28"/>
    <mergeCell ref="F28:G28"/>
    <mergeCell ref="H28:I28"/>
    <mergeCell ref="J28:K28"/>
    <mergeCell ref="L28:M28"/>
    <mergeCell ref="B29:Y29"/>
    <mergeCell ref="C30:E30"/>
    <mergeCell ref="F30:G30"/>
    <mergeCell ref="H30:I30"/>
    <mergeCell ref="J30:K30"/>
    <mergeCell ref="L30:M30"/>
    <mergeCell ref="C31:E31"/>
    <mergeCell ref="F31:G31"/>
    <mergeCell ref="H31:I31"/>
    <mergeCell ref="J31:K31"/>
    <mergeCell ref="L31:M31"/>
    <mergeCell ref="C32:E32"/>
    <mergeCell ref="F32:G32"/>
    <mergeCell ref="H32:I32"/>
    <mergeCell ref="J32:K32"/>
    <mergeCell ref="L32:M32"/>
    <mergeCell ref="C33:E33"/>
    <mergeCell ref="F33:G33"/>
    <mergeCell ref="H33:I33"/>
    <mergeCell ref="J33:K33"/>
    <mergeCell ref="L33:M33"/>
    <mergeCell ref="C34:E34"/>
    <mergeCell ref="F34:G34"/>
    <mergeCell ref="H34:I34"/>
    <mergeCell ref="J34:K34"/>
    <mergeCell ref="L34:M34"/>
    <mergeCell ref="C35:E35"/>
    <mergeCell ref="F35:G35"/>
    <mergeCell ref="H35:I35"/>
    <mergeCell ref="J35:K35"/>
    <mergeCell ref="L35:M35"/>
    <mergeCell ref="C36:E36"/>
    <mergeCell ref="F36:G36"/>
    <mergeCell ref="H36:I36"/>
    <mergeCell ref="J36:K36"/>
    <mergeCell ref="L36:M36"/>
    <mergeCell ref="C37:E37"/>
    <mergeCell ref="F37:G37"/>
    <mergeCell ref="H37:I37"/>
    <mergeCell ref="J37:K37"/>
    <mergeCell ref="L37:M37"/>
    <mergeCell ref="C38:E38"/>
    <mergeCell ref="F38:G38"/>
    <mergeCell ref="H38:I38"/>
    <mergeCell ref="J38:K38"/>
    <mergeCell ref="L38:M38"/>
    <mergeCell ref="C39:E39"/>
    <mergeCell ref="F39:G39"/>
    <mergeCell ref="H39:I39"/>
    <mergeCell ref="J39:K39"/>
    <mergeCell ref="L39:M39"/>
    <mergeCell ref="C40:E40"/>
    <mergeCell ref="F40:G40"/>
    <mergeCell ref="H40:I40"/>
    <mergeCell ref="J40:K40"/>
    <mergeCell ref="L40:M40"/>
    <mergeCell ref="C41:E41"/>
    <mergeCell ref="F41:G41"/>
    <mergeCell ref="H41:I41"/>
    <mergeCell ref="J41:K41"/>
    <mergeCell ref="L41:M41"/>
    <mergeCell ref="C42:E42"/>
    <mergeCell ref="F42:G42"/>
    <mergeCell ref="H42:I42"/>
    <mergeCell ref="J42:K42"/>
    <mergeCell ref="L42:M42"/>
    <mergeCell ref="C43:E43"/>
    <mergeCell ref="F43:G43"/>
    <mergeCell ref="H43:I43"/>
    <mergeCell ref="J43:K43"/>
    <mergeCell ref="L43:M43"/>
    <mergeCell ref="C44:E44"/>
    <mergeCell ref="F44:G44"/>
    <mergeCell ref="H44:I44"/>
    <mergeCell ref="J44:K44"/>
    <mergeCell ref="L44:M44"/>
    <mergeCell ref="C45:E45"/>
    <mergeCell ref="F45:G45"/>
    <mergeCell ref="H45:I45"/>
    <mergeCell ref="J45:K45"/>
    <mergeCell ref="L45:M45"/>
    <mergeCell ref="B46:Y46"/>
    <mergeCell ref="B47:C47"/>
    <mergeCell ref="D47:E47"/>
    <mergeCell ref="F47:G47"/>
    <mergeCell ref="H47:I47"/>
    <mergeCell ref="J47:K47"/>
    <mergeCell ref="L47:M47"/>
    <mergeCell ref="B48:C48"/>
    <mergeCell ref="D48:E48"/>
    <mergeCell ref="F48:G48"/>
    <mergeCell ref="H48:I48"/>
    <mergeCell ref="B49:C49"/>
    <mergeCell ref="D49:E49"/>
    <mergeCell ref="F49:G49"/>
    <mergeCell ref="H49:I49"/>
    <mergeCell ref="J49:K49"/>
    <mergeCell ref="L49:M49"/>
    <mergeCell ref="B50:C50"/>
    <mergeCell ref="D50:E50"/>
    <mergeCell ref="F50:G50"/>
    <mergeCell ref="H50:I50"/>
    <mergeCell ref="J50:K50"/>
    <mergeCell ref="L50:M50"/>
    <mergeCell ref="B51:C51"/>
    <mergeCell ref="D51:E51"/>
    <mergeCell ref="F51:G51"/>
    <mergeCell ref="H51:I51"/>
    <mergeCell ref="J51:K51"/>
    <mergeCell ref="L51:M51"/>
    <mergeCell ref="B52:C52"/>
    <mergeCell ref="D52:E52"/>
    <mergeCell ref="F52:G52"/>
    <mergeCell ref="H52:I52"/>
    <mergeCell ref="J52:K52"/>
    <mergeCell ref="L52:M52"/>
    <mergeCell ref="B53:C53"/>
    <mergeCell ref="D53:E53"/>
    <mergeCell ref="F53:G53"/>
    <mergeCell ref="H53:I53"/>
    <mergeCell ref="J53:K53"/>
    <mergeCell ref="L53:M53"/>
    <mergeCell ref="B54:Y54"/>
    <mergeCell ref="C55:F55"/>
    <mergeCell ref="G55:I55"/>
    <mergeCell ref="J55:L55"/>
    <mergeCell ref="C56:F56"/>
    <mergeCell ref="G56:I56"/>
    <mergeCell ref="J56:L56"/>
    <mergeCell ref="C57:F57"/>
    <mergeCell ref="G57:I57"/>
    <mergeCell ref="J57:L57"/>
    <mergeCell ref="C58:F58"/>
    <mergeCell ref="G58:I58"/>
    <mergeCell ref="J58:L58"/>
    <mergeCell ref="C59:F59"/>
    <mergeCell ref="G59:I59"/>
    <mergeCell ref="J59:L59"/>
    <mergeCell ref="C60:F60"/>
    <mergeCell ref="G60:I60"/>
    <mergeCell ref="J60:L60"/>
    <mergeCell ref="C61:F61"/>
    <mergeCell ref="G61:I61"/>
    <mergeCell ref="J61:L61"/>
    <mergeCell ref="C62:F62"/>
    <mergeCell ref="G62:I62"/>
    <mergeCell ref="J62:L62"/>
    <mergeCell ref="C63:F63"/>
    <mergeCell ref="G63:I63"/>
    <mergeCell ref="J63:L63"/>
    <mergeCell ref="C64:F64"/>
    <mergeCell ref="G64:I64"/>
    <mergeCell ref="J64:L64"/>
    <mergeCell ref="C65:F65"/>
    <mergeCell ref="G65:I65"/>
    <mergeCell ref="J65:L65"/>
    <mergeCell ref="B66:Y66"/>
    <mergeCell ref="C67:E67"/>
    <mergeCell ref="F67:G67"/>
    <mergeCell ref="H67:I67"/>
    <mergeCell ref="J67:K67"/>
    <mergeCell ref="L67:M67"/>
    <mergeCell ref="C68:E68"/>
    <mergeCell ref="F68:G68"/>
    <mergeCell ref="H68:I68"/>
    <mergeCell ref="J68:K68"/>
    <mergeCell ref="L68:M68"/>
    <mergeCell ref="C69:E69"/>
    <mergeCell ref="F69:G69"/>
    <mergeCell ref="H69:I69"/>
    <mergeCell ref="J69:K69"/>
    <mergeCell ref="L69:M69"/>
    <mergeCell ref="C70:E70"/>
    <mergeCell ref="F70:G70"/>
    <mergeCell ref="H70:I70"/>
    <mergeCell ref="J70:K70"/>
    <mergeCell ref="L70:M70"/>
    <mergeCell ref="C71:E71"/>
    <mergeCell ref="F71:G71"/>
    <mergeCell ref="H71:I71"/>
    <mergeCell ref="J71:K71"/>
    <mergeCell ref="L71:M71"/>
    <mergeCell ref="C72:E72"/>
    <mergeCell ref="F72:G72"/>
    <mergeCell ref="H72:I72"/>
    <mergeCell ref="J72:K72"/>
    <mergeCell ref="L72:M72"/>
    <mergeCell ref="C73:E73"/>
    <mergeCell ref="F73:G73"/>
    <mergeCell ref="H73:I73"/>
    <mergeCell ref="J73:K73"/>
    <mergeCell ref="L73:M73"/>
    <mergeCell ref="C74:E74"/>
    <mergeCell ref="F74:G74"/>
    <mergeCell ref="H74:I74"/>
    <mergeCell ref="J74:K74"/>
    <mergeCell ref="L74:M74"/>
    <mergeCell ref="C75:E75"/>
    <mergeCell ref="F75:G75"/>
    <mergeCell ref="H75:I75"/>
    <mergeCell ref="J75:K75"/>
    <mergeCell ref="L75:M75"/>
    <mergeCell ref="C76:E76"/>
    <mergeCell ref="F76:G76"/>
    <mergeCell ref="H76:I76"/>
    <mergeCell ref="J76:K76"/>
    <mergeCell ref="L76:M76"/>
    <mergeCell ref="C77:E77"/>
    <mergeCell ref="F77:G77"/>
    <mergeCell ref="H77:I77"/>
    <mergeCell ref="J77:K77"/>
    <mergeCell ref="L77:M77"/>
    <mergeCell ref="C78:E78"/>
    <mergeCell ref="F78:G78"/>
    <mergeCell ref="H78:I78"/>
    <mergeCell ref="J78:K78"/>
    <mergeCell ref="L78:M78"/>
    <mergeCell ref="C79:E79"/>
    <mergeCell ref="F79:G79"/>
    <mergeCell ref="H79:I79"/>
    <mergeCell ref="J79:K79"/>
    <mergeCell ref="L79:M79"/>
    <mergeCell ref="C80:E80"/>
    <mergeCell ref="F80:G80"/>
    <mergeCell ref="H80:I80"/>
    <mergeCell ref="J80:K80"/>
    <mergeCell ref="L80:M80"/>
    <mergeCell ref="C81:E81"/>
    <mergeCell ref="F81:G81"/>
    <mergeCell ref="H81:I81"/>
    <mergeCell ref="J81:K81"/>
    <mergeCell ref="L81:M81"/>
    <mergeCell ref="C82:E82"/>
    <mergeCell ref="F82:G82"/>
    <mergeCell ref="H82:I82"/>
    <mergeCell ref="J82:K82"/>
    <mergeCell ref="L82:M82"/>
    <mergeCell ref="B83:Y83"/>
    <mergeCell ref="B84:Y84"/>
    <mergeCell ref="B85:Y85"/>
    <mergeCell ref="B86:Y86"/>
    <mergeCell ref="B87:Y87"/>
    <mergeCell ref="B88:Y88"/>
    <mergeCell ref="B89:Y89"/>
    <mergeCell ref="B90:Y90"/>
  </mergeCells>
  <dataValidations count="4">
    <dataValidation allowBlank="false" errorStyle="stop" operator="between" showDropDown="false" showErrorMessage="false" showInputMessage="false" sqref="E5" type="list">
      <formula1>"Acct1,Acct2,Combined"</formula1>
      <formula2>0</formula2>
    </dataValidation>
    <dataValidation allowBlank="false" errorStyle="stop" operator="between" showDropDown="false" showErrorMessage="false" showInputMessage="false" sqref="K5" type="list">
      <formula1>"8/1/25,9/1/25,10/1/25,11/1/25,12/1/25,1/1/26"</formula1>
      <formula2>0</formula2>
    </dataValidation>
    <dataValidation allowBlank="false" errorStyle="stop" operator="between" showDropDown="false" showErrorMessage="false" showInputMessage="false" sqref="Q5" type="list">
      <formula1>"8/1/25,9/1/25,10/1/25,11/1/25,12/1/25,1/1/26"</formula1>
      <formula2>0</formula2>
    </dataValidation>
    <dataValidation allowBlank="false" errorStyle="stop" operator="between" showDropDown="false" showErrorMessage="false" showInputMessage="false" sqref="W5" type="list">
      <formula1>"5,10,15"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5"/>
  </cols>
  <sheetData>
    <row r="1" customFormat="false" ht="27.75" hidden="false" customHeight="true" outlineLevel="0" collapsed="false">
      <c r="A1" s="57" t="s">
        <v>277</v>
      </c>
      <c r="B1" s="57"/>
    </row>
    <row r="2" customFormat="false" ht="19.5" hidden="false" customHeight="true" outlineLevel="0" collapsed="false">
      <c r="A2" s="58" t="s">
        <v>278</v>
      </c>
      <c r="B2" s="58"/>
    </row>
    <row r="3" customFormat="false" ht="16.5" hidden="false" customHeight="true" outlineLevel="0" collapsed="false">
      <c r="A3" s="59" t="s">
        <v>279</v>
      </c>
      <c r="B3" s="60" t="s">
        <v>280</v>
      </c>
    </row>
    <row r="4" customFormat="false" ht="16.5" hidden="false" customHeight="true" outlineLevel="0" collapsed="false">
      <c r="A4" s="59" t="s">
        <v>279</v>
      </c>
      <c r="B4" s="61" t="s">
        <v>281</v>
      </c>
    </row>
    <row r="5" customFormat="false" ht="16.5" hidden="false" customHeight="true" outlineLevel="0" collapsed="false">
      <c r="A5" s="59" t="s">
        <v>279</v>
      </c>
      <c r="B5" s="60" t="s">
        <v>282</v>
      </c>
    </row>
    <row r="6" customFormat="false" ht="19.5" hidden="false" customHeight="true" outlineLevel="0" collapsed="false">
      <c r="A6" s="62" t="s">
        <v>283</v>
      </c>
      <c r="B6" s="62"/>
    </row>
    <row r="7" customFormat="false" ht="16.5" hidden="false" customHeight="true" outlineLevel="0" collapsed="false">
      <c r="B7" s="60" t="s">
        <v>284</v>
      </c>
    </row>
    <row r="8" customFormat="false" ht="19.5" hidden="false" customHeight="true" outlineLevel="0" collapsed="false">
      <c r="A8" s="62" t="s">
        <v>285</v>
      </c>
      <c r="B8" s="62"/>
    </row>
    <row r="9" customFormat="false" ht="16.5" hidden="false" customHeight="true" outlineLevel="0" collapsed="false">
      <c r="B9" s="60" t="s">
        <v>286</v>
      </c>
    </row>
    <row r="10" customFormat="false" ht="16.5" hidden="false" customHeight="true" outlineLevel="0" collapsed="false">
      <c r="B10" s="61" t="s">
        <v>287</v>
      </c>
    </row>
    <row r="11" customFormat="false" ht="19.5" hidden="false" customHeight="true" outlineLevel="0" collapsed="false">
      <c r="A11" s="62" t="s">
        <v>288</v>
      </c>
      <c r="B11" s="62"/>
    </row>
    <row r="12" customFormat="false" ht="16.5" hidden="false" customHeight="true" outlineLevel="0" collapsed="false">
      <c r="B12" s="61" t="s">
        <v>289</v>
      </c>
    </row>
    <row r="13" customFormat="false" ht="16.5" hidden="false" customHeight="true" outlineLevel="0" collapsed="false">
      <c r="B13" s="60" t="s">
        <v>290</v>
      </c>
    </row>
    <row r="14" customFormat="false" ht="19.5" hidden="false" customHeight="true" outlineLevel="0" collapsed="false">
      <c r="A14" s="62" t="s">
        <v>291</v>
      </c>
      <c r="B14" s="62"/>
    </row>
    <row r="15" customFormat="false" ht="16.5" hidden="false" customHeight="true" outlineLevel="0" collapsed="false">
      <c r="B15" s="60" t="s">
        <v>292</v>
      </c>
    </row>
    <row r="16" customFormat="false" ht="16.5" hidden="false" customHeight="true" outlineLevel="0" collapsed="false">
      <c r="B16" s="61" t="s">
        <v>293</v>
      </c>
    </row>
    <row r="17" customFormat="false" ht="19.5" hidden="false" customHeight="true" outlineLevel="0" collapsed="false">
      <c r="A17" s="63" t="s">
        <v>294</v>
      </c>
      <c r="B17" s="63"/>
    </row>
    <row r="18" customFormat="false" ht="16.5" hidden="false" customHeight="true" outlineLevel="0" collapsed="false">
      <c r="A18" s="59" t="s">
        <v>295</v>
      </c>
      <c r="B18" s="61" t="s">
        <v>296</v>
      </c>
    </row>
    <row r="19" customFormat="false" ht="16.5" hidden="false" customHeight="true" outlineLevel="0" collapsed="false">
      <c r="A19" s="59" t="s">
        <v>297</v>
      </c>
      <c r="B19" s="60" t="s">
        <v>298</v>
      </c>
    </row>
    <row r="20" customFormat="false" ht="16.5" hidden="false" customHeight="true" outlineLevel="0" collapsed="false">
      <c r="A20" s="59" t="s">
        <v>299</v>
      </c>
      <c r="B20" s="61" t="s">
        <v>300</v>
      </c>
    </row>
    <row r="21" customFormat="false" ht="16.5" hidden="false" customHeight="true" outlineLevel="0" collapsed="false">
      <c r="A21" s="59" t="s">
        <v>301</v>
      </c>
      <c r="B21" s="60" t="s">
        <v>302</v>
      </c>
    </row>
    <row r="22" customFormat="false" ht="16.5" hidden="false" customHeight="true" outlineLevel="0" collapsed="false">
      <c r="A22" s="59" t="s">
        <v>303</v>
      </c>
      <c r="B22" s="61" t="s">
        <v>304</v>
      </c>
    </row>
    <row r="23" customFormat="false" ht="16.5" hidden="false" customHeight="true" outlineLevel="0" collapsed="false">
      <c r="A23" s="59" t="s">
        <v>305</v>
      </c>
      <c r="B23" s="60" t="s">
        <v>306</v>
      </c>
    </row>
  </sheetData>
  <mergeCells count="7">
    <mergeCell ref="A1:B1"/>
    <mergeCell ref="A2:B2"/>
    <mergeCell ref="A6:B6"/>
    <mergeCell ref="A8:B8"/>
    <mergeCell ref="A11:B11"/>
    <mergeCell ref="A14:B14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2026-03-03T03:24:38Z</dcterms:created>
  <dc:creator>openpyxl</dc:creator>
  <dc:description/>
  <dc:language>en-US</dc:language>
  <cp:lastModifiedBy/>
  <dcterms:modified xsi:type="dcterms:W3CDTF">2026-03-03T03:24:47Z</dcterms:modified>
  <cp:revision>1</cp:revision>
  <dc:subject/>
  <dc:title/>
</cp:coreProperties>
</file>